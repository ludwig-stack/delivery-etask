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0b329a5a05420c" /></Relationships>
</file>

<file path=xl/workbook.xml><?xml version="1.0" encoding="utf-8"?>
<x:workbook xmlns:x="http://schemas.openxmlformats.org/spreadsheetml/2006/main">
  <x:sheets>
    <x:sheet xmlns:r="http://schemas.openxmlformats.org/officeDocument/2006/relationships" name="Dashboard" sheetId="1" r:id="R68b7f2c99f9241d6"/>
    <x:sheet xmlns:r="http://schemas.openxmlformats.org/officeDocument/2006/relationships" name="Gantt" sheetId="2" r:id="R67515dc17cd14e7b"/>
    <x:sheet xmlns:r="http://schemas.openxmlformats.org/officeDocument/2006/relationships" name="Daily Tasks" sheetId="3" r:id="Rf27894db50284927"/>
    <x:sheet xmlns:r="http://schemas.openxmlformats.org/officeDocument/2006/relationships" name="Day Map" sheetId="4" r:id="R206a47de81184970"/>
    <x:sheet xmlns:r="http://schemas.openxmlformats.org/officeDocument/2006/relationships" name="KPI Log" sheetId="5" r:id="Rc90417d6e1b84dfd"/>
    <x:sheet xmlns:r="http://schemas.openxmlformats.org/officeDocument/2006/relationships" name="Gates" sheetId="6" r:id="R795f319869c5408b"/>
    <x:sheet xmlns:r="http://schemas.openxmlformats.org/officeDocument/2006/relationships" name="Roles" sheetId="7" r:id="R2d21ba6890a4475d"/>
    <x:sheet xmlns:r="http://schemas.openxmlformats.org/officeDocument/2006/relationships" name="Promise Map" sheetId="8" r:id="R0497e0f6f38d47b3"/>
    <x:sheet xmlns:r="http://schemas.openxmlformats.org/officeDocument/2006/relationships" name="How to Use" sheetId="9" r:id="Rb935b492518e475c"/>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mmm d, yyyy"/>
    <x:numFmt numFmtId="201" formatCode="0.00"/>
    <x:numFmt numFmtId="202" formatCode="0%"/>
    <x:numFmt numFmtId="203" formatCode="0.0%"/>
    <x:numFmt numFmtId="204" formatCode="0.0"/>
    <x:numFmt numFmtId="205" formatCode="d"/>
    <x:numFmt numFmtId="206" formatCode="mmm d"/>
  </x:numFmts>
  <x:fonts count="8">
    <x:font>
      <x:sz val="11"/>
      <x:name val="Carlito"/>
    </x:font>
    <x:font>
      <x:sz val="10"/>
      <x:color rgb="FF21153D"/>
      <x:name val="Arial"/>
    </x:font>
    <x:font>
      <x:b/>
      <x:sz val="16"/>
      <x:color rgb="FF4A2A7A"/>
      <x:name val="Arial"/>
    </x:font>
    <x:font>
      <x:sz val="10"/>
      <x:color rgb="FF667085"/>
      <x:name val="Arial"/>
    </x:font>
    <x:font>
      <x:b/>
      <x:sz val="10"/>
      <x:color rgb="FFFFFFFF"/>
      <x:name val="Arial"/>
    </x:font>
    <x:font>
      <x:sz val="10"/>
      <x:color rgb="FF1554B3"/>
      <x:name val="Arial"/>
    </x:font>
    <x:font>
      <x:b/>
      <x:sz val="10"/>
      <x:color rgb="FF4A2A7A"/>
      <x:name val="Arial"/>
    </x:font>
    <x:font>
      <x:b/>
      <x:sz val="10"/>
      <x:color rgb="FF21153D"/>
      <x:name val="Arial"/>
    </x:font>
  </x:fonts>
  <x:fills count="16">
    <x:fill>
      <x:patternFill patternType="none"/>
    </x:fill>
    <x:fill>
      <x:patternFill patternType="gray125"/>
    </x:fill>
    <x:fill>
      <x:patternFill patternType="solid">
        <x:fgColor rgb="FF4A2A7A"/>
      </x:patternFill>
    </x:fill>
    <x:fill>
      <x:patternFill patternType="solid">
        <x:fgColor rgb="FFEFF5FF"/>
      </x:patternFill>
    </x:fill>
    <x:fill>
      <x:patternFill patternType="solid">
        <x:fgColor rgb="FFF0EBF7"/>
      </x:patternFill>
    </x:fill>
    <x:fill>
      <x:patternFill patternType="solid">
        <x:fgColor rgb="FFF6F7FA"/>
      </x:patternFill>
    </x:fill>
    <x:fill>
      <x:patternFill patternType="solid">
        <x:fgColor rgb="FF6C5CE7"/>
      </x:patternFill>
    </x:fill>
    <x:fill>
      <x:patternFill patternType="solid">
        <x:fgColor rgb="FF8064D8"/>
      </x:patternFill>
    </x:fill>
    <x:fill>
      <x:patternFill patternType="solid">
        <x:fgColor rgb="FF2177B8"/>
      </x:patternFill>
    </x:fill>
    <x:fill>
      <x:patternFill patternType="solid">
        <x:fgColor rgb="FF168BA6"/>
      </x:patternFill>
    </x:fill>
    <x:fill>
      <x:patternFill patternType="solid">
        <x:fgColor rgb="FF169B89"/>
      </x:patternFill>
    </x:fill>
    <x:fill>
      <x:patternFill patternType="solid">
        <x:fgColor rgb="FFBB8945"/>
      </x:patternFill>
    </x:fill>
    <x:fill>
      <x:patternFill patternType="solid">
        <x:fgColor rgb="FF2D907C"/>
      </x:patternFill>
    </x:fill>
    <x:fill>
      <x:patternFill patternType="solid">
        <x:fgColor rgb="FF6955B8"/>
      </x:patternFill>
    </x:fill>
    <x:fill>
      <x:patternFill patternType="solid">
        <x:fgColor rgb="FF536177"/>
      </x:patternFill>
    </x:fill>
    <x:fill>
      <x:patternFill patternType="solid">
        <x:fgColor rgb="FFFFF2CC"/>
      </x:patternFill>
    </x:fill>
  </x:fills>
  <x:borders count="6">
    <x:border>
      <x:left/>
      <x:right/>
      <x:top/>
      <x:bottom/>
      <x:diagonal/>
    </x:border>
    <x:border>
      <x:left/>
      <x:right/>
      <x:top/>
      <x:bottom style="thin">
        <x:color rgb="FFDBD7E4"/>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style="thin">
        <x:color rgb="FFDBD7E4"/>
      </x:right>
      <x:top/>
      <x:bottom/>
      <x:diagonal/>
    </x:border>
  </x:borders>
  <x:cellStyleXfs count="1">
    <x:xf numFmtId="0" fontId="0" fillId="0" borderId="0"/>
  </x:cellStyleXfs>
  <x:cellXfs count="6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0" fontId="5" fillId="3"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200" fontId="1" fillId="0" borderId="0" xfId="0" applyNumberFormat="1" applyFont="1" applyFill="1" applyBorder="1" applyAlignment="1">
      <x:alignment horizontal="center" vertical="center"/>
    </x:xf>
    <x:xf numFmtId="201" fontId="1" fillId="0" borderId="0" xfId="0" applyNumberFormat="1" applyFont="1" applyFill="1" applyBorder="1" applyAlignment="1">
      <x:alignment vertical="center"/>
    </x:xf>
    <x:xf numFmtId="200" fontId="1" fillId="3" borderId="0" xfId="0" applyNumberFormat="1" applyFont="1" applyFill="1" applyBorder="1" applyAlignment="1">
      <x:alignment horizontal="center" vertical="center"/>
    </x:xf>
    <x:xf numFmtId="200" fontId="5" fillId="3" borderId="0" xfId="0" applyNumberFormat="1" applyFont="1" applyFill="1" applyBorder="1" applyAlignment="1">
      <x:alignment horizontal="center" vertical="center"/>
    </x:xf>
    <x:xf numFmtId="0" fontId="0" fillId="2" borderId="0" xfId="0" applyNumberFormat="1" applyFont="1" applyFill="1" applyBorder="1"/>
    <x:xf numFmtId="0" fontId="4" fillId="2" borderId="0" xfId="0" applyNumberFormat="1" applyFont="1" applyFill="1" applyBorder="1"/>
    <x:xf numFmtId="0" fontId="4" fillId="2" borderId="4" xfId="0" applyNumberFormat="1" applyFont="1" applyFill="1" applyBorder="1"/>
    <x:xf numFmtId="0" fontId="4" fillId="2" borderId="4" xfId="0" applyNumberFormat="1" applyFont="1" applyFill="1" applyBorder="1" applyAlignment="1">
      <x:alignment wrapText="1"/>
    </x:xf>
    <x:xf numFmtId="0" fontId="4" fillId="2" borderId="4" xfId="0" applyNumberFormat="1" applyFont="1" applyFill="1" applyBorder="1" applyAlignment="1">
      <x:alignment horizontal="center"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5" fontId="4" fillId="2" borderId="3" xfId="0" applyNumberFormat="1" applyFont="1" applyFill="1" applyBorder="1" applyAlignment="1">
      <x:alignment horizontal="center" vertical="center" wrapText="1"/>
    </x:xf>
    <x:xf numFmtId="205" fontId="4" fillId="2" borderId="4" xfId="0" applyNumberFormat="1" applyFont="1" applyFill="1" applyBorder="1" applyAlignment="1">
      <x:alignment horizontal="center" vertical="center" wrapText="1"/>
    </x:xf>
    <x:xf numFmtId="0" fontId="1" fillId="5"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1" fillId="7"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1" fillId="10" borderId="0" xfId="0" applyNumberFormat="1" applyFont="1" applyFill="1" applyBorder="1" applyAlignment="1">
      <x:alignment vertical="center"/>
    </x:xf>
    <x:xf numFmtId="0" fontId="1" fillId="11" borderId="0" xfId="0" applyNumberFormat="1" applyFont="1" applyFill="1" applyBorder="1" applyAlignment="1">
      <x:alignment vertical="center"/>
    </x:xf>
    <x:xf numFmtId="0" fontId="1" fillId="12" borderId="0" xfId="0" applyNumberFormat="1" applyFont="1" applyFill="1" applyBorder="1" applyAlignment="1">
      <x:alignment vertical="center"/>
    </x:xf>
    <x:xf numFmtId="0" fontId="1" fillId="13" borderId="0" xfId="0" applyNumberFormat="1" applyFont="1" applyFill="1" applyBorder="1" applyAlignment="1">
      <x:alignment vertical="center"/>
    </x:xf>
    <x:xf numFmtId="0" fontId="1" fillId="14" borderId="0" xfId="0" applyNumberFormat="1" applyFont="1" applyFill="1" applyBorder="1" applyAlignment="1">
      <x:alignment vertical="center"/>
    </x:xf>
    <x:xf numFmtId="0" fontId="1" fillId="15" borderId="0" xfId="0" applyNumberFormat="1" applyFont="1" applyFill="1" applyBorder="1" applyAlignment="1">
      <x:alignment vertical="center"/>
    </x:xf>
    <x:xf numFmtId="0" fontId="6" fillId="15" borderId="0" xfId="0" applyNumberFormat="1" applyFont="1" applyFill="1" applyBorder="1" applyAlignment="1">
      <x:alignment vertical="center"/>
    </x:xf>
    <x:xf numFmtId="0" fontId="6" fillId="15" borderId="0" xfId="0" applyNumberFormat="1" applyFont="1" applyFill="1" applyBorder="1" applyAlignment="1">
      <x:alignment horizontal="center" vertical="center"/>
    </x:xf>
    <x:xf numFmtId="206" fontId="1" fillId="0" borderId="0" xfId="0" applyNumberFormat="1" applyFont="1" applyFill="1" applyBorder="1" applyAlignment="1">
      <x:alignment vertical="center"/>
    </x:xf>
    <x:xf numFmtId="206" fontId="6" fillId="4"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6" fillId="4" borderId="0" xfId="0" applyNumberFormat="1" applyFont="1" applyFill="1" applyBorder="1" applyAlignment="1">
      <x:alignment vertical="top" wrapText="1"/>
    </x:xf>
    <x:xf numFmtId="0" fontId="1" fillId="0" borderId="5" xfId="0" applyNumberFormat="1" applyFont="1" applyFill="1" applyBorder="1" applyAlignment="1">
      <x:alignment vertical="top" wrapText="1"/>
    </x:xf>
  </x:cellXfs>
  <x:cellStyles count="1">
    <x:cellStyle name="Normal" xfId="0"/>
  </x:cellStyles>
  <x:dxfs count="74">
    <x:dxf>
      <x:font>
        <x:color rgb="FF107E72"/>
      </x:font>
      <x:fill>
        <x:patternFill patternType="solid">
          <x:bgColor rgb="FFE9F5F1"/>
        </x:patternFill>
      </x:fill>
    </x:dxf>
    <x:dxf>
      <x:font>
        <x:color rgb="FFAE2D40"/>
      </x:font>
      <x:fill>
        <x:patternFill patternType="solid">
          <x:bgColor rgb="FFFFF2CC"/>
        </x:patternFill>
      </x:fill>
    </x:dxf>
    <x:dxf>
      <x:font>
        <x:color rgb="FFAE2D40"/>
      </x:font>
      <x:fill>
        <x:patternFill patternType="solid">
          <x:bgColor rgb="FFFCEDEF"/>
        </x:patternFill>
      </x:fill>
    </x:dxf>
    <x:dxf>
      <x:font>
        <x:color rgb="FF107E72"/>
      </x:font>
      <x:fill>
        <x:patternFill patternType="solid">
          <x:bgColor rgb="FFE9F5F1"/>
        </x:patternFill>
      </x:fill>
    </x:dxf>
    <x:dxf>
      <x:font>
        <x:color rgb="FFAE2D40"/>
      </x:font>
      <x:fill>
        <x:patternFill patternType="solid">
          <x:bgColor rgb="FFFCEDEF"/>
        </x:patternFill>
      </x:fill>
    </x:dxf>
    <x:dxf>
      <x:font>
        <x:color rgb="FF21153D"/>
      </x:font>
      <x:fill>
        <x:patternFill patternType="solid">
          <x:bgColor rgb="FFFFF2CC"/>
        </x:patternFill>
      </x:fill>
    </x:dxf>
    <x:dxf>
      <x:font>
        <x:color rgb="FF107E72"/>
      </x:font>
      <x:fill>
        <x:patternFill patternType="solid">
          <x:bgColor rgb="FFE9F5F1"/>
        </x:patternFill>
      </x:fill>
    </x:dxf>
    <x:dxf>
      <x:font>
        <x:color rgb="FFAE2D40"/>
      </x:font>
      <x:fill>
        <x:patternFill patternType="solid">
          <x:bgColor rgb="FFFCEDEF"/>
        </x:patternFill>
      </x:fill>
    </x:dxf>
    <x:dxf>
      <x:font>
        <x:color rgb="FFAE2D40"/>
      </x:font>
      <x:fill>
        <x:patternFill patternType="solid">
          <x:bgColor rgb="FFFFF2CC"/>
        </x:patternFill>
      </x:fill>
    </x:dxf>
    <x:dxf>
      <x:font>
        <x:color rgb="FFAE2D40"/>
      </x:font>
      <x:fill>
        <x:patternFill patternType="solid">
          <x:bgColor rgb="FFFCEDEF"/>
        </x:patternFill>
      </x:fill>
    </x:dxf>
    <x:dxf>
      <x:font>
        <x:color rgb="FF667085"/>
      </x:font>
      <x:fill>
        <x:patternFill patternType="solid">
          <x:bgColor rgb="FFF6F7FA"/>
        </x:patternFill>
      </x:fill>
    </x:dxf>
    <x:dxf>
      <x:font>
        <x:color rgb="FFAE2D40"/>
      </x:font>
      <x:fill>
        <x:patternFill patternType="solid">
          <x:bgColor rgb="FFFCEDEF"/>
        </x:patternFill>
      </x:fill>
    </x:dxf>
    <x:dxf>
      <x:font>
        <x:color rgb="FFAE2D40"/>
      </x:font>
      <x:fill>
        <x:patternFill patternType="solid">
          <x:bgColor rgb="FFFCEDEF"/>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
      <x:font>
        <x:color rgb="FFFFFFFF"/>
      </x:font>
      <x:fill>
        <x:patternFill patternType="solid">
          <x:bgColor rgb="FF107E7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6bb066d2124f19" /><Relationship Type="http://schemas.openxmlformats.org/officeDocument/2006/relationships/theme" Target="/xl/theme/theme1.xml" Id="R01977634a6384c8c" /><Relationship Type="http://schemas.openxmlformats.org/officeDocument/2006/relationships/sharedStrings" Target="/xl/sharedStrings.xml" Id="Rba8abc0a2b044a90" /><Relationship Type="http://schemas.openxmlformats.org/officeDocument/2006/relationships/worksheet" Target="/xl/worksheets/sheet1.xml" Id="R68b7f2c99f9241d6" /><Relationship Type="http://schemas.openxmlformats.org/officeDocument/2006/relationships/worksheet" Target="/xl/worksheets/sheet2.xml" Id="R67515dc17cd14e7b" /><Relationship Type="http://schemas.openxmlformats.org/officeDocument/2006/relationships/worksheet" Target="/xl/worksheets/sheet3.xml" Id="Rf27894db50284927" /><Relationship Type="http://schemas.openxmlformats.org/officeDocument/2006/relationships/worksheet" Target="/xl/worksheets/sheet4.xml" Id="R206a47de81184970" /><Relationship Type="http://schemas.openxmlformats.org/officeDocument/2006/relationships/worksheet" Target="/xl/worksheets/sheet5.xml" Id="Rc90417d6e1b84dfd" /><Relationship Type="http://schemas.openxmlformats.org/officeDocument/2006/relationships/worksheet" Target="/xl/worksheets/sheet6.xml" Id="R795f319869c5408b" /><Relationship Type="http://schemas.openxmlformats.org/officeDocument/2006/relationships/worksheet" Target="/xl/worksheets/sheet7.xml" Id="R2d21ba6890a4475d" /><Relationship Type="http://schemas.openxmlformats.org/officeDocument/2006/relationships/worksheet" Target="/xl/worksheets/sheet8.xml" Id="R0497e0f6f38d47b3" /><Relationship Type="http://schemas.openxmlformats.org/officeDocument/2006/relationships/worksheet" Target="/xl/worksheets/sheet9.xml" Id="Rb935b492518e475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8dedb915d024a8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Cumulative deliverables due and accepted</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Cumulative due</c:v>
          </c:tx>
          <c:spPr>
            <a:ln xmlns:a="http://schemas.openxmlformats.org/drawingml/2006/main" w="19050">
              <a:solidFill>
                <a:srgbClr val="7C5AA7"/>
              </a:solidFill>
              <a:prstDash val="dash"/>
            </a:ln>
          </c:spPr>
          <c:marker>
            <c:symbol val="none"/>
          </c:marker>
          <c:cat>
            <c:strRef>
              <c:f>'Day Map'!$R$7:$R$64</c:f>
              <c:strCache>
                <c:ptCount val="0"/>
              </c:strCache>
            </c:strRef>
          </c:cat>
          <c:val>
            <c:numRef>
              <c:f>'Day Map'!$P$7:$P$64</c:f>
              <c:numCache>
                <c:formatCode>0</c:formatCode>
                <c:ptCount val="0"/>
              </c:numCache>
            </c:numRef>
          </c:val>
          <c:smooth val="0"/>
        </c:ser>
        <c:ser>
          <c:idx val="1"/>
          <c:order val="1"/>
          <c:tx>
            <c:v>Accepted by date</c:v>
          </c:tx>
          <c:spPr>
            <a:ln xmlns:a="http://schemas.openxmlformats.org/drawingml/2006/main" w="19050">
              <a:solidFill>
                <a:srgbClr val="107E72"/>
              </a:solidFill>
              <a:prstDash val="solid"/>
            </a:ln>
          </c:spPr>
          <c:marker>
            <c:symbol val="none"/>
          </c:marker>
          <c:cat>
            <c:strRef>
              <c:f>'Day Map'!$R$7:$R$64</c:f>
              <c:strCache>
                <c:ptCount val="0"/>
              </c:strCache>
            </c:strRef>
          </c:cat>
          <c:val>
            <c:numRef>
              <c:f>'Day Map'!$Q$7:$Q$64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7"/>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8</xdr:row>
      <xdr:rowOff>0</xdr:rowOff>
    </xdr:from>
    <xdr:to>
      <xdr:col>16</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dedb915d024a82"/>
        </a:graphicData>
      </a:graphic>
    </xdr:graphicFrame>
    <xdr:clientData/>
  </xdr:twoCellAnchor>
</xdr:wsDr>
</file>

<file path=xl/tables/table1.xml><?xml version="1.0" encoding="utf-8"?>
<x:table xmlns:x="http://schemas.openxmlformats.org/spreadsheetml/2006/main" id="2" name="DSIDailyTasks" displayName="DSIDailyTasks" ref="A6:AE500" headerRowCount="1" totalsRowCount="0" totalsRowShown="0">
  <x:autoFilter ref="A6:AE500"/>
  <x:tableColumns count="31">
    <x:tableColumn id="1" name="Task ID"/>
    <x:tableColumn id="2" name="Original due"/>
    <x:tableColumn id="3" name="Owner"/>
    <x:tableColumn id="4" name="Workstream"/>
    <x:tableColumn id="5" name="Daily deliverable"/>
    <x:tableColumn id="6" name="Target"/>
    <x:tableColumn id="7" name="Actual"/>
    <x:tableColumn id="8" name="Unit"/>
    <x:tableColumn id="9" name="Status"/>
    <x:tableColumn id="10" name="Due time PT"/>
    <x:tableColumn id="11" name="Evidence / link"/>
    <x:tableColumn id="12" name="Blocker / reason"/>
    <x:tableColumn id="13" name="Rescue owner"/>
    <x:tableColumn id="14" name="Recovery due"/>
    <x:tableColumn id="15" name="Accepted by"/>
    <x:tableColumn id="16" name="Accepted on"/>
    <x:tableColumn id="17" name="Counted accepted"/>
    <x:tableColumn id="18" name="Deadline status"/>
    <x:tableColumn id="19" name="Required next step"/>
    <x:tableColumn id="20" name="Dependencies"/>
    <x:tableColumn id="21" name="Acceptance standard"/>
    <x:tableColumn id="22" name="Planned hours"/>
    <x:tableColumn id="23" name="Support"/>
    <x:tableColumn id="24" name="Basis"/>
    <x:tableColumn id="25" name="Week of"/>
    <x:tableColumn id="26" name="Target kind"/>
    <x:tableColumn id="27" name="Accepted late"/>
    <x:tableColumn id="28" name="Days overdue"/>
    <x:tableColumn id="29" name="Capacity variance reason"/>
    <x:tableColumn id="30" name="Actual less target"/>
    <x:tableColumn id="31" name="Own proof complete"/>
  </x:tableColumns>
  <x:tableStyleInfo name="TableStyleLight8" showFirstColumn="0" showLastColumn="0" showRowStripes="1" showColumnStripes="0"/>
</x:table>
</file>

<file path=xl/tables/table2.xml><?xml version="1.0" encoding="utf-8"?>
<x:table xmlns:x="http://schemas.openxmlformats.org/spreadsheetml/2006/main" id="3" name="DSIDayMap" displayName="DSIDayMap" ref="A6:R64" headerRowCount="1" totalsRowCount="0" totalsRowShown="0">
  <x:autoFilter ref="A6:R64"/>
  <x:tableColumns count="18">
    <x:tableColumn id="1" name="Date"/>
    <x:tableColumn id="2" name="Day"/>
    <x:tableColumn id="3" name="Working pattern"/>
    <x:tableColumn id="4" name="Phase"/>
    <x:tableColumn id="5" name="Daily focus"/>
    <x:tableColumn id="6" name="Due tasks"/>
    <x:tableColumn id="7" name="Accepted due tasks"/>
    <x:tableColumn id="8" name="Completion"/>
    <x:tableColumn id="9" name="Open due tasks"/>
    <x:tableColumn id="10" name="Verified target"/>
    <x:tableColumn id="11" name="Inquiry target"/>
    <x:tableColumn id="12" name="Booked target"/>
    <x:tableColumn id="13" name="Held target"/>
    <x:tableColumn id="14" name="Trial target"/>
    <x:tableColumn id="15" name="Daily target detail"/>
    <x:tableColumn id="16" name="Cumulative due"/>
    <x:tableColumn id="17" name="Accepted by date"/>
    <x:tableColumn id="18" name="Chart date"/>
  </x:tableColumns>
  <x:tableStyleInfo name="TableStyleLight8" showFirstColumn="0" showLastColumn="0" showRowStripes="1" showColumnStripes="0"/>
</x:table>
</file>

<file path=xl/tables/table3.xml><?xml version="1.0" encoding="utf-8"?>
<x:table xmlns:x="http://schemas.openxmlformats.org/spreadsheetml/2006/main" id="4" name="DSIKPISnapshots" displayName="DSIKPISnapshots" ref="A6:Q992" headerRowCount="1" totalsRowCount="0" totalsRowShown="0">
  <x:autoFilter ref="A6:Q992"/>
  <x:tableColumns count="17">
    <x:tableColumn id="1" name="Date"/>
    <x:tableColumn id="2" name="Metric"/>
    <x:tableColumn id="3" name="Target"/>
    <x:tableColumn id="4" name="Input type"/>
    <x:tableColumn id="5" name="Count / cost actual"/>
    <x:tableColumn id="6" name="Numerator"/>
    <x:tableColumn id="7" name="Denominator"/>
    <x:tableColumn id="8" name="Reported result"/>
    <x:tableColumn id="9" name="Gap to target"/>
    <x:tableColumn id="10" name="Unit"/>
    <x:tableColumn id="11" name="Owner"/>
    <x:tableColumn id="12" name="Evidence / CQL report"/>
    <x:tableColumn id="13" name="Updated by"/>
    <x:tableColumn id="14" name="Updated on"/>
    <x:tableColumn id="15" name="Definition / denominator"/>
    <x:tableColumn id="16" name="Source / target basis"/>
    <x:tableColumn id="17" name="Numeric result reported"/>
  </x:tableColumns>
  <x:tableStyleInfo name="TableStyleLight8" showFirstColumn="0" showLastColumn="0" showRowStripes="1" showColumnStripes="0"/>
</x:table>
</file>

<file path=xl/tables/table4.xml><?xml version="1.0" encoding="utf-8"?>
<x:table xmlns:x="http://schemas.openxmlformats.org/spreadsheetml/2006/main" id="1" name="DSIGates" displayName="DSIGates" ref="A6:S27" headerRowCount="1" totalsRowCount="0" totalsRowShown="0">
  <x:autoFilter ref="A6:S27"/>
  <x:tableColumns count="19">
    <x:tableColumn id="1" name="Gate ID"/>
    <x:tableColumn id="2" name="Original due"/>
    <x:tableColumn id="3" name="Owner"/>
    <x:tableColumn id="4" name="Gate"/>
    <x:tableColumn id="5" name="Supporting task status"/>
    <x:tableColumn id="6" name="Supporting task evidence"/>
    <x:tableColumn id="7" name="Task accepted by"/>
    <x:tableColumn id="8" name="Task accepted on"/>
    <x:tableColumn id="9" name="Prerequisite gates"/>
    <x:tableColumn id="10" name="Gate verified"/>
    <x:tableColumn id="11" name="Supporting task blocker"/>
    <x:tableColumn id="12" name="Gate acceptance standard"/>
    <x:tableColumn id="13" name="Owning task ID"/>
    <x:tableColumn id="14" name="Gate review"/>
    <x:tableColumn id="15" name="Gate evidence / actual results"/>
    <x:tableColumn id="16" name="Gate verifier"/>
    <x:tableColumn id="17" name="Gate verified on"/>
    <x:tableColumn id="18" name="Gate recovery / decision"/>
    <x:tableColumn id="19" name="Own gate proof complete"/>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a368adb776e4e7e" /></Relationships>
</file>

<file path=xl/worksheets/_rels/sheet3.xml.rels>&#65279;<?xml version="1.0" encoding="utf-8"?><Relationships xmlns="http://schemas.openxmlformats.org/package/2006/relationships"><Relationship Type="http://schemas.openxmlformats.org/officeDocument/2006/relationships/table" Target="/xl/tables/table1.xml" Id="Rbfc36c52ba0a4abe" /></Relationships>
</file>

<file path=xl/worksheets/_rels/sheet4.xml.rels>&#65279;<?xml version="1.0" encoding="utf-8"?><Relationships xmlns="http://schemas.openxmlformats.org/package/2006/relationships"><Relationship Type="http://schemas.openxmlformats.org/officeDocument/2006/relationships/table" Target="/xl/tables/table2.xml" Id="R1027af85968f41aa" /></Relationships>
</file>

<file path=xl/worksheets/_rels/sheet5.xml.rels>&#65279;<?xml version="1.0" encoding="utf-8"?><Relationships xmlns="http://schemas.openxmlformats.org/package/2006/relationships"><Relationship Type="http://schemas.openxmlformats.org/officeDocument/2006/relationships/table" Target="/xl/tables/table3.xml" Id="R790383b4906a4562" /></Relationships>
</file>

<file path=xl/worksheets/_rels/sheet6.xml.rels>&#65279;<?xml version="1.0" encoding="utf-8"?><Relationships xmlns="http://schemas.openxmlformats.org/package/2006/relationships"><Relationship Type="http://schemas.openxmlformats.org/officeDocument/2006/relationships/table" Target="/xl/tables/table4.xml" Id="Rce1caeefcae34ae1" /></Relationships>
</file>

<file path=xl/worksheets/sheet1.xml><?xml version="1.0" encoding="utf-8"?>
<x:worksheet xmlns:x="http://schemas.openxmlformats.org/spreadsheetml/2006/main">
  <x:sheetPr>
    <x:tabColor rgb="FF4A2A7A"/>
  </x:sheetPr>
  <x:sheetViews>
    <x:sheetView showGridLines="0" workbookViewId="0"/>
  </x:sheetViews>
  <x:sheetFormatPr defaultRowHeight="15"/>
  <x:cols>
    <x:col min="1" max="1" width="32" hidden="0" customWidth="1"/>
    <x:col min="2" max="2" width="15" hidden="0" customWidth="1"/>
    <x:col min="3" max="3" width="15" hidden="0" customWidth="1"/>
    <x:col min="4" max="4" width="15" hidden="0" customWidth="1"/>
    <x:col min="5" max="5" width="19" hidden="0" customWidth="1"/>
    <x:col min="6" max="6" width="18" hidden="0" customWidth="1"/>
    <x:col min="7" max="7" width="3" hidden="0" customWidth="1"/>
    <x:col min="8" max="8" width="18"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22" customHeight="1">
      <x:c r="A1" s="2"/>
      <x:c r="B1" s="2"/>
      <x:c r="C1" s="2"/>
      <x:c r="D1" s="2"/>
      <x:c r="E1" s="2"/>
      <x:c r="F1" s="2"/>
      <x:c r="G1" s="2"/>
      <x:c r="H1" s="2"/>
      <x:c r="I1" s="2"/>
      <x:c r="J1" s="2"/>
      <x:c r="K1" s="2"/>
      <x:c r="L1" s="2"/>
      <x:c r="M1" s="2"/>
      <x:c r="N1" s="2"/>
      <x:c r="O1" s="2"/>
      <x:c r="P1" s="2"/>
    </x:row>
    <x:row r="2" ht="22" customHeight="1">
      <x:c r="A2" s="3" t="str">
        <x:v>DSI daily execution</x:v>
      </x:c>
      <x:c r="B2" s="2"/>
      <x:c r="C2" s="2"/>
      <x:c r="D2" s="2"/>
      <x:c r="E2" s="2"/>
      <x:c r="F2" s="2"/>
      <x:c r="G2" s="2"/>
      <x:c r="H2" s="2"/>
      <x:c r="I2" s="2"/>
      <x:c r="J2" s="2"/>
      <x:c r="K2" s="2"/>
      <x:c r="L2" s="2"/>
      <x:c r="M2" s="2"/>
      <x:c r="N2" s="2"/>
      <x:c r="O2" s="2"/>
      <x:c r="P2" s="2"/>
    </x:row>
    <x:row r="3" ht="22" customHeight="1">
      <x:c r="A3" s="4" t="str">
        <x:v>Wyline owns daily acceptance, recovery decisions and the Friday review. Qualified inquiries and appointments are the commercial priority.</x:v>
      </x:c>
      <x:c r="B3" s="2"/>
      <x:c r="C3" s="2"/>
      <x:c r="D3" s="2"/>
      <x:c r="E3" s="2"/>
      <x:c r="F3" s="2"/>
      <x:c r="G3" s="2"/>
      <x:c r="H3" s="2"/>
      <x:c r="I3" s="2"/>
      <x:c r="J3" s="2"/>
      <x:c r="K3" s="2"/>
      <x:c r="L3" s="2"/>
      <x:c r="M3" s="2"/>
      <x:c r="N3" s="2"/>
      <x:c r="O3" s="2"/>
      <x:c r="P3" s="2"/>
    </x:row>
    <x:row r="4" ht="22" customHeight="1">
      <x:c r="A4" s="5"/>
      <x:c r="B4" s="5"/>
      <x:c r="C4" s="5"/>
      <x:c r="D4" s="5"/>
      <x:c r="E4" s="5"/>
      <x:c r="F4" s="5"/>
      <x:c r="G4" s="5"/>
      <x:c r="H4" s="5"/>
      <x:c r="I4" s="5"/>
      <x:c r="J4" s="5"/>
      <x:c r="K4" s="5"/>
      <x:c r="L4" s="5"/>
      <x:c r="M4" s="5"/>
      <x:c r="N4" s="5"/>
      <x:c r="O4" s="5"/>
      <x:c r="P4" s="5"/>
    </x:row>
    <x:row r="5" ht="22" customHeight="1">
      <x:c r="A5" s="2" t="str">
        <x:v>Report date</x:v>
      </x:c>
      <x:c r="B5" s="21" t="n">
        <x:v>46317</x:v>
      </x:c>
      <x:c r="C5" s="2"/>
      <x:c r="D5" s="2" t="str">
        <x:v>End date</x:v>
      </x:c>
      <x:c r="E5" s="17" t="n">
        <x:v>46372</x:v>
      </x:c>
      <x:c r="F5" s="2"/>
      <x:c r="G5" s="2"/>
      <x:c r="H5" s="2" t="str">
        <x:v>Portable tracker copy</x:v>
      </x:c>
      <x:c r="I5" s="2"/>
      <x:c r="J5" s="2"/>
      <x:c r="K5" s="2"/>
      <x:c r="L5" s="2"/>
      <x:c r="M5" s="2"/>
      <x:c r="N5" s="2"/>
      <x:c r="O5" s="2"/>
      <x:c r="P5" s="2"/>
    </x:row>
    <x:row r="6" ht="22" customHeight="1">
      <x:c r="A6" s="2"/>
      <x:c r="B6" s="2"/>
      <x:c r="C6" s="2"/>
      <x:c r="D6" s="2"/>
      <x:c r="E6" s="2"/>
      <x:c r="F6" s="2"/>
      <x:c r="G6" s="2"/>
      <x:c r="H6" s="4" t="str">
        <x:v>Choose one master. This workbook does not sync with the live tracker.</x:v>
      </x:c>
      <x:c r="I6" s="2"/>
      <x:c r="J6" s="2"/>
      <x:c r="K6" s="2"/>
      <x:c r="L6" s="2"/>
      <x:c r="M6" s="2"/>
      <x:c r="N6" s="2"/>
      <x:c r="O6" s="2"/>
      <x:c r="P6" s="2"/>
    </x:row>
    <x:row r="7" ht="22" customHeight="1">
      <x:c r="A7" s="2"/>
      <x:c r="B7" s="2"/>
      <x:c r="C7" s="2"/>
      <x:c r="D7" s="2"/>
      <x:c r="E7" s="2"/>
      <x:c r="F7" s="2"/>
      <x:c r="G7" s="2"/>
      <x:c r="H7" s="2"/>
      <x:c r="I7" s="2"/>
      <x:c r="J7" s="2"/>
      <x:c r="K7" s="2"/>
      <x:c r="L7" s="2"/>
      <x:c r="M7" s="2"/>
      <x:c r="N7" s="2"/>
      <x:c r="O7" s="2"/>
      <x:c r="P7" s="2"/>
    </x:row>
    <x:row r="8" ht="32" customHeight="1">
      <x:c r="A8" s="14" t="str">
        <x:v>Commercial measure</x:v>
      </x:c>
      <x:c r="B8" s="15" t="str">
        <x:v>Dec 16 goal</x:v>
      </x:c>
      <x:c r="C8" s="15" t="str">
        <x:v>Reported actual</x:v>
      </x:c>
      <x:c r="D8" s="15" t="str">
        <x:v>Gap</x:v>
      </x:c>
      <x:c r="E8" s="15" t="str">
        <x:v>Owner</x:v>
      </x:c>
      <x:c r="F8" s="16" t="str">
        <x:v>Target basis</x:v>
      </x:c>
      <x:c r="G8" s="2"/>
      <x:c r="H8" s="2"/>
      <x:c r="I8" s="2"/>
      <x:c r="J8" s="2"/>
      <x:c r="K8" s="2"/>
      <x:c r="L8" s="2"/>
      <x:c r="M8" s="2"/>
      <x:c r="N8" s="2"/>
      <x:c r="O8" s="2"/>
      <x:c r="P8" s="2"/>
    </x:row>
    <x:row r="9" ht="35" customHeight="1">
      <x:c r="A9" s="26" t="str">
        <x:v>Qualified inquiries</x:v>
      </x:c>
      <x:c r="B9" s="26" t="n">
        <x:v>40</x:v>
      </x:c>
      <x:c r="C9" s="26" t="str">
        <x:f>IF(SUMIFS('KPI Log'!$Q$7:$Q$992,'KPI Log'!$A$7:$A$992,$B$5,'KPI Log'!$B$7:$B$992,A9)=0,IF(COUNTIFS('KPI Log'!$A$7:$A$992,$B$5,'KPI Log'!$B$7:$B$992,A9,'KPI Log'!$H$7:$H$992,"n.a.")&gt;0,"n.a.","Not reported"),SUMIFS('KPI Log'!$H$7:$H$992,'KPI Log'!$A$7:$A$992,$B$5,'KPI Log'!$B$7:$B$992,A9))</x:f>
        <x:v>Not reported</x:v>
      </x:c>
      <x:c r="D9" s="26" t="str">
        <x:f>IF(AND(ISNUMBER(B9),ISNUMBER(C9)),C9-B9,"")</x:f>
      </x:c>
      <x:c r="E9" s="26" t="str">
        <x:v>Nova</x:v>
      </x:c>
      <x:c r="F9" s="26" t="str">
        <x:v>Proposed recovery outcome target</x:v>
      </x:c>
      <x:c r="G9" s="2"/>
      <x:c r="H9" s="2"/>
      <x:c r="I9" s="2"/>
      <x:c r="J9" s="2"/>
      <x:c r="K9" s="2"/>
      <x:c r="L9" s="2"/>
      <x:c r="M9" s="2"/>
      <x:c r="N9" s="2"/>
      <x:c r="O9" s="2"/>
      <x:c r="P9" s="2"/>
    </x:row>
    <x:row r="10" ht="35" customHeight="1">
      <x:c r="A10" s="26" t="str">
        <x:v>Qualified conversations booked</x:v>
      </x:c>
      <x:c r="B10" s="26" t="n">
        <x:v>20</x:v>
      </x:c>
      <x:c r="C10" s="26" t="str">
        <x:f>IF(SUMIFS('KPI Log'!$Q$7:$Q$992,'KPI Log'!$A$7:$A$992,$B$5,'KPI Log'!$B$7:$B$992,A10)=0,IF(COUNTIFS('KPI Log'!$A$7:$A$992,$B$5,'KPI Log'!$B$7:$B$992,A10,'KPI Log'!$H$7:$H$992,"n.a.")&gt;0,"n.a.","Not reported"),SUMIFS('KPI Log'!$H$7:$H$992,'KPI Log'!$A$7:$A$992,$B$5,'KPI Log'!$B$7:$B$992,A10))</x:f>
        <x:v>Not reported</x:v>
      </x:c>
      <x:c r="D10" s="26" t="str">
        <x:f>IF(AND(ISNUMBER(B10),ISNUMBER(C10)),C10-B10,"")</x:f>
      </x:c>
      <x:c r="E10" s="26" t="str">
        <x:v>Nova</x:v>
      </x:c>
      <x:c r="F10" s="26" t="str">
        <x:v>Source outcome target, re-dated</x:v>
      </x:c>
      <x:c r="G10" s="2"/>
      <x:c r="H10" s="2"/>
      <x:c r="I10" s="2"/>
      <x:c r="J10" s="2"/>
      <x:c r="K10" s="2"/>
      <x:c r="L10" s="2"/>
      <x:c r="M10" s="2"/>
      <x:c r="N10" s="2"/>
      <x:c r="O10" s="2"/>
      <x:c r="P10" s="2"/>
    </x:row>
    <x:row r="11" ht="35" customHeight="1">
      <x:c r="A11" s="26" t="str">
        <x:v>Qualified conversations held</x:v>
      </x:c>
      <x:c r="B11" s="26" t="n">
        <x:v>15</x:v>
      </x:c>
      <x:c r="C11" s="26" t="str">
        <x:f>IF(SUMIFS('KPI Log'!$Q$7:$Q$992,'KPI Log'!$A$7:$A$992,$B$5,'KPI Log'!$B$7:$B$992,A11)=0,IF(COUNTIFS('KPI Log'!$A$7:$A$992,$B$5,'KPI Log'!$B$7:$B$992,A11,'KPI Log'!$H$7:$H$992,"n.a.")&gt;0,"n.a.","Not reported"),SUMIFS('KPI Log'!$H$7:$H$992,'KPI Log'!$A$7:$A$992,$B$5,'KPI Log'!$B$7:$B$992,A11))</x:f>
        <x:v>Not reported</x:v>
      </x:c>
      <x:c r="D11" s="26" t="str">
        <x:f>IF(AND(ISNUMBER(B11),ISNUMBER(C11)),C11-B11,"")</x:f>
      </x:c>
      <x:c r="E11" s="26" t="str">
        <x:v>Nova</x:v>
      </x:c>
      <x:c r="F11" s="26" t="str">
        <x:v>Planning conversion target</x:v>
      </x:c>
      <x:c r="G11" s="2"/>
      <x:c r="H11" s="2"/>
      <x:c r="I11" s="2"/>
      <x:c r="J11" s="2"/>
      <x:c r="K11" s="2"/>
      <x:c r="L11" s="2"/>
      <x:c r="M11" s="2"/>
      <x:c r="N11" s="2"/>
      <x:c r="O11" s="2"/>
      <x:c r="P11" s="2"/>
    </x:row>
    <x:row r="12" ht="35" customHeight="1">
      <x:c r="A12" s="26" t="str">
        <x:v>Trial cases received by DSI</x:v>
      </x:c>
      <x:c r="B12" s="26" t="n">
        <x:v>6</x:v>
      </x:c>
      <x:c r="C12" s="26" t="str">
        <x:f>IF(SUMIFS('KPI Log'!$Q$7:$Q$992,'KPI Log'!$A$7:$A$992,$B$5,'KPI Log'!$B$7:$B$992,A12)=0,IF(COUNTIFS('KPI Log'!$A$7:$A$992,$B$5,'KPI Log'!$B$7:$B$992,A12,'KPI Log'!$H$7:$H$992,"n.a.")&gt;0,"n.a.","Not reported"),SUMIFS('KPI Log'!$H$7:$H$992,'KPI Log'!$A$7:$A$992,$B$5,'KPI Log'!$B$7:$B$992,A12))</x:f>
        <x:v>Not reported</x:v>
      </x:c>
      <x:c r="D12" s="26" t="str">
        <x:f>IF(AND(ISNUMBER(B12),ISNUMBER(C12)),C12-B12,"")</x:f>
      </x:c>
      <x:c r="E12" s="26" t="str">
        <x:v>Maseeha</x:v>
      </x:c>
      <x:c r="F12" s="26" t="str">
        <x:v>Source outcome target, re-dated</x:v>
      </x:c>
      <x:c r="G12" s="2"/>
      <x:c r="H12" s="2"/>
      <x:c r="I12" s="2"/>
      <x:c r="J12" s="2"/>
      <x:c r="K12" s="2"/>
      <x:c r="L12" s="2"/>
      <x:c r="M12" s="2"/>
      <x:c r="N12" s="2"/>
      <x:c r="O12" s="2"/>
      <x:c r="P12" s="2"/>
    </x:row>
    <x:row r="13" ht="35" customHeight="1">
      <x:c r="A13" s="26" t="str">
        <x:v>Recurring accounts signed</x:v>
      </x:c>
      <x:c r="B13" s="26" t="n">
        <x:v>1</x:v>
      </x:c>
      <x:c r="C13" s="26" t="str">
        <x:f>IF(SUMIFS('KPI Log'!$Q$7:$Q$992,'KPI Log'!$A$7:$A$992,$B$5,'KPI Log'!$B$7:$B$992,A13)=0,IF(COUNTIFS('KPI Log'!$A$7:$A$992,$B$5,'KPI Log'!$B$7:$B$992,A13,'KPI Log'!$H$7:$H$992,"n.a.")&gt;0,"n.a.","Not reported"),SUMIFS('KPI Log'!$H$7:$H$992,'KPI Log'!$A$7:$A$992,$B$5,'KPI Log'!$B$7:$B$992,A13))</x:f>
        <x:v>Not reported</x:v>
      </x:c>
      <x:c r="D13" s="26" t="str">
        <x:f>IF(AND(ISNUMBER(B13),ISNUMBER(C13)),C13-B13,"")</x:f>
      </x:c>
      <x:c r="E13" s="26" t="str">
        <x:v>Nic</x:v>
      </x:c>
      <x:c r="F13" s="26" t="str">
        <x:v>Conditional outcome target</x:v>
      </x:c>
      <x:c r="G13" s="2"/>
      <x:c r="H13" s="2"/>
      <x:c r="I13" s="2"/>
      <x:c r="J13" s="2"/>
      <x:c r="K13" s="2"/>
      <x:c r="L13" s="2"/>
      <x:c r="M13" s="2"/>
      <x:c r="N13" s="2"/>
      <x:c r="O13" s="2"/>
      <x:c r="P13" s="2"/>
    </x:row>
    <x:row r="14" ht="35" customHeight="1">
      <x:c r="A14" s="26" t="str">
        <x:v>Referral-sourced bookings</x:v>
      </x:c>
      <x:c r="B14" s="26" t="n">
        <x:v>8</x:v>
      </x:c>
      <x:c r="C14" s="26" t="str">
        <x:f>IF(SUMIFS('KPI Log'!$Q$7:$Q$992,'KPI Log'!$A$7:$A$992,$B$5,'KPI Log'!$B$7:$B$992,A14)=0,IF(COUNTIFS('KPI Log'!$A$7:$A$992,$B$5,'KPI Log'!$B$7:$B$992,A14,'KPI Log'!$H$7:$H$992,"n.a.")&gt;0,"n.a.","Not reported"),SUMIFS('KPI Log'!$H$7:$H$992,'KPI Log'!$A$7:$A$992,$B$5,'KPI Log'!$B$7:$B$992,A14))</x:f>
        <x:v>Not reported</x:v>
      </x:c>
      <x:c r="D14" s="26" t="str">
        <x:f>IF(AND(ISNUMBER(B14),ISNUMBER(C14)),C14-B14,"")</x:f>
      </x:c>
      <x:c r="E14" s="26" t="str">
        <x:v>Nova</x:v>
      </x:c>
      <x:c r="F14" s="26" t="str">
        <x:v>Source attribution target</x:v>
      </x:c>
      <x:c r="G14" s="2"/>
      <x:c r="H14" s="2"/>
      <x:c r="I14" s="2"/>
      <x:c r="J14" s="2"/>
      <x:c r="K14" s="2"/>
      <x:c r="L14" s="2"/>
      <x:c r="M14" s="2"/>
      <x:c r="N14" s="2"/>
      <x:c r="O14" s="2"/>
      <x:c r="P14" s="2"/>
    </x:row>
    <x:row r="15" ht="35" customHeight="1">
      <x:c r="A15" s="26" t="str">
        <x:v>LinkedIn DM-sourced bookings</x:v>
      </x:c>
      <x:c r="B15" s="26" t="n">
        <x:v>8</x:v>
      </x:c>
      <x:c r="C15" s="26" t="str">
        <x:f>IF(SUMIFS('KPI Log'!$Q$7:$Q$992,'KPI Log'!$A$7:$A$992,$B$5,'KPI Log'!$B$7:$B$992,A15)=0,IF(COUNTIFS('KPI Log'!$A$7:$A$992,$B$5,'KPI Log'!$B$7:$B$992,A15,'KPI Log'!$H$7:$H$992,"n.a.")&gt;0,"n.a.","Not reported"),SUMIFS('KPI Log'!$H$7:$H$992,'KPI Log'!$A$7:$A$992,$B$5,'KPI Log'!$B$7:$B$992,A15))</x:f>
        <x:v>Not reported</x:v>
      </x:c>
      <x:c r="D15" s="26" t="str">
        <x:f>IF(AND(ISNUMBER(B15),ISNUMBER(C15)),C15-B15,"")</x:f>
      </x:c>
      <x:c r="E15" s="26" t="str">
        <x:v>Dexter</x:v>
      </x:c>
      <x:c r="F15" s="26" t="str">
        <x:v>Source attribution target</x:v>
      </x:c>
      <x:c r="G15" s="2"/>
      <x:c r="H15" s="2"/>
      <x:c r="I15" s="2"/>
      <x:c r="J15" s="2"/>
      <x:c r="K15" s="2"/>
      <x:c r="L15" s="2"/>
      <x:c r="M15" s="2"/>
      <x:c r="N15" s="2"/>
      <x:c r="O15" s="2"/>
      <x:c r="P15" s="2"/>
    </x:row>
    <x:row r="16" ht="35" customHeight="1">
      <x:c r="A16" s="26" t="str">
        <x:v>Verified contacts ready</x:v>
      </x:c>
      <x:c r="B16" s="26" t="n">
        <x:v>750</x:v>
      </x:c>
      <x:c r="C16" s="26" t="str">
        <x:f>IF(SUMIFS('KPI Log'!$Q$7:$Q$992,'KPI Log'!$A$7:$A$992,$B$5,'KPI Log'!$B$7:$B$992,A16)=0,IF(COUNTIFS('KPI Log'!$A$7:$A$992,$B$5,'KPI Log'!$B$7:$B$992,A16,'KPI Log'!$H$7:$H$992,"n.a.")&gt;0,"n.a.","Not reported"),SUMIFS('KPI Log'!$H$7:$H$992,'KPI Log'!$A$7:$A$992,$B$5,'KPI Log'!$B$7:$B$992,A16))</x:f>
        <x:v>Not reported</x:v>
      </x:c>
      <x:c r="D16" s="26" t="str">
        <x:f>IF(AND(ISNUMBER(B16),ISNUMBER(C16)),C16-B16,"")</x:f>
      </x:c>
      <x:c r="E16" s="26" t="str">
        <x:v>Joey</x:v>
      </x:c>
      <x:c r="F16" s="26" t="str">
        <x:v>Source input target</x:v>
      </x:c>
      <x:c r="G16" s="2"/>
      <x:c r="H16" s="2"/>
      <x:c r="I16" s="2"/>
      <x:c r="J16" s="2"/>
      <x:c r="K16" s="2"/>
      <x:c r="L16" s="2"/>
      <x:c r="M16" s="2"/>
      <x:c r="N16" s="2"/>
      <x:c r="O16" s="2"/>
      <x:c r="P16" s="2"/>
    </x:row>
    <x:row r="17" ht="35" customHeight="1">
      <x:c r="A17" s="26" t="str">
        <x:v>Permission-based referral introductions</x:v>
      </x:c>
      <x:c r="B17" s="26" t="n">
        <x:v>15</x:v>
      </x:c>
      <x:c r="C17" s="26" t="str">
        <x:f>IF(SUMIFS('KPI Log'!$Q$7:$Q$992,'KPI Log'!$A$7:$A$992,$B$5,'KPI Log'!$B$7:$B$992,A17)=0,IF(COUNTIFS('KPI Log'!$A$7:$A$992,$B$5,'KPI Log'!$B$7:$B$992,A17,'KPI Log'!$H$7:$H$992,"n.a.")&gt;0,"n.a.","Not reported"),SUMIFS('KPI Log'!$H$7:$H$992,'KPI Log'!$A$7:$A$992,$B$5,'KPI Log'!$B$7:$B$992,A17))</x:f>
        <x:v>Not reported</x:v>
      </x:c>
      <x:c r="D17" s="26" t="str">
        <x:f>IF(AND(ISNUMBER(B17),ISNUMBER(C17)),C17-B17,"")</x:f>
      </x:c>
      <x:c r="E17" s="26" t="str">
        <x:v>Maseeha</x:v>
      </x:c>
      <x:c r="F17" s="26" t="str">
        <x:v>Source outcome target</x:v>
      </x:c>
      <x:c r="G17" s="2"/>
      <x:c r="H17" s="2"/>
      <x:c r="I17" s="2"/>
      <x:c r="J17" s="2"/>
      <x:c r="K17" s="2"/>
      <x:c r="L17" s="2"/>
      <x:c r="M17" s="2"/>
      <x:c r="N17" s="2"/>
      <x:c r="O17" s="2"/>
      <x:c r="P17" s="2"/>
    </x:row>
    <x:row r="18" ht="35" customHeight="1">
      <x:c r="A18" s="26" t="str">
        <x:v>Human reply rate</x:v>
      </x:c>
      <x:c r="B18" s="42" t="n">
        <x:v>0.03</x:v>
      </x:c>
      <x:c r="C18" s="42" t="str">
        <x:f>IF(SUMIFS('KPI Log'!$Q$7:$Q$992,'KPI Log'!$A$7:$A$992,$B$5,'KPI Log'!$B$7:$B$992,A18)=0,IF(COUNTIFS('KPI Log'!$A$7:$A$992,$B$5,'KPI Log'!$B$7:$B$992,A18,'KPI Log'!$H$7:$H$992,"n.a.")&gt;0,"n.a.","Not reported"),SUMIFS('KPI Log'!$H$7:$H$992,'KPI Log'!$A$7:$A$992,$B$5,'KPI Log'!$B$7:$B$992,A18))</x:f>
        <x:v>Not reported</x:v>
      </x:c>
      <x:c r="D18" s="42" t="str">
        <x:f>IF(AND(ISNUMBER(B18),ISNUMBER(C18)),C18-B18,"")</x:f>
      </x:c>
      <x:c r="E18" s="26" t="str">
        <x:v>Kenneth</x:v>
      </x:c>
      <x:c r="F18" s="26" t="str">
        <x:v>Source rate target</x:v>
      </x:c>
      <x:c r="G18" s="2"/>
      <x:c r="H18" s="2"/>
      <x:c r="I18" s="2"/>
      <x:c r="J18" s="2"/>
      <x:c r="K18" s="2"/>
      <x:c r="L18" s="2"/>
      <x:c r="M18" s="2"/>
      <x:c r="N18" s="2"/>
      <x:c r="O18" s="2"/>
      <x:c r="P18" s="2"/>
    </x:row>
    <x:row r="19" ht="35" customHeight="1">
      <x:c r="A19" s="26" t="str">
        <x:v>Positive reply rate</x:v>
      </x:c>
      <x:c r="B19" s="42" t="n">
        <x:v>0.015</x:v>
      </x:c>
      <x:c r="C19" s="42" t="str">
        <x:f>IF(SUMIFS('KPI Log'!$Q$7:$Q$992,'KPI Log'!$A$7:$A$992,$B$5,'KPI Log'!$B$7:$B$992,A19)=0,IF(COUNTIFS('KPI Log'!$A$7:$A$992,$B$5,'KPI Log'!$B$7:$B$992,A19,'KPI Log'!$H$7:$H$992,"n.a.")&gt;0,"n.a.","Not reported"),SUMIFS('KPI Log'!$H$7:$H$992,'KPI Log'!$A$7:$A$992,$B$5,'KPI Log'!$B$7:$B$992,A19))</x:f>
        <x:v>Not reported</x:v>
      </x:c>
      <x:c r="D19" s="42" t="str">
        <x:f>IF(AND(ISNUMBER(B19),ISNUMBER(C19)),C19-B19,"")</x:f>
      </x:c>
      <x:c r="E19" s="26" t="str">
        <x:v>Kenneth</x:v>
      </x:c>
      <x:c r="F19" s="26" t="str">
        <x:v>Source rate target</x:v>
      </x:c>
      <x:c r="G19" s="2"/>
      <x:c r="H19" s="2"/>
      <x:c r="I19" s="2"/>
      <x:c r="J19" s="2"/>
      <x:c r="K19" s="2"/>
      <x:c r="L19" s="2"/>
      <x:c r="M19" s="2"/>
      <x:c r="N19" s="2"/>
      <x:c r="O19" s="2"/>
      <x:c r="P19" s="2"/>
    </x:row>
    <x:row r="20" ht="35" customHeight="1">
      <x:c r="A20" s="26" t="str">
        <x:v>Replies answered within 15 minutes</x:v>
      </x:c>
      <x:c r="B20" s="42" t="n">
        <x:v>1</x:v>
      </x:c>
      <x:c r="C20" s="42" t="str">
        <x:f>IF(SUMIFS('KPI Log'!$Q$7:$Q$992,'KPI Log'!$A$7:$A$992,$B$5,'KPI Log'!$B$7:$B$992,A20)=0,IF(COUNTIFS('KPI Log'!$A$7:$A$992,$B$5,'KPI Log'!$B$7:$B$992,A20,'KPI Log'!$H$7:$H$992,"n.a.")&gt;0,"n.a.","Not reported"),SUMIFS('KPI Log'!$H$7:$H$992,'KPI Log'!$A$7:$A$992,$B$5,'KPI Log'!$B$7:$B$992,A20))</x:f>
        <x:v>Not reported</x:v>
      </x:c>
      <x:c r="D20" s="42" t="str">
        <x:f>IF(AND(ISNUMBER(B20),ISNUMBER(C20)),C20-B20,"")</x:f>
      </x:c>
      <x:c r="E20" s="26" t="str">
        <x:v>Nova</x:v>
      </x:c>
      <x:c r="F20" s="26" t="str">
        <x:v>Source service target</x:v>
      </x:c>
      <x:c r="G20" s="2"/>
      <x:c r="H20" s="2"/>
      <x:c r="I20" s="2"/>
      <x:c r="J20" s="2"/>
      <x:c r="K20" s="2"/>
      <x:c r="L20" s="2"/>
      <x:c r="M20" s="2"/>
      <x:c r="N20" s="2"/>
      <x:c r="O20" s="2"/>
      <x:c r="P20" s="2"/>
    </x:row>
    <x:row r="21" ht="35" customHeight="1">
      <x:c r="A21" s="26" t="str">
        <x:v>Held rate</x:v>
      </x:c>
      <x:c r="B21" s="42" t="n">
        <x:v>0.75</x:v>
      </x:c>
      <x:c r="C21" s="42" t="str">
        <x:f>IF(SUMIFS('KPI Log'!$Q$7:$Q$992,'KPI Log'!$A$7:$A$992,$B$5,'KPI Log'!$B$7:$B$992,A21)=0,IF(COUNTIFS('KPI Log'!$A$7:$A$992,$B$5,'KPI Log'!$B$7:$B$992,A21,'KPI Log'!$H$7:$H$992,"n.a.")&gt;0,"n.a.","Not reported"),SUMIFS('KPI Log'!$H$7:$H$992,'KPI Log'!$A$7:$A$992,$B$5,'KPI Log'!$B$7:$B$992,A21))</x:f>
        <x:v>Not reported</x:v>
      </x:c>
      <x:c r="D21" s="42" t="str">
        <x:f>IF(AND(ISNUMBER(B21),ISNUMBER(C21)),C21-B21,"")</x:f>
      </x:c>
      <x:c r="E21" s="26" t="str">
        <x:v>Nova</x:v>
      </x:c>
      <x:c r="F21" s="26" t="str">
        <x:v>Source service target</x:v>
      </x:c>
      <x:c r="G21" s="2"/>
      <x:c r="H21" s="2"/>
      <x:c r="I21" s="2"/>
      <x:c r="J21" s="2"/>
      <x:c r="K21" s="2"/>
      <x:c r="L21" s="2"/>
      <x:c r="M21" s="2"/>
      <x:c r="N21" s="2"/>
      <x:c r="O21" s="2"/>
      <x:c r="P21" s="2"/>
    </x:row>
    <x:row r="22" ht="35" customHeight="1">
      <x:c r="A22" s="26" t="str">
        <x:v>Positive-to-booked conversion</x:v>
      </x:c>
      <x:c r="B22" s="42" t="n">
        <x:v>0.5</x:v>
      </x:c>
      <x:c r="C22" s="42" t="str">
        <x:f>IF(SUMIFS('KPI Log'!$Q$7:$Q$992,'KPI Log'!$A$7:$A$992,$B$5,'KPI Log'!$B$7:$B$992,A22)=0,IF(COUNTIFS('KPI Log'!$A$7:$A$992,$B$5,'KPI Log'!$B$7:$B$992,A22,'KPI Log'!$H$7:$H$992,"n.a.")&gt;0,"n.a.","Not reported"),SUMIFS('KPI Log'!$H$7:$H$992,'KPI Log'!$A$7:$A$992,$B$5,'KPI Log'!$B$7:$B$992,A22))</x:f>
        <x:v>Not reported</x:v>
      </x:c>
      <x:c r="D22" s="42" t="str">
        <x:f>IF(AND(ISNUMBER(B22),ISNUMBER(C22)),C22-B22,"")</x:f>
      </x:c>
      <x:c r="E22" s="26" t="str">
        <x:v>Nova</x:v>
      </x:c>
      <x:c r="F22" s="26" t="str">
        <x:v>Source conversion target</x:v>
      </x:c>
      <x:c r="G22" s="2"/>
      <x:c r="H22" s="2"/>
      <x:c r="I22" s="2"/>
      <x:c r="J22" s="2"/>
      <x:c r="K22" s="2"/>
      <x:c r="L22" s="2"/>
      <x:c r="M22" s="2"/>
      <x:c r="N22" s="2"/>
      <x:c r="O22" s="2"/>
      <x:c r="P22" s="2"/>
    </x:row>
    <x:row r="23" ht="35" customHeight="1">
      <x:c r="A23" s="26" t="str">
        <x:v>Existing-account referral asks</x:v>
      </x:c>
      <x:c r="B23" s="26" t="n">
        <x:v>41</x:v>
      </x:c>
      <x:c r="C23" s="26" t="str">
        <x:f>IF(SUMIFS('KPI Log'!$Q$7:$Q$992,'KPI Log'!$A$7:$A$992,$B$5,'KPI Log'!$B$7:$B$992,A23)=0,IF(COUNTIFS('KPI Log'!$A$7:$A$992,$B$5,'KPI Log'!$B$7:$B$992,A23,'KPI Log'!$H$7:$H$992,"n.a.")&gt;0,"n.a.","Not reported"),SUMIFS('KPI Log'!$H$7:$H$992,'KPI Log'!$A$7:$A$992,$B$5,'KPI Log'!$B$7:$B$992,A23))</x:f>
        <x:v>Not reported</x:v>
      </x:c>
      <x:c r="D23" s="26" t="str">
        <x:f>IF(AND(ISNUMBER(B23),ISNUMBER(C23)),C23-B23,"")</x:f>
      </x:c>
      <x:c r="E23" s="26" t="str">
        <x:v>Maseeha</x:v>
      </x:c>
      <x:c r="F23" s="26" t="str">
        <x:v>Source activity target</x:v>
      </x:c>
      <x:c r="G23" s="2"/>
      <x:c r="H23" s="2"/>
      <x:c r="I23" s="2"/>
      <x:c r="J23" s="2"/>
      <x:c r="K23" s="2"/>
      <x:c r="L23" s="2"/>
      <x:c r="M23" s="2"/>
      <x:c r="N23" s="2"/>
      <x:c r="O23" s="2"/>
      <x:c r="P23" s="2"/>
    </x:row>
    <x:row r="24" ht="35" customHeight="1">
      <x:c r="A24" s="26" t="str">
        <x:v>Approved SOPs</x:v>
      </x:c>
      <x:c r="B24" s="26" t="n">
        <x:v>12</x:v>
      </x:c>
      <x:c r="C24" s="26" t="str">
        <x:f>IF(SUMIFS('KPI Log'!$Q$7:$Q$992,'KPI Log'!$A$7:$A$992,$B$5,'KPI Log'!$B$7:$B$992,A24)=0,IF(COUNTIFS('KPI Log'!$A$7:$A$992,$B$5,'KPI Log'!$B$7:$B$992,A24,'KPI Log'!$H$7:$H$992,"n.a.")&gt;0,"n.a.","Not reported"),SUMIFS('KPI Log'!$H$7:$H$992,'KPI Log'!$A$7:$A$992,$B$5,'KPI Log'!$B$7:$B$992,A24))</x:f>
        <x:v>Not reported</x:v>
      </x:c>
      <x:c r="D24" s="26" t="str">
        <x:f>IF(AND(ISNUMBER(B24),ISNUMBER(C24)),C24-B24,"")</x:f>
      </x:c>
      <x:c r="E24" s="26" t="str">
        <x:v>Wyline</x:v>
      </x:c>
      <x:c r="F24" s="26" t="str">
        <x:v>Corrected source count</x:v>
      </x:c>
      <x:c r="G24" s="2"/>
      <x:c r="H24" s="2"/>
      <x:c r="I24" s="2"/>
      <x:c r="J24" s="2"/>
      <x:c r="K24" s="2"/>
      <x:c r="L24" s="2"/>
      <x:c r="M24" s="2"/>
      <x:c r="N24" s="2"/>
      <x:c r="O24" s="2"/>
      <x:c r="P24" s="2"/>
    </x:row>
    <x:row r="25" ht="35" customHeight="1">
      <x:c r="A25" s="26" t="str">
        <x:v>Accepted AI agents</x:v>
      </x:c>
      <x:c r="B25" s="26" t="n">
        <x:v>8</x:v>
      </x:c>
      <x:c r="C25" s="26" t="str">
        <x:f>IF(SUMIFS('KPI Log'!$Q$7:$Q$992,'KPI Log'!$A$7:$A$992,$B$5,'KPI Log'!$B$7:$B$992,A25)=0,IF(COUNTIFS('KPI Log'!$A$7:$A$992,$B$5,'KPI Log'!$B$7:$B$992,A25,'KPI Log'!$H$7:$H$992,"n.a.")&gt;0,"n.a.","Not reported"),SUMIFS('KPI Log'!$H$7:$H$992,'KPI Log'!$A$7:$A$992,$B$5,'KPI Log'!$B$7:$B$992,A25))</x:f>
        <x:v>Not reported</x:v>
      </x:c>
      <x:c r="D25" s="26" t="str">
        <x:f>IF(AND(ISNUMBER(B25),ISNUMBER(C25)),C25-B25,"")</x:f>
      </x:c>
      <x:c r="E25" s="26" t="str">
        <x:v>Emman</x:v>
      </x:c>
      <x:c r="F25" s="26" t="str">
        <x:v>Source delivery target</x:v>
      </x:c>
      <x:c r="G25" s="2"/>
      <x:c r="H25" s="2"/>
      <x:c r="I25" s="2"/>
      <x:c r="J25" s="2"/>
      <x:c r="K25" s="2"/>
      <x:c r="L25" s="2"/>
      <x:c r="M25" s="2"/>
      <x:c r="N25" s="2"/>
      <x:c r="O25" s="2"/>
      <x:c r="P25" s="2"/>
    </x:row>
    <x:row r="26" ht="22" customHeight="1">
      <x:c r="A26" s="2"/>
      <x:c r="B26" s="2"/>
      <x:c r="C26" s="2"/>
      <x:c r="D26" s="2"/>
      <x:c r="E26" s="2"/>
      <x:c r="F26" s="2"/>
      <x:c r="G26" s="2"/>
      <x:c r="H26" s="2"/>
      <x:c r="I26" s="2"/>
      <x:c r="J26" s="2"/>
      <x:c r="K26" s="2"/>
      <x:c r="L26" s="2"/>
      <x:c r="M26" s="2"/>
      <x:c r="N26" s="2"/>
      <x:c r="O26" s="2"/>
      <x:c r="P26" s="2"/>
    </x:row>
    <x:row r="27" ht="22" customHeight="1">
      <x:c r="A27" s="2"/>
      <x:c r="B27" s="2"/>
      <x:c r="C27" s="2"/>
      <x:c r="D27" s="2"/>
      <x:c r="E27" s="2"/>
      <x:c r="F27" s="2"/>
      <x:c r="G27" s="2"/>
      <x:c r="H27" s="2"/>
      <x:c r="I27" s="2"/>
      <x:c r="J27" s="2"/>
      <x:c r="K27" s="2"/>
      <x:c r="L27" s="2"/>
      <x:c r="M27" s="2"/>
      <x:c r="N27" s="2"/>
      <x:c r="O27" s="2"/>
      <x:c r="P27" s="2"/>
    </x:row>
    <x:row r="28" ht="22" customHeight="1">
      <x:c r="A28" s="2"/>
      <x:c r="B28" s="2"/>
      <x:c r="C28" s="2"/>
      <x:c r="D28" s="2"/>
      <x:c r="E28" s="2"/>
      <x:c r="F28" s="2"/>
      <x:c r="G28" s="2"/>
      <x:c r="H28" s="2"/>
      <x:c r="I28" s="2"/>
      <x:c r="J28" s="2"/>
      <x:c r="K28" s="2"/>
      <x:c r="L28" s="2"/>
      <x:c r="M28" s="2"/>
      <x:c r="N28" s="2"/>
      <x:c r="O28" s="2"/>
      <x:c r="P28" s="2"/>
    </x:row>
    <x:row r="29" ht="26" customHeight="1">
      <x:c r="A29" s="44" t="str">
        <x:v>Delivery control</x:v>
      </x:c>
      <x:c r="B29" s="44"/>
      <x:c r="C29" s="44"/>
      <x:c r="D29" s="44"/>
      <x:c r="E29" s="44"/>
      <x:c r="F29" s="44"/>
      <x:c r="G29" s="2"/>
      <x:c r="H29" s="46" t="str">
        <x:v>Daily operating rhythm</x:v>
      </x:c>
      <x:c r="I29" s="2"/>
      <x:c r="J29" s="2"/>
      <x:c r="K29" s="2"/>
      <x:c r="L29" s="2"/>
      <x:c r="M29" s="2"/>
      <x:c r="N29" s="2"/>
      <x:c r="O29" s="2"/>
      <x:c r="P29" s="2"/>
    </x:row>
    <x:row r="30" ht="22" customHeight="1">
      <x:c r="A30" s="2" t="str">
        <x:v>Tasks due through report date</x:v>
      </x:c>
      <x:c r="B30" s="2" t="n">
        <x:f>COUNTIFS('Daily Tasks'!$B$7:$B$500,"&lt;="&amp;$B$5)</x:f>
        <x:v>9</x:v>
      </x:c>
      <x:c r="C30" s="2"/>
      <x:c r="D30" s="2"/>
      <x:c r="E30" s="2"/>
      <x:c r="F30" s="2"/>
      <x:c r="G30" s="2"/>
      <x:c r="H30" s="2" t="str">
        <x:v>07:45 PT</x:v>
      </x:c>
      <x:c r="I30" s="2" t="str">
        <x:v>Confirm roster and today’s priorities</x:v>
      </x:c>
      <x:c r="J30" s="2"/>
      <x:c r="K30" s="2"/>
      <x:c r="L30" s="2"/>
      <x:c r="M30" s="2"/>
      <x:c r="N30" s="2"/>
      <x:c r="O30" s="2"/>
      <x:c r="P30" s="2"/>
    </x:row>
    <x:row r="31" ht="22" customHeight="1">
      <x:c r="A31" s="2" t="str">
        <x:v>Accepted against due tasks</x:v>
      </x:c>
      <x:c r="B31" s="2" t="n">
        <x:f>SUMIFS('Daily Tasks'!$Q$7:$Q$500,'Daily Tasks'!$B$7:$B$500,"&lt;="&amp;$B$5,'Daily Tasks'!$P$7:$P$500,"&lt;="&amp;$B$5)</x:f>
        <x:v>0</x:v>
      </x:c>
      <x:c r="C31" s="2"/>
      <x:c r="D31" s="2"/>
      <x:c r="E31" s="2"/>
      <x:c r="F31" s="2"/>
      <x:c r="G31" s="2"/>
      <x:c r="H31" s="2" t="str">
        <x:v>09:00 PT</x:v>
      </x:c>
      <x:c r="I31" s="2" t="str">
        <x:v>Wyline reviews due work and blockers</x:v>
      </x:c>
      <x:c r="J31" s="2"/>
      <x:c r="K31" s="2"/>
      <x:c r="L31" s="2"/>
      <x:c r="M31" s="2"/>
      <x:c r="N31" s="2"/>
      <x:c r="O31" s="2"/>
      <x:c r="P31" s="2"/>
    </x:row>
    <x:row r="32" ht="22" customHeight="1">
      <x:c r="A32" s="2" t="str">
        <x:v>Open due tasks</x:v>
      </x:c>
      <x:c r="B32" s="2" t="n">
        <x:f>B30-B31</x:f>
        <x:v>9</x:v>
      </x:c>
      <x:c r="C32" s="2"/>
      <x:c r="D32" s="2"/>
      <x:c r="E32" s="2"/>
      <x:c r="F32" s="2"/>
      <x:c r="G32" s="2"/>
      <x:c r="H32" s="2" t="str">
        <x:v>13:00 PT</x:v>
      </x:c>
      <x:c r="I32" s="2" t="str">
        <x:v>Nova checks reply SLA and rescue queue</x:v>
      </x:c>
      <x:c r="J32" s="2"/>
      <x:c r="K32" s="2"/>
      <x:c r="L32" s="2"/>
      <x:c r="M32" s="2"/>
      <x:c r="N32" s="2"/>
      <x:c r="O32" s="2"/>
      <x:c r="P32" s="2"/>
    </x:row>
    <x:row r="33" ht="22" customHeight="1">
      <x:c r="A33" s="2" t="str">
        <x:v>Overdue tasks</x:v>
      </x:c>
      <x:c r="B33" s="2" t="n">
        <x:f>COUNTIFS('Daily Tasks'!$R$7:$R$500,"Overdue")</x:f>
        <x:v>0</x:v>
      </x:c>
      <x:c r="C33" s="2"/>
      <x:c r="D33" s="2"/>
      <x:c r="E33" s="2"/>
      <x:c r="F33" s="2"/>
      <x:c r="G33" s="2"/>
      <x:c r="H33" s="2" t="str">
        <x:v>16:30 PT</x:v>
      </x:c>
      <x:c r="I33" s="2" t="str">
        <x:v>Owners submit evidence and actuals</x:v>
      </x:c>
      <x:c r="J33" s="2"/>
      <x:c r="K33" s="2"/>
      <x:c r="L33" s="2"/>
      <x:c r="M33" s="2"/>
      <x:c r="N33" s="2"/>
      <x:c r="O33" s="2"/>
      <x:c r="P33" s="2"/>
    </x:row>
    <x:row r="34" ht="22" customHeight="1">
      <x:c r="A34" s="2" t="str">
        <x:v>Blocked tasks due</x:v>
      </x:c>
      <x:c r="B34" s="2" t="n">
        <x:f>COUNTIFS('Daily Tasks'!$I$7:$I$500,"Blocked",'Daily Tasks'!$B$7:$B$500,"&lt;="&amp;$B$5)</x:f>
        <x:v>0</x:v>
      </x:c>
      <x:c r="C34" s="2"/>
      <x:c r="D34" s="2"/>
      <x:c r="E34" s="2"/>
      <x:c r="F34" s="2"/>
      <x:c r="G34" s="2"/>
      <x:c r="H34" s="2" t="str">
        <x:v>17:00 PT</x:v>
      </x:c>
      <x:c r="I34" s="2" t="str">
        <x:v>Wyline accepts, recovers or escalates</x:v>
      </x:c>
      <x:c r="J34" s="2"/>
      <x:c r="K34" s="2"/>
      <x:c r="L34" s="2"/>
      <x:c r="M34" s="2"/>
      <x:c r="N34" s="2"/>
      <x:c r="O34" s="2"/>
      <x:c r="P34" s="2"/>
    </x:row>
    <x:row r="35" ht="22" customHeight="1">
      <x:c r="A35" s="2" t="str">
        <x:v>Accepted without full evidence</x:v>
      </x:c>
      <x:c r="B35" s="2" t="n">
        <x:f>COUNTIFS('Daily Tasks'!$I$7:$I$500,"Accepted",'Daily Tasks'!$Q$7:$Q$500,0)</x:f>
        <x:v>0</x:v>
      </x:c>
      <x:c r="C35" s="2"/>
      <x:c r="D35" s="2"/>
      <x:c r="E35" s="2"/>
      <x:c r="F35" s="2"/>
      <x:c r="G35" s="2"/>
      <x:c r="H35" s="2" t="str">
        <x:v>Friday</x:v>
      </x:c>
      <x:c r="I35" s="2" t="str">
        <x:v>Review outcomes, spend and next-week gates</x:v>
      </x:c>
      <x:c r="J35" s="2"/>
      <x:c r="K35" s="2"/>
      <x:c r="L35" s="2"/>
      <x:c r="M35" s="2"/>
      <x:c r="N35" s="2"/>
      <x:c r="O35" s="2"/>
      <x:c r="P35" s="2"/>
    </x:row>
    <x:row r="36" ht="22" customHeight="1">
      <x:c r="A36" s="2"/>
      <x:c r="B36" s="2"/>
      <x:c r="C36" s="2"/>
      <x:c r="D36" s="2"/>
      <x:c r="E36" s="2"/>
      <x:c r="F36" s="2"/>
      <x:c r="G36" s="2"/>
      <x:c r="H36" s="2"/>
      <x:c r="I36" s="2"/>
      <x:c r="J36" s="2"/>
      <x:c r="K36" s="2"/>
      <x:c r="L36" s="2"/>
      <x:c r="M36" s="2"/>
      <x:c r="N36" s="2"/>
      <x:c r="O36" s="2"/>
      <x:c r="P36" s="2"/>
    </x:row>
    <x:row r="37" ht="22" customHeight="1">
      <x:c r="A37" s="2"/>
      <x:c r="B37" s="2"/>
      <x:c r="C37" s="2"/>
      <x:c r="D37" s="2"/>
      <x:c r="E37" s="2"/>
      <x:c r="F37" s="2"/>
      <x:c r="G37" s="2"/>
      <x:c r="H37" s="2"/>
      <x:c r="I37" s="2"/>
      <x:c r="J37" s="2"/>
      <x:c r="K37" s="2"/>
      <x:c r="L37" s="2"/>
      <x:c r="M37" s="2"/>
      <x:c r="N37" s="2"/>
      <x:c r="O37" s="2"/>
      <x:c r="P37" s="2"/>
    </x:row>
    <x:row r="38" ht="32" customHeight="1">
      <x:c r="A38" s="14" t="str">
        <x:v>Owner</x:v>
      </x:c>
      <x:c r="B38" s="15" t="str">
        <x:v>Due to date</x:v>
      </x:c>
      <x:c r="C38" s="15" t="str">
        <x:v>Accepted</x:v>
      </x:c>
      <x:c r="D38" s="15" t="str">
        <x:v>Open</x:v>
      </x:c>
      <x:c r="E38" s="15" t="str">
        <x:v>Blocked</x:v>
      </x:c>
      <x:c r="F38" s="16" t="str">
        <x:v>Hours this week</x:v>
      </x:c>
      <x:c r="G38" s="2"/>
      <x:c r="H38" s="2" t="str">
        <x:v>Recovery rule</x:v>
      </x:c>
      <x:c r="I38" s="2"/>
      <x:c r="J38" s="2"/>
      <x:c r="K38" s="2"/>
      <x:c r="L38" s="2"/>
      <x:c r="M38" s="2"/>
      <x:c r="N38" s="2"/>
      <x:c r="O38" s="2"/>
      <x:c r="P38" s="2"/>
    </x:row>
    <x:row r="39" ht="22" customHeight="1">
      <x:c r="A39" s="2" t="str">
        <x:v>Wyline</x:v>
      </x:c>
      <x:c r="B39" s="2" t="n">
        <x:f>COUNTIFS('Daily Tasks'!$C$7:$C$500,A39,'Daily Tasks'!$B$7:$B$500,"&lt;="&amp;$B$5)</x:f>
        <x:v>1</x:v>
      </x:c>
      <x:c r="C39" s="2" t="n">
        <x:f>SUMIFS('Daily Tasks'!$Q$7:$Q$500,'Daily Tasks'!$C$7:$C$500,A39,'Daily Tasks'!$B$7:$B$500,"&lt;="&amp;$B$5,'Daily Tasks'!$P$7:$P$500,"&lt;="&amp;$B$5)</x:f>
        <x:v>0</x:v>
      </x:c>
      <x:c r="D39" s="2" t="n">
        <x:f>B39-C39</x:f>
        <x:v>1</x:v>
      </x:c>
      <x:c r="E39" s="2" t="n">
        <x:f>COUNTIFS('Daily Tasks'!$C$7:$C$500,A39,'Daily Tasks'!$I$7:$I$500,"Blocked",'Daily Tasks'!$B$7:$B$500,"&lt;="&amp;$B$5)</x:f>
        <x:v>0</x:v>
      </x:c>
      <x:c r="F39" s="45" t="n">
        <x:f>SUMIFS('Daily Tasks'!$V$7:$V$500,'Daily Tasks'!$C$7:$C$500,A39,'Daily Tasks'!$Y$7:$Y$500,$B$5-WEEKDAY($B$5,2)+1)</x:f>
        <x:v>5</x:v>
      </x:c>
      <x:c r="G39" s="2"/>
      <x:c r="H39" s="2" t="str">
        <x:v>Keep the original deadline. Record the blocker, rescue owner and recovery date.</x:v>
      </x:c>
      <x:c r="I39" s="2"/>
      <x:c r="J39" s="2"/>
      <x:c r="K39" s="2"/>
      <x:c r="L39" s="2"/>
      <x:c r="M39" s="2"/>
      <x:c r="N39" s="2"/>
      <x:c r="O39" s="2"/>
      <x:c r="P39" s="2"/>
    </x:row>
    <x:row r="40" ht="22" customHeight="1">
      <x:c r="A40" s="2" t="str">
        <x:v>Kenneth</x:v>
      </x:c>
      <x:c r="B40" s="2" t="n">
        <x:f>COUNTIFS('Daily Tasks'!$C$7:$C$500,A40,'Daily Tasks'!$B$7:$B$500,"&lt;="&amp;$B$5)</x:f>
        <x:v>1</x:v>
      </x:c>
      <x:c r="C40" s="2" t="n">
        <x:f>SUMIFS('Daily Tasks'!$Q$7:$Q$500,'Daily Tasks'!$C$7:$C$500,A40,'Daily Tasks'!$B$7:$B$500,"&lt;="&amp;$B$5,'Daily Tasks'!$P$7:$P$500,"&lt;="&amp;$B$5)</x:f>
        <x:v>0</x:v>
      </x:c>
      <x:c r="D40" s="2" t="n">
        <x:f>B40-C40</x:f>
        <x:v>1</x:v>
      </x:c>
      <x:c r="E40" s="2" t="n">
        <x:f>COUNTIFS('Daily Tasks'!$C$7:$C$500,A40,'Daily Tasks'!$I$7:$I$500,"Blocked",'Daily Tasks'!$B$7:$B$500,"&lt;="&amp;$B$5)</x:f>
        <x:v>0</x:v>
      </x:c>
      <x:c r="F40" s="45" t="n">
        <x:f>SUMIFS('Daily Tasks'!$V$7:$V$500,'Daily Tasks'!$C$7:$C$500,A40,'Daily Tasks'!$Y$7:$Y$500,$B$5-WEEKDAY($B$5,2)+1)</x:f>
        <x:v>4.5</x:v>
      </x:c>
      <x:c r="G40" s="2"/>
      <x:c r="H40" s="2"/>
      <x:c r="I40" s="2"/>
      <x:c r="J40" s="2"/>
      <x:c r="K40" s="2"/>
      <x:c r="L40" s="2"/>
      <x:c r="M40" s="2"/>
      <x:c r="N40" s="2"/>
      <x:c r="O40" s="2"/>
      <x:c r="P40" s="2"/>
    </x:row>
    <x:row r="41" ht="22" customHeight="1">
      <x:c r="A41" s="2" t="str">
        <x:v>Joey</x:v>
      </x:c>
      <x:c r="B41" s="2" t="n">
        <x:f>COUNTIFS('Daily Tasks'!$C$7:$C$500,A41,'Daily Tasks'!$B$7:$B$500,"&lt;="&amp;$B$5)</x:f>
        <x:v>1</x:v>
      </x:c>
      <x:c r="C41" s="2" t="n">
        <x:f>SUMIFS('Daily Tasks'!$Q$7:$Q$500,'Daily Tasks'!$C$7:$C$500,A41,'Daily Tasks'!$B$7:$B$500,"&lt;="&amp;$B$5,'Daily Tasks'!$P$7:$P$500,"&lt;="&amp;$B$5)</x:f>
        <x:v>0</x:v>
      </x:c>
      <x:c r="D41" s="2" t="n">
        <x:f>B41-C41</x:f>
        <x:v>1</x:v>
      </x:c>
      <x:c r="E41" s="2" t="n">
        <x:f>COUNTIFS('Daily Tasks'!$C$7:$C$500,A41,'Daily Tasks'!$I$7:$I$500,"Blocked",'Daily Tasks'!$B$7:$B$500,"&lt;="&amp;$B$5)</x:f>
        <x:v>0</x:v>
      </x:c>
      <x:c r="F41" s="45" t="n">
        <x:f>SUMIFS('Daily Tasks'!$V$7:$V$500,'Daily Tasks'!$C$7:$C$500,A41,'Daily Tasks'!$Y$7:$Y$500,$B$5-WEEKDAY($B$5,2)+1)</x:f>
        <x:v>6</x:v>
      </x:c>
      <x:c r="G41" s="2"/>
      <x:c r="H41" s="2" t="str">
        <x:v>No activity is an outcome</x:v>
      </x:c>
      <x:c r="I41" s="2"/>
      <x:c r="J41" s="2"/>
      <x:c r="K41" s="2"/>
      <x:c r="L41" s="2"/>
      <x:c r="M41" s="2"/>
      <x:c r="N41" s="2"/>
      <x:c r="O41" s="2"/>
      <x:c r="P41" s="2"/>
    </x:row>
    <x:row r="42" ht="22" customHeight="1">
      <x:c r="A42" s="2" t="str">
        <x:v>Nova</x:v>
      </x:c>
      <x:c r="B42" s="2" t="n">
        <x:f>COUNTIFS('Daily Tasks'!$C$7:$C$500,A42,'Daily Tasks'!$B$7:$B$500,"&lt;="&amp;$B$5)</x:f>
        <x:v>1</x:v>
      </x:c>
      <x:c r="C42" s="2" t="n">
        <x:f>SUMIFS('Daily Tasks'!$Q$7:$Q$500,'Daily Tasks'!$C$7:$C$500,A42,'Daily Tasks'!$B$7:$B$500,"&lt;="&amp;$B$5,'Daily Tasks'!$P$7:$P$500,"&lt;="&amp;$B$5)</x:f>
        <x:v>0</x:v>
      </x:c>
      <x:c r="D42" s="2" t="n">
        <x:f>B42-C42</x:f>
        <x:v>1</x:v>
      </x:c>
      <x:c r="E42" s="2" t="n">
        <x:f>COUNTIFS('Daily Tasks'!$C$7:$C$500,A42,'Daily Tasks'!$I$7:$I$500,"Blocked",'Daily Tasks'!$B$7:$B$500,"&lt;="&amp;$B$5)</x:f>
        <x:v>0</x:v>
      </x:c>
      <x:c r="F42" s="45" t="n">
        <x:f>SUMIFS('Daily Tasks'!$V$7:$V$500,'Daily Tasks'!$C$7:$C$500,A42,'Daily Tasks'!$Y$7:$Y$500,$B$5-WEEKDAY($B$5,2)+1)</x:f>
        <x:v>7</x:v>
      </x:c>
      <x:c r="G42" s="2"/>
      <x:c r="H42" s="2" t="str">
        <x:v>Raw contacts are not qualified inquiries. Channel bookings are subsets of total bookings.</x:v>
      </x:c>
      <x:c r="I42" s="2"/>
      <x:c r="J42" s="2"/>
      <x:c r="K42" s="2"/>
      <x:c r="L42" s="2"/>
      <x:c r="M42" s="2"/>
      <x:c r="N42" s="2"/>
      <x:c r="O42" s="2"/>
      <x:c r="P42" s="2"/>
    </x:row>
    <x:row r="43" ht="22" customHeight="1">
      <x:c r="A43" s="2" t="str">
        <x:v>Emman</x:v>
      </x:c>
      <x:c r="B43" s="2" t="n">
        <x:f>COUNTIFS('Daily Tasks'!$C$7:$C$500,A43,'Daily Tasks'!$B$7:$B$500,"&lt;="&amp;$B$5)</x:f>
        <x:v>1</x:v>
      </x:c>
      <x:c r="C43" s="2" t="n">
        <x:f>SUMIFS('Daily Tasks'!$Q$7:$Q$500,'Daily Tasks'!$C$7:$C$500,A43,'Daily Tasks'!$B$7:$B$500,"&lt;="&amp;$B$5,'Daily Tasks'!$P$7:$P$500,"&lt;="&amp;$B$5)</x:f>
        <x:v>0</x:v>
      </x:c>
      <x:c r="D43" s="2" t="n">
        <x:f>B43-C43</x:f>
        <x:v>1</x:v>
      </x:c>
      <x:c r="E43" s="2" t="n">
        <x:f>COUNTIFS('Daily Tasks'!$C$7:$C$500,A43,'Daily Tasks'!$I$7:$I$500,"Blocked",'Daily Tasks'!$B$7:$B$500,"&lt;="&amp;$B$5)</x:f>
        <x:v>0</x:v>
      </x:c>
      <x:c r="F43" s="45" t="n">
        <x:f>SUMIFS('Daily Tasks'!$V$7:$V$500,'Daily Tasks'!$C$7:$C$500,A43,'Daily Tasks'!$Y$7:$Y$500,$B$5-WEEKDAY($B$5,2)+1)</x:f>
        <x:v>7</x:v>
      </x:c>
      <x:c r="G43" s="2"/>
      <x:c r="H43" s="2"/>
      <x:c r="I43" s="2"/>
      <x:c r="J43" s="2"/>
      <x:c r="K43" s="2"/>
      <x:c r="L43" s="2"/>
      <x:c r="M43" s="2"/>
      <x:c r="N43" s="2"/>
      <x:c r="O43" s="2"/>
      <x:c r="P43" s="2"/>
    </x:row>
    <x:row r="44" ht="22" customHeight="1">
      <x:c r="A44" s="2" t="str">
        <x:v>Ludwig</x:v>
      </x:c>
      <x:c r="B44" s="2" t="n">
        <x:f>COUNTIFS('Daily Tasks'!$C$7:$C$500,A44,'Daily Tasks'!$B$7:$B$500,"&lt;="&amp;$B$5)</x:f>
        <x:v>1</x:v>
      </x:c>
      <x:c r="C44" s="2" t="n">
        <x:f>SUMIFS('Daily Tasks'!$Q$7:$Q$500,'Daily Tasks'!$C$7:$C$500,A44,'Daily Tasks'!$B$7:$B$500,"&lt;="&amp;$B$5,'Daily Tasks'!$P$7:$P$500,"&lt;="&amp;$B$5)</x:f>
        <x:v>0</x:v>
      </x:c>
      <x:c r="D44" s="2" t="n">
        <x:f>B44-C44</x:f>
        <x:v>1</x:v>
      </x:c>
      <x:c r="E44" s="2" t="n">
        <x:f>COUNTIFS('Daily Tasks'!$C$7:$C$500,A44,'Daily Tasks'!$I$7:$I$500,"Blocked",'Daily Tasks'!$B$7:$B$500,"&lt;="&amp;$B$5)</x:f>
        <x:v>0</x:v>
      </x:c>
      <x:c r="F44" s="45" t="n">
        <x:f>SUMIFS('Daily Tasks'!$V$7:$V$500,'Daily Tasks'!$C$7:$C$500,A44,'Daily Tasks'!$Y$7:$Y$500,$B$5-WEEKDAY($B$5,2)+1)</x:f>
        <x:v>3</x:v>
      </x:c>
      <x:c r="G44" s="2"/>
      <x:c r="H44" s="2" t="str">
        <x:v>Missing evidence stays open</x:v>
      </x:c>
      <x:c r="I44" s="2"/>
      <x:c r="J44" s="2"/>
      <x:c r="K44" s="2"/>
      <x:c r="L44" s="2"/>
      <x:c r="M44" s="2"/>
      <x:c r="N44" s="2"/>
      <x:c r="O44" s="2"/>
      <x:c r="P44" s="2"/>
    </x:row>
    <x:row r="45" ht="22" customHeight="1">
      <x:c r="A45" s="2" t="str">
        <x:v>Alvin</x:v>
      </x:c>
      <x:c r="B45" s="2" t="n">
        <x:f>COUNTIFS('Daily Tasks'!$C$7:$C$500,A45,'Daily Tasks'!$B$7:$B$500,"&lt;="&amp;$B$5)</x:f>
        <x:v>1</x:v>
      </x:c>
      <x:c r="C45" s="2" t="n">
        <x:f>SUMIFS('Daily Tasks'!$Q$7:$Q$500,'Daily Tasks'!$C$7:$C$500,A45,'Daily Tasks'!$B$7:$B$500,"&lt;="&amp;$B$5,'Daily Tasks'!$P$7:$P$500,"&lt;="&amp;$B$5)</x:f>
        <x:v>0</x:v>
      </x:c>
      <x:c r="D45" s="2" t="n">
        <x:f>B45-C45</x:f>
        <x:v>1</x:v>
      </x:c>
      <x:c r="E45" s="2" t="n">
        <x:f>COUNTIFS('Daily Tasks'!$C$7:$C$500,A45,'Daily Tasks'!$I$7:$I$500,"Blocked",'Daily Tasks'!$B$7:$B$500,"&lt;="&amp;$B$5)</x:f>
        <x:v>0</x:v>
      </x:c>
      <x:c r="F45" s="45" t="n">
        <x:f>SUMIFS('Daily Tasks'!$V$7:$V$500,'Daily Tasks'!$C$7:$C$500,A45,'Daily Tasks'!$Y$7:$Y$500,$B$5-WEEKDAY($B$5,2)+1)</x:f>
        <x:v>4</x:v>
      </x:c>
      <x:c r="G45" s="2"/>
      <x:c r="H45" s="2" t="str">
        <x:v>Review is pending. Accepted only counts after evidence, actuals, date and reviewer are complete.</x:v>
      </x:c>
      <x:c r="I45" s="2"/>
      <x:c r="J45" s="2"/>
      <x:c r="K45" s="2"/>
      <x:c r="L45" s="2"/>
      <x:c r="M45" s="2"/>
      <x:c r="N45" s="2"/>
      <x:c r="O45" s="2"/>
      <x:c r="P45" s="2"/>
    </x:row>
    <x:row r="46" ht="22" customHeight="1">
      <x:c r="A46" s="2" t="str">
        <x:v>Brian</x:v>
      </x:c>
      <x:c r="B46" s="2" t="n">
        <x:f>COUNTIFS('Daily Tasks'!$C$7:$C$500,A46,'Daily Tasks'!$B$7:$B$500,"&lt;="&amp;$B$5)</x:f>
        <x:v>1</x:v>
      </x:c>
      <x:c r="C46" s="2" t="n">
        <x:f>SUMIFS('Daily Tasks'!$Q$7:$Q$500,'Daily Tasks'!$C$7:$C$500,A46,'Daily Tasks'!$B$7:$B$500,"&lt;="&amp;$B$5,'Daily Tasks'!$P$7:$P$500,"&lt;="&amp;$B$5)</x:f>
        <x:v>0</x:v>
      </x:c>
      <x:c r="D46" s="2" t="n">
        <x:f>B46-C46</x:f>
        <x:v>1</x:v>
      </x:c>
      <x:c r="E46" s="2" t="n">
        <x:f>COUNTIFS('Daily Tasks'!$C$7:$C$500,A46,'Daily Tasks'!$I$7:$I$500,"Blocked",'Daily Tasks'!$B$7:$B$500,"&lt;="&amp;$B$5)</x:f>
        <x:v>0</x:v>
      </x:c>
      <x:c r="F46" s="45" t="n">
        <x:f>SUMIFS('Daily Tasks'!$V$7:$V$500,'Daily Tasks'!$C$7:$C$500,A46,'Daily Tasks'!$Y$7:$Y$500,$B$5-WEEKDAY($B$5,2)+1)</x:f>
        <x:v>3.5</x:v>
      </x:c>
      <x:c r="G46" s="2"/>
      <x:c r="H46" s="2"/>
      <x:c r="I46" s="2"/>
      <x:c r="J46" s="2"/>
      <x:c r="K46" s="2"/>
      <x:c r="L46" s="2"/>
      <x:c r="M46" s="2"/>
      <x:c r="N46" s="2"/>
      <x:c r="O46" s="2"/>
      <x:c r="P46" s="2"/>
    </x:row>
    <x:row r="47" ht="22" customHeight="1">
      <x:c r="A47" s="2" t="str">
        <x:v>Dexter</x:v>
      </x:c>
      <x:c r="B47" s="2" t="n">
        <x:f>COUNTIFS('Daily Tasks'!$C$7:$C$500,A47,'Daily Tasks'!$B$7:$B$500,"&lt;="&amp;$B$5)</x:f>
        <x:v>1</x:v>
      </x:c>
      <x:c r="C47" s="2" t="n">
        <x:f>SUMIFS('Daily Tasks'!$Q$7:$Q$500,'Daily Tasks'!$C$7:$C$500,A47,'Daily Tasks'!$B$7:$B$500,"&lt;="&amp;$B$5,'Daily Tasks'!$P$7:$P$500,"&lt;="&amp;$B$5)</x:f>
        <x:v>0</x:v>
      </x:c>
      <x:c r="D47" s="2" t="n">
        <x:f>B47-C47</x:f>
        <x:v>1</x:v>
      </x:c>
      <x:c r="E47" s="2" t="n">
        <x:f>COUNTIFS('Daily Tasks'!$C$7:$C$500,A47,'Daily Tasks'!$I$7:$I$500,"Blocked",'Daily Tasks'!$B$7:$B$500,"&lt;="&amp;$B$5)</x:f>
        <x:v>0</x:v>
      </x:c>
      <x:c r="F47" s="45" t="n">
        <x:f>SUMIFS('Daily Tasks'!$V$7:$V$500,'Daily Tasks'!$C$7:$C$500,A47,'Daily Tasks'!$Y$7:$Y$500,$B$5-WEEKDAY($B$5,2)+1)</x:f>
        <x:v>4.5</x:v>
      </x:c>
      <x:c r="G47" s="2"/>
      <x:c r="H47" s="2"/>
      <x:c r="I47" s="2"/>
      <x:c r="J47" s="2"/>
      <x:c r="K47" s="2"/>
      <x:c r="L47" s="2"/>
      <x:c r="M47" s="2"/>
      <x:c r="N47" s="2"/>
      <x:c r="O47" s="2"/>
      <x:c r="P47" s="2"/>
    </x:row>
    <x:row r="48" ht="22" customHeight="1">
      <x:c r="A48" s="2" t="str">
        <x:v>Setter 1</x:v>
      </x:c>
      <x:c r="B48" s="2" t="n">
        <x:f>COUNTIFS('Daily Tasks'!$C$7:$C$500,A48,'Daily Tasks'!$B$7:$B$500,"&lt;="&amp;$B$5)</x:f>
        <x:v>0</x:v>
      </x:c>
      <x:c r="C48" s="2" t="n">
        <x:f>SUMIFS('Daily Tasks'!$Q$7:$Q$500,'Daily Tasks'!$C$7:$C$500,A48,'Daily Tasks'!$B$7:$B$500,"&lt;="&amp;$B$5,'Daily Tasks'!$P$7:$P$500,"&lt;="&amp;$B$5)</x:f>
        <x:v>0</x:v>
      </x:c>
      <x:c r="D48" s="2" t="n">
        <x:f>B48-C48</x:f>
        <x:v>0</x:v>
      </x:c>
      <x:c r="E48" s="2" t="n">
        <x:f>COUNTIFS('Daily Tasks'!$C$7:$C$500,A48,'Daily Tasks'!$I$7:$I$500,"Blocked",'Daily Tasks'!$B$7:$B$500,"&lt;="&amp;$B$5)</x:f>
        <x:v>0</x:v>
      </x:c>
      <x:c r="F48" s="45" t="n">
        <x:f>SUMIFS('Daily Tasks'!$V$7:$V$500,'Daily Tasks'!$C$7:$C$500,A48,'Daily Tasks'!$Y$7:$Y$500,$B$5-WEEKDAY($B$5,2)+1)</x:f>
        <x:v>0</x:v>
      </x:c>
      <x:c r="G48" s="2"/>
      <x:c r="H48" s="46" t="str">
        <x:v>Gate verification</x:v>
      </x:c>
      <x:c r="I48" s="2"/>
      <x:c r="J48" s="2"/>
      <x:c r="K48" s="2"/>
      <x:c r="L48" s="2"/>
      <x:c r="M48" s="2"/>
      <x:c r="N48" s="2"/>
      <x:c r="O48" s="2"/>
      <x:c r="P48" s="2"/>
    </x:row>
    <x:row r="49" ht="22" customHeight="1">
      <x:c r="A49" s="2" t="str">
        <x:v>Setter 2</x:v>
      </x:c>
      <x:c r="B49" s="2" t="n">
        <x:f>COUNTIFS('Daily Tasks'!$C$7:$C$500,A49,'Daily Tasks'!$B$7:$B$500,"&lt;="&amp;$B$5)</x:f>
        <x:v>0</x:v>
      </x:c>
      <x:c r="C49" s="2" t="n">
        <x:f>SUMIFS('Daily Tasks'!$Q$7:$Q$500,'Daily Tasks'!$C$7:$C$500,A49,'Daily Tasks'!$B$7:$B$500,"&lt;="&amp;$B$5,'Daily Tasks'!$P$7:$P$500,"&lt;="&amp;$B$5)</x:f>
        <x:v>0</x:v>
      </x:c>
      <x:c r="D49" s="2" t="n">
        <x:f>B49-C49</x:f>
        <x:v>0</x:v>
      </x:c>
      <x:c r="E49" s="2" t="n">
        <x:f>COUNTIFS('Daily Tasks'!$C$7:$C$500,A49,'Daily Tasks'!$I$7:$I$500,"Blocked",'Daily Tasks'!$B$7:$B$500,"&lt;="&amp;$B$5)</x:f>
        <x:v>0</x:v>
      </x:c>
      <x:c r="F49" s="45" t="n">
        <x:f>SUMIFS('Daily Tasks'!$V$7:$V$500,'Daily Tasks'!$C$7:$C$500,A49,'Daily Tasks'!$Y$7:$Y$500,$B$5-WEEKDAY($B$5,2)+1)</x:f>
        <x:v>0</x:v>
      </x:c>
      <x:c r="G49" s="2"/>
      <x:c r="H49" s="2" t="str">
        <x:v>Supporting work does not verify an outcome. Review gate results separately on Gates.</x:v>
      </x:c>
      <x:c r="I49" s="2"/>
      <x:c r="J49" s="2"/>
      <x:c r="K49" s="2"/>
      <x:c r="L49" s="2"/>
      <x:c r="M49" s="2"/>
      <x:c r="N49" s="2"/>
      <x:c r="O49" s="2"/>
      <x:c r="P49" s="2"/>
    </x:row>
    <x:row r="50" ht="22" customHeight="1">
      <x:c r="A50" s="2" t="str">
        <x:v>Nic</x:v>
      </x:c>
      <x:c r="B50" s="2" t="n">
        <x:f>COUNTIFS('Daily Tasks'!$C$7:$C$500,A50,'Daily Tasks'!$B$7:$B$500,"&lt;="&amp;$B$5)</x:f>
        <x:v>0</x:v>
      </x:c>
      <x:c r="C50" s="2" t="n">
        <x:f>SUMIFS('Daily Tasks'!$Q$7:$Q$500,'Daily Tasks'!$C$7:$C$500,A50,'Daily Tasks'!$B$7:$B$500,"&lt;="&amp;$B$5,'Daily Tasks'!$P$7:$P$500,"&lt;="&amp;$B$5)</x:f>
        <x:v>0</x:v>
      </x:c>
      <x:c r="D50" s="2" t="n">
        <x:f>B50-C50</x:f>
        <x:v>0</x:v>
      </x:c>
      <x:c r="E50" s="2" t="n">
        <x:f>COUNTIFS('Daily Tasks'!$C$7:$C$500,A50,'Daily Tasks'!$I$7:$I$500,"Blocked",'Daily Tasks'!$B$7:$B$500,"&lt;="&amp;$B$5)</x:f>
        <x:v>0</x:v>
      </x:c>
      <x:c r="F50" s="45" t="n">
        <x:f>SUMIFS('Daily Tasks'!$V$7:$V$500,'Daily Tasks'!$C$7:$C$500,A50,'Daily Tasks'!$Y$7:$Y$500,$B$5-WEEKDAY($B$5,2)+1)</x:f>
        <x:v>0</x:v>
      </x:c>
      <x:c r="G50" s="2"/>
      <x:c r="H50" s="2"/>
      <x:c r="I50" s="2"/>
      <x:c r="J50" s="2"/>
      <x:c r="K50" s="2"/>
      <x:c r="L50" s="2"/>
      <x:c r="M50" s="2"/>
      <x:c r="N50" s="2"/>
      <x:c r="O50" s="2"/>
      <x:c r="P50" s="2"/>
    </x:row>
    <x:row r="51" ht="22" customHeight="1">
      <x:c r="A51" s="2" t="str">
        <x:v>Maseeha</x:v>
      </x:c>
      <x:c r="B51" s="2" t="n">
        <x:f>COUNTIFS('Daily Tasks'!$C$7:$C$500,A51,'Daily Tasks'!$B$7:$B$500,"&lt;="&amp;$B$5)</x:f>
        <x:v>0</x:v>
      </x:c>
      <x:c r="C51" s="2" t="n">
        <x:f>SUMIFS('Daily Tasks'!$Q$7:$Q$500,'Daily Tasks'!$C$7:$C$500,A51,'Daily Tasks'!$B$7:$B$500,"&lt;="&amp;$B$5,'Daily Tasks'!$P$7:$P$500,"&lt;="&amp;$B$5)</x:f>
        <x:v>0</x:v>
      </x:c>
      <x:c r="D51" s="2" t="n">
        <x:f>B51-C51</x:f>
        <x:v>0</x:v>
      </x:c>
      <x:c r="E51" s="2" t="n">
        <x:f>COUNTIFS('Daily Tasks'!$C$7:$C$500,A51,'Daily Tasks'!$I$7:$I$500,"Blocked",'Daily Tasks'!$B$7:$B$500,"&lt;="&amp;$B$5)</x:f>
        <x:v>0</x:v>
      </x:c>
      <x:c r="F51" s="45" t="n">
        <x:f>SUMIFS('Daily Tasks'!$V$7:$V$500,'Daily Tasks'!$C$7:$C$500,A51,'Daily Tasks'!$Y$7:$Y$500,$B$5-WEEKDAY($B$5,2)+1)</x:f>
        <x:v>0</x:v>
      </x:c>
      <x:c r="G51" s="2"/>
      <x:c r="H51" s="2" t="str">
        <x:v>Gates due to date</x:v>
      </x:c>
      <x:c r="I51" s="2"/>
      <x:c r="J51" s="2"/>
      <x:c r="K51" s="2" t="n">
        <x:f>COUNTIFS('Gates'!$B$7:$B$27,"&lt;="&amp;$B$5)</x:f>
        <x:v>1</x:v>
      </x:c>
      <x:c r="L51" s="2"/>
      <x:c r="M51" s="2"/>
      <x:c r="N51" s="2"/>
      <x:c r="O51" s="2"/>
      <x:c r="P51" s="2"/>
    </x:row>
    <x:row r="52" ht="22" customHeight="1">
      <x:c r="A52" s="2"/>
      <x:c r="B52" s="2"/>
      <x:c r="C52" s="2"/>
      <x:c r="D52" s="2"/>
      <x:c r="E52" s="2"/>
      <x:c r="F52" s="2"/>
      <x:c r="G52" s="2"/>
      <x:c r="H52" s="2" t="str">
        <x:v>Verified due gates</x:v>
      </x:c>
      <x:c r="I52" s="2"/>
      <x:c r="J52" s="2"/>
      <x:c r="K52" s="2" t="n">
        <x:f>SUMIFS('Gates'!$J$7:$J$27,'Gates'!$B$7:$B$27,"&lt;="&amp;$B$5)</x:f>
        <x:v>0</x:v>
      </x:c>
      <x:c r="L52" s="2"/>
      <x:c r="M52" s="2"/>
      <x:c r="N52" s="2"/>
      <x:c r="O52" s="2"/>
      <x:c r="P52" s="2"/>
    </x:row>
    <x:row r="53" ht="22" customHeight="1">
      <x:c r="A53" s="2"/>
      <x:c r="B53" s="2"/>
      <x:c r="C53" s="2"/>
      <x:c r="D53" s="2"/>
      <x:c r="E53" s="2"/>
      <x:c r="F53" s="2"/>
      <x:c r="G53" s="2"/>
      <x:c r="H53" s="2" t="str">
        <x:v>Due gates still open</x:v>
      </x:c>
      <x:c r="I53" s="2"/>
      <x:c r="J53" s="2"/>
      <x:c r="K53" s="2" t="n">
        <x:f>K51-K52</x:f>
        <x:v>1</x:v>
      </x:c>
      <x:c r="L53" s="2"/>
      <x:c r="M53" s="2"/>
      <x:c r="N53" s="2"/>
      <x:c r="O53" s="2"/>
      <x:c r="P53" s="2"/>
    </x:row>
    <x:row r="54" ht="22" customHeight="1">
      <x:c r="A54" s="2"/>
      <x:c r="B54" s="2"/>
      <x:c r="C54" s="2"/>
      <x:c r="D54" s="2"/>
      <x:c r="E54" s="2"/>
      <x:c r="F54" s="2"/>
      <x:c r="G54" s="2"/>
      <x:c r="H54" s="2"/>
      <x:c r="I54" s="2"/>
      <x:c r="J54" s="2"/>
      <x:c r="K54" s="2"/>
      <x:c r="L54" s="2"/>
      <x:c r="M54" s="2"/>
      <x:c r="N54" s="2"/>
      <x:c r="O54" s="2"/>
      <x:c r="P54" s="2"/>
    </x:row>
    <x:row r="55" ht="22" customHeight="1">
      <x:c r="A55" s="2"/>
      <x:c r="B55" s="2"/>
      <x:c r="C55" s="2"/>
      <x:c r="D55" s="2"/>
      <x:c r="E55" s="2"/>
      <x:c r="F55" s="2"/>
      <x:c r="G55" s="2"/>
      <x:c r="H55" s="2"/>
      <x:c r="I55" s="2"/>
      <x:c r="J55" s="2"/>
      <x:c r="K55" s="2"/>
      <x:c r="L55" s="2"/>
      <x:c r="M55" s="2"/>
      <x:c r="N55" s="2"/>
      <x:c r="O55" s="2"/>
      <x:c r="P55" s="2"/>
    </x:row>
    <x:row r="56" ht="22" customHeight="1">
      <x:c r="A56" s="2"/>
      <x:c r="B56" s="2"/>
      <x:c r="C56" s="2"/>
      <x:c r="D56" s="2"/>
      <x:c r="E56" s="2"/>
      <x:c r="F56" s="2"/>
      <x:c r="G56" s="2"/>
      <x:c r="H56" s="2"/>
      <x:c r="I56" s="2"/>
      <x:c r="J56" s="2"/>
      <x:c r="K56" s="2"/>
      <x:c r="L56" s="2"/>
      <x:c r="M56" s="2"/>
      <x:c r="N56" s="2"/>
      <x:c r="O56" s="2"/>
      <x:c r="P56" s="2"/>
    </x:row>
    <x:row r="57" ht="22" customHeight="1">
      <x:c r="A57" s="2"/>
      <x:c r="B57" s="2"/>
      <x:c r="C57" s="2"/>
      <x:c r="D57" s="2"/>
      <x:c r="E57" s="2"/>
      <x:c r="F57" s="2"/>
      <x:c r="G57" s="2"/>
      <x:c r="H57" s="2"/>
      <x:c r="I57" s="2"/>
      <x:c r="J57" s="2"/>
      <x:c r="K57" s="2"/>
      <x:c r="L57" s="2"/>
      <x:c r="M57" s="2"/>
      <x:c r="N57" s="2"/>
      <x:c r="O57" s="2"/>
      <x:c r="P57" s="2"/>
    </x:row>
    <x:row r="58" ht="22" customHeight="1">
      <x:c r="A58" s="2"/>
      <x:c r="B58" s="2"/>
      <x:c r="C58" s="2"/>
      <x:c r="D58" s="2"/>
      <x:c r="E58" s="2"/>
      <x:c r="F58" s="2"/>
      <x:c r="G58" s="2"/>
      <x:c r="H58" s="2"/>
      <x:c r="I58" s="2"/>
      <x:c r="J58" s="2"/>
      <x:c r="K58" s="2"/>
      <x:c r="L58" s="2"/>
      <x:c r="M58" s="2"/>
      <x:c r="N58" s="2"/>
      <x:c r="O58" s="2"/>
      <x:c r="P58" s="2"/>
    </x:row>
    <x:row r="59" ht="22" customHeight="1">
      <x:c r="A59" s="2"/>
      <x:c r="B59" s="2"/>
      <x:c r="C59" s="2"/>
      <x:c r="D59" s="2"/>
      <x:c r="E59" s="2"/>
      <x:c r="F59" s="2"/>
      <x:c r="G59" s="2"/>
      <x:c r="H59" s="2"/>
      <x:c r="I59" s="2"/>
      <x:c r="J59" s="2"/>
      <x:c r="K59" s="2"/>
      <x:c r="L59" s="2"/>
      <x:c r="M59" s="2"/>
      <x:c r="N59" s="2"/>
      <x:c r="O59" s="2"/>
      <x:c r="P59" s="2"/>
    </x:row>
    <x:row r="60" ht="22" customHeight="1">
      <x:c r="A60" s="2"/>
      <x:c r="B60" s="2"/>
      <x:c r="C60" s="2"/>
      <x:c r="D60" s="2"/>
      <x:c r="E60" s="2"/>
      <x:c r="F60" s="2"/>
      <x:c r="G60" s="2"/>
      <x:c r="H60" s="2"/>
      <x:c r="I60" s="2"/>
      <x:c r="J60" s="2"/>
      <x:c r="K60" s="2"/>
      <x:c r="L60" s="2"/>
      <x:c r="M60" s="2"/>
      <x:c r="N60" s="2"/>
      <x:c r="O60" s="2"/>
      <x:c r="P60" s="2"/>
    </x:row>
    <x:row r="61" ht="22" customHeight="1">
      <x:c r="A61" s="2"/>
      <x:c r="B61" s="2"/>
      <x:c r="C61" s="2"/>
      <x:c r="D61" s="2"/>
      <x:c r="E61" s="2"/>
      <x:c r="F61" s="2"/>
      <x:c r="G61" s="2"/>
      <x:c r="H61" s="2"/>
      <x:c r="I61" s="2"/>
      <x:c r="J61" s="2"/>
      <x:c r="K61" s="2"/>
      <x:c r="L61" s="2"/>
      <x:c r="M61" s="2"/>
      <x:c r="N61" s="2"/>
      <x:c r="O61" s="2"/>
      <x:c r="P61" s="2"/>
    </x:row>
    <x:row r="62" ht="22" customHeight="1">
      <x:c r="A62" s="2"/>
      <x:c r="B62" s="2"/>
      <x:c r="C62" s="2"/>
      <x:c r="D62" s="2"/>
      <x:c r="E62" s="2"/>
      <x:c r="F62" s="2"/>
      <x:c r="G62" s="2"/>
      <x:c r="H62" s="2"/>
      <x:c r="I62" s="2"/>
      <x:c r="J62" s="2"/>
      <x:c r="K62" s="2"/>
      <x:c r="L62" s="2"/>
      <x:c r="M62" s="2"/>
      <x:c r="N62" s="2"/>
      <x:c r="O62" s="2"/>
      <x:c r="P62" s="2"/>
    </x:row>
  </x:sheetData>
  <x:conditionalFormatting sqref="D9:D25">
    <x:cfRule type="expression" dxfId="12" priority="1">
      <x:formula>AND(ISNUMBER($D9),$D9&lt;0)</x:formula>
    </x:cfRule>
  </x:conditionalFormatting>
  <x:pageMargins left="0.7" right="0.7" top="0.75" bottom="0.75" header="0.3" footer="0.3"/>
  <x:drawing xmlns:r="http://schemas.openxmlformats.org/officeDocument/2006/relationships" r:id="R2a368adb776e4e7e"/>
</x:worksheet>
</file>

<file path=xl/worksheets/sheet2.xml><?xml version="1.0" encoding="utf-8"?>
<x:worksheet xmlns:x="http://schemas.openxmlformats.org/spreadsheetml/2006/main">
  <x:sheetPr>
    <x:tabColor rgb="FF7C5AA7"/>
  </x:sheetPr>
  <x:sheetViews>
    <x:sheetView showGridLines="0" workbookViewId="0">
      <x:pane xSplit="5" ySplit="6" topLeftCell="F7" activePane="bottomRight" state="frozen"/>
    </x:sheetView>
  </x:sheetViews>
  <x:sheetFormatPr defaultRowHeight="15"/>
  <x:cols>
    <x:col min="1" max="1" width="38" hidden="0" customWidth="1"/>
    <x:col min="2" max="2" width="18" hidden="0" customWidth="1"/>
    <x:col min="3" max="3" width="14" hidden="0" customWidth="1"/>
    <x:col min="4" max="4" width="14" hidden="0" customWidth="1"/>
    <x:col min="5" max="5" width="14" hidden="0" customWidth="1"/>
    <x:col min="6" max="6" width="4.199999809265137" hidden="0" customWidth="1"/>
    <x:col min="7" max="7" width="4.199999809265137" hidden="0" customWidth="1"/>
    <x:col min="8" max="8" width="4.199999809265137" hidden="0" customWidth="1"/>
    <x:col min="9" max="9" width="4.199999809265137" hidden="0" customWidth="1"/>
    <x:col min="10" max="10" width="4.199999809265137" hidden="0" customWidth="1"/>
    <x:col min="11" max="11" width="4.199999809265137" hidden="0" customWidth="1"/>
    <x:col min="12" max="12" width="4.199999809265137" hidden="0" customWidth="1"/>
    <x:col min="13" max="13" width="4.199999809265137" hidden="0" customWidth="1"/>
    <x:col min="14" max="14" width="4.199999809265137" hidden="0" customWidth="1"/>
    <x:col min="15" max="15" width="4.199999809265137" hidden="0" customWidth="1"/>
    <x:col min="16" max="16" width="4.199999809265137" hidden="0" customWidth="1"/>
    <x:col min="17" max="17" width="4.199999809265137" hidden="0" customWidth="1"/>
    <x:col min="18" max="18" width="4.199999809265137" hidden="0" customWidth="1"/>
    <x:col min="19" max="19" width="4.199999809265137" hidden="0" customWidth="1"/>
    <x:col min="20" max="20" width="4.199999809265137" hidden="0" customWidth="1"/>
    <x:col min="21" max="21" width="4.199999809265137" hidden="0" customWidth="1"/>
    <x:col min="22" max="22" width="4.199999809265137" hidden="0" customWidth="1"/>
    <x:col min="23" max="23" width="4.199999809265137" hidden="0" customWidth="1"/>
    <x:col min="24" max="24" width="4.199999809265137" hidden="0" customWidth="1"/>
    <x:col min="25" max="25" width="4.199999809265137" hidden="0" customWidth="1"/>
    <x:col min="26" max="26" width="4.199999809265137" hidden="0" customWidth="1"/>
    <x:col min="27" max="27" width="4.199999809265137" hidden="0" customWidth="1"/>
    <x:col min="28" max="28" width="4.199999809265137" hidden="0" customWidth="1"/>
    <x:col min="29" max="29" width="4.199999809265137" hidden="0" customWidth="1"/>
    <x:col min="30" max="30" width="4.199999809265137" hidden="0" customWidth="1"/>
    <x:col min="31" max="31" width="4.199999809265137" hidden="0" customWidth="1"/>
    <x:col min="32" max="32" width="4.199999809265137" hidden="0" customWidth="1"/>
    <x:col min="33" max="33" width="4.199999809265137" hidden="0" customWidth="1"/>
    <x:col min="34" max="34" width="4.199999809265137" hidden="0" customWidth="1"/>
    <x:col min="35" max="35" width="4.199999809265137" hidden="0" customWidth="1"/>
    <x:col min="36" max="36" width="4.199999809265137" hidden="0" customWidth="1"/>
    <x:col min="37" max="37" width="4.199999809265137" hidden="0" customWidth="1"/>
    <x:col min="38" max="38" width="4.199999809265137" hidden="0" customWidth="1"/>
    <x:col min="39" max="39" width="4.199999809265137" hidden="0" customWidth="1"/>
    <x:col min="40" max="40" width="4.199999809265137" hidden="0" customWidth="1"/>
    <x:col min="41" max="41" width="4.199999809265137" hidden="0" customWidth="1"/>
    <x:col min="42" max="42" width="4.199999809265137" hidden="0" customWidth="1"/>
    <x:col min="43" max="43" width="4.199999809265137" hidden="0" customWidth="1"/>
    <x:col min="44" max="44" width="4.199999809265137" hidden="0" customWidth="1"/>
    <x:col min="45" max="45" width="4.199999809265137" hidden="0" customWidth="1"/>
    <x:col min="46" max="46" width="4.199999809265137" hidden="0" customWidth="1"/>
    <x:col min="47" max="47" width="4.199999809265137" hidden="0" customWidth="1"/>
    <x:col min="48" max="48" width="4.199999809265137" hidden="0" customWidth="1"/>
    <x:col min="49" max="49" width="4.199999809265137" hidden="0" customWidth="1"/>
    <x:col min="50" max="50" width="4.199999809265137" hidden="0" customWidth="1"/>
    <x:col min="51" max="51" width="4.199999809265137" hidden="0" customWidth="1"/>
    <x:col min="52" max="52" width="4.199999809265137" hidden="0" customWidth="1"/>
    <x:col min="53" max="53" width="4.199999809265137" hidden="0" customWidth="1"/>
    <x:col min="54" max="54" width="4.199999809265137" hidden="0" customWidth="1"/>
    <x:col min="55" max="55" width="4.199999809265137" hidden="0" customWidth="1"/>
    <x:col min="56" max="56" width="4.199999809265137" hidden="0" customWidth="1"/>
    <x:col min="57" max="57" width="4.199999809265137" hidden="0" customWidth="1"/>
    <x:col min="58" max="58" width="4.199999809265137" hidden="0" customWidth="1"/>
    <x:col min="59" max="59" width="4.199999809265137" hidden="0" customWidth="1"/>
    <x:col min="60" max="60" width="4.199999809265137" hidden="0" customWidth="1"/>
    <x:col min="61" max="61" width="4.199999809265137" hidden="0" customWidth="1"/>
    <x:col min="62" max="62" width="4.199999809265137" hidden="0" customWidth="1"/>
    <x:col min="63" max="63" width="4.199999809265137" hidden="0" customWidth="1"/>
  </x:cols>
  <x:sheetData>
    <x:row r="1" ht="22"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c r="AU1" s="2"/>
      <x:c r="AV1" s="2"/>
      <x:c r="AW1" s="2"/>
      <x:c r="AX1" s="2"/>
      <x:c r="AY1" s="2"/>
      <x:c r="AZ1" s="2"/>
      <x:c r="BA1" s="2"/>
      <x:c r="BB1" s="2"/>
      <x:c r="BC1" s="2"/>
      <x:c r="BD1" s="2"/>
      <x:c r="BE1" s="2"/>
      <x:c r="BF1" s="2"/>
      <x:c r="BG1" s="2"/>
      <x:c r="BH1" s="2"/>
      <x:c r="BI1" s="2"/>
      <x:c r="BJ1" s="2"/>
      <x:c r="BK1" s="2"/>
    </x:row>
    <x:row r="2" ht="22" customHeight="1">
      <x:c r="A2" s="3" t="str">
        <x:v>Execution Gantt</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c r="AZ2" s="2"/>
      <x:c r="BA2" s="2"/>
      <x:c r="BB2" s="2"/>
      <x:c r="BC2" s="2"/>
      <x:c r="BD2" s="2"/>
      <x:c r="BE2" s="2"/>
      <x:c r="BF2" s="2"/>
      <x:c r="BG2" s="2"/>
      <x:c r="BH2" s="2"/>
      <x:c r="BI2" s="2"/>
      <x:c r="BJ2" s="2"/>
      <x:c r="BK2" s="2"/>
    </x:row>
    <x:row r="3" ht="22" customHeight="1">
      <x:c r="A3" s="4" t="str">
        <x:v>Daily columns. Color = planned phase. Green = fully accepted phase. Orange = milestone. Gray = no standard delivery day.</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c r="AZ3" s="2"/>
      <x:c r="BA3" s="2"/>
      <x:c r="BB3" s="2"/>
      <x:c r="BC3" s="2"/>
      <x:c r="BD3" s="2"/>
      <x:c r="BE3" s="2"/>
      <x:c r="BF3" s="2"/>
      <x:c r="BG3" s="2"/>
      <x:c r="BH3" s="2"/>
      <x:c r="BI3" s="2"/>
      <x:c r="BJ3" s="2"/>
      <x:c r="BK3" s="2"/>
    </x:row>
    <x:row r="4" ht="22" customHeight="1">
      <x:c r="A4" s="5"/>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c r="AF4" s="5"/>
      <x:c r="AG4" s="5"/>
      <x:c r="AH4" s="5"/>
      <x:c r="AI4" s="5"/>
      <x:c r="AJ4" s="5"/>
      <x:c r="AK4" s="5"/>
      <x:c r="AL4" s="5"/>
      <x:c r="AM4" s="5"/>
      <x:c r="AN4" s="5"/>
      <x:c r="AO4" s="5"/>
      <x:c r="AP4" s="5"/>
      <x:c r="AQ4" s="5"/>
      <x:c r="AR4" s="5"/>
      <x:c r="AS4" s="5"/>
      <x:c r="AT4" s="5"/>
      <x:c r="AU4" s="5"/>
      <x:c r="AV4" s="5"/>
      <x:c r="AW4" s="5"/>
      <x:c r="AX4" s="5"/>
      <x:c r="AY4" s="5"/>
      <x:c r="AZ4" s="5"/>
      <x:c r="BA4" s="5"/>
      <x:c r="BB4" s="5"/>
      <x:c r="BC4" s="5"/>
      <x:c r="BD4" s="5"/>
      <x:c r="BE4" s="5"/>
      <x:c r="BF4" s="5"/>
      <x:c r="BG4" s="5"/>
      <x:c r="BH4" s="5"/>
      <x:c r="BI4" s="5"/>
      <x:c r="BJ4" s="5"/>
      <x:c r="BK4" s="5"/>
    </x:row>
    <x:row r="5" ht="22" customHeight="1">
      <x:c r="A5" s="2"/>
      <x:c r="B5" s="2"/>
      <x:c r="C5" s="2"/>
      <x:c r="D5" s="2"/>
      <x:c r="E5" s="2"/>
      <x:c r="F5" s="2" t="str">
        <x:v>Oct</x:v>
      </x:c>
      <x:c r="G5" s="2"/>
      <x:c r="H5" s="2"/>
      <x:c r="I5" s="2"/>
      <x:c r="J5" s="2"/>
      <x:c r="K5" s="2"/>
      <x:c r="L5" s="2"/>
      <x:c r="M5" s="2"/>
      <x:c r="N5" s="2"/>
      <x:c r="O5" s="2"/>
      <x:c r="P5" s="2" t="str">
        <x:v>Nov</x:v>
      </x:c>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t="str">
        <x:v>Dec</x:v>
      </x:c>
      <x:c r="AU5" s="2"/>
      <x:c r="AV5" s="2"/>
      <x:c r="AW5" s="2"/>
      <x:c r="AX5" s="2"/>
      <x:c r="AY5" s="2"/>
      <x:c r="AZ5" s="2"/>
      <x:c r="BA5" s="2"/>
      <x:c r="BB5" s="2"/>
      <x:c r="BC5" s="2"/>
      <x:c r="BD5" s="2"/>
      <x:c r="BE5" s="2"/>
      <x:c r="BF5" s="2"/>
      <x:c r="BG5" s="2"/>
      <x:c r="BH5" s="2"/>
      <x:c r="BI5" s="2"/>
      <x:c r="BJ5" s="2"/>
      <x:c r="BK5" s="2"/>
    </x:row>
    <x:row r="6" ht="32" customHeight="1">
      <x:c r="A6" s="14" t="str">
        <x:v>Phase / gate</x:v>
      </x:c>
      <x:c r="B6" s="15" t="str">
        <x:v>Owner</x:v>
      </x:c>
      <x:c r="C6" s="15" t="str">
        <x:v>Start</x:v>
      </x:c>
      <x:c r="D6" s="15" t="str">
        <x:v>Finish</x:v>
      </x:c>
      <x:c r="E6" s="15" t="str">
        <x:v>Delivery / gate</x:v>
      </x:c>
      <x:c r="F6" s="47" t="n">
        <x:v>46317</x:v>
      </x:c>
      <x:c r="G6" s="47" t="n">
        <x:v>46318</x:v>
      </x:c>
      <x:c r="H6" s="47" t="n">
        <x:v>46319</x:v>
      </x:c>
      <x:c r="I6" s="47" t="n">
        <x:v>46320</x:v>
      </x:c>
      <x:c r="J6" s="47" t="n">
        <x:v>46321</x:v>
      </x:c>
      <x:c r="K6" s="47" t="n">
        <x:v>46322</x:v>
      </x:c>
      <x:c r="L6" s="47" t="n">
        <x:v>46323</x:v>
      </x:c>
      <x:c r="M6" s="47" t="n">
        <x:v>46324</x:v>
      </x:c>
      <x:c r="N6" s="47" t="n">
        <x:v>46325</x:v>
      </x:c>
      <x:c r="O6" s="47" t="n">
        <x:v>46326</x:v>
      </x:c>
      <x:c r="P6" s="47" t="n">
        <x:v>46327</x:v>
      </x:c>
      <x:c r="Q6" s="47" t="n">
        <x:v>46328</x:v>
      </x:c>
      <x:c r="R6" s="47" t="n">
        <x:v>46329</x:v>
      </x:c>
      <x:c r="S6" s="47" t="n">
        <x:v>46330</x:v>
      </x:c>
      <x:c r="T6" s="47" t="n">
        <x:v>46331</x:v>
      </x:c>
      <x:c r="U6" s="47" t="n">
        <x:v>46332</x:v>
      </x:c>
      <x:c r="V6" s="47" t="n">
        <x:v>46333</x:v>
      </x:c>
      <x:c r="W6" s="47" t="n">
        <x:v>46334</x:v>
      </x:c>
      <x:c r="X6" s="47" t="n">
        <x:v>46335</x:v>
      </x:c>
      <x:c r="Y6" s="47" t="n">
        <x:v>46336</x:v>
      </x:c>
      <x:c r="Z6" s="47" t="n">
        <x:v>46337</x:v>
      </x:c>
      <x:c r="AA6" s="47" t="n">
        <x:v>46338</x:v>
      </x:c>
      <x:c r="AB6" s="47" t="n">
        <x:v>46339</x:v>
      </x:c>
      <x:c r="AC6" s="47" t="n">
        <x:v>46340</x:v>
      </x:c>
      <x:c r="AD6" s="47" t="n">
        <x:v>46341</x:v>
      </x:c>
      <x:c r="AE6" s="47" t="n">
        <x:v>46342</x:v>
      </x:c>
      <x:c r="AF6" s="47" t="n">
        <x:v>46343</x:v>
      </x:c>
      <x:c r="AG6" s="47" t="n">
        <x:v>46344</x:v>
      </x:c>
      <x:c r="AH6" s="47" t="n">
        <x:v>46345</x:v>
      </x:c>
      <x:c r="AI6" s="47" t="n">
        <x:v>46346</x:v>
      </x:c>
      <x:c r="AJ6" s="47" t="n">
        <x:v>46347</x:v>
      </x:c>
      <x:c r="AK6" s="47" t="n">
        <x:v>46348</x:v>
      </x:c>
      <x:c r="AL6" s="47" t="n">
        <x:v>46349</x:v>
      </x:c>
      <x:c r="AM6" s="47" t="n">
        <x:v>46350</x:v>
      </x:c>
      <x:c r="AN6" s="47" t="n">
        <x:v>46351</x:v>
      </x:c>
      <x:c r="AO6" s="47" t="n">
        <x:v>46352</x:v>
      </x:c>
      <x:c r="AP6" s="47" t="n">
        <x:v>46353</x:v>
      </x:c>
      <x:c r="AQ6" s="47" t="n">
        <x:v>46354</x:v>
      </x:c>
      <x:c r="AR6" s="47" t="n">
        <x:v>46355</x:v>
      </x:c>
      <x:c r="AS6" s="47" t="n">
        <x:v>46356</x:v>
      </x:c>
      <x:c r="AT6" s="47" t="n">
        <x:v>46357</x:v>
      </x:c>
      <x:c r="AU6" s="47" t="n">
        <x:v>46358</x:v>
      </x:c>
      <x:c r="AV6" s="47" t="n">
        <x:v>46359</x:v>
      </x:c>
      <x:c r="AW6" s="47" t="n">
        <x:v>46360</x:v>
      </x:c>
      <x:c r="AX6" s="47" t="n">
        <x:v>46361</x:v>
      </x:c>
      <x:c r="AY6" s="47" t="n">
        <x:v>46362</x:v>
      </x:c>
      <x:c r="AZ6" s="47" t="n">
        <x:v>46363</x:v>
      </x:c>
      <x:c r="BA6" s="47" t="n">
        <x:v>46364</x:v>
      </x:c>
      <x:c r="BB6" s="47" t="n">
        <x:v>46365</x:v>
      </x:c>
      <x:c r="BC6" s="47" t="n">
        <x:v>46366</x:v>
      </x:c>
      <x:c r="BD6" s="47" t="n">
        <x:v>46367</x:v>
      </x:c>
      <x:c r="BE6" s="47" t="n">
        <x:v>46368</x:v>
      </x:c>
      <x:c r="BF6" s="47" t="n">
        <x:v>46369</x:v>
      </x:c>
      <x:c r="BG6" s="47" t="n">
        <x:v>46370</x:v>
      </x:c>
      <x:c r="BH6" s="47" t="n">
        <x:v>46371</x:v>
      </x:c>
      <x:c r="BI6" s="47" t="n">
        <x:v>46372</x:v>
      </x:c>
      <x:c r="BJ6" s="47" t="n">
        <x:v>46373</x:v>
      </x:c>
      <x:c r="BK6" s="48" t="n">
        <x:v>46374</x:v>
      </x:c>
    </x:row>
    <x:row r="7" ht="34" customHeight="1">
      <x:c r="A7" s="26" t="str">
        <x:v>Freeze and assign</x:v>
      </x:c>
      <x:c r="B7" s="26" t="str">
        <x:v>Wyline</x:v>
      </x:c>
      <x:c r="C7" s="62" t="n">
        <x:v>46317</x:v>
      </x:c>
      <x:c r="D7" s="62" t="n">
        <x:v>46318</x:v>
      </x:c>
      <x:c r="E7" s="39" t="n">
        <x:f>IF(COUNTIFS('Daily Tasks'!$B$7:$B$500,"&gt;="&amp;C7,'Daily Tasks'!$B$7:$B$500,"&lt;="&amp;D7)=0,"n.a.",SUMIFS('Daily Tasks'!$Q$7:$Q$500,'Daily Tasks'!$B$7:$B$500,"&gt;="&amp;C7,'Daily Tasks'!$B$7:$B$500,"&lt;="&amp;D7,'Daily Tasks'!$P$7:$P$500,"&lt;="&amp;'Dashboard'!$B$5)/COUNTIFS('Daily Tasks'!$B$7:$B$500,"&gt;="&amp;C7,'Daily Tasks'!$B$7:$B$500,"&lt;="&amp;D7))</x:f>
        <x:v>0</x:v>
      </x:c>
      <x:c r="F7" s="50"/>
      <x:c r="G7" s="50"/>
      <x:c r="H7" s="49"/>
      <x:c r="I7" s="49"/>
      <x:c r="J7" s="2"/>
      <x:c r="K7" s="2"/>
      <x:c r="L7" s="2"/>
      <x:c r="M7" s="2"/>
      <x:c r="N7" s="2"/>
      <x:c r="O7" s="49"/>
      <x:c r="P7" s="49"/>
      <x:c r="Q7" s="2"/>
      <x:c r="R7" s="2"/>
      <x:c r="S7" s="2"/>
      <x:c r="T7" s="2"/>
      <x:c r="U7" s="2"/>
      <x:c r="V7" s="49"/>
      <x:c r="W7" s="49"/>
      <x:c r="X7" s="2"/>
      <x:c r="Y7" s="2"/>
      <x:c r="Z7" s="2"/>
      <x:c r="AA7" s="2"/>
      <x:c r="AB7" s="2"/>
      <x:c r="AC7" s="49"/>
      <x:c r="AD7" s="49"/>
      <x:c r="AE7" s="2"/>
      <x:c r="AF7" s="2"/>
      <x:c r="AG7" s="2"/>
      <x:c r="AH7" s="2"/>
      <x:c r="AI7" s="2"/>
      <x:c r="AJ7" s="49"/>
      <x:c r="AK7" s="49"/>
      <x:c r="AL7" s="2"/>
      <x:c r="AM7" s="2"/>
      <x:c r="AN7" s="2"/>
      <x:c r="AO7" s="49"/>
      <x:c r="AP7" s="49"/>
      <x:c r="AQ7" s="49"/>
      <x:c r="AR7" s="49"/>
      <x:c r="AS7" s="2"/>
      <x:c r="AT7" s="2"/>
      <x:c r="AU7" s="2"/>
      <x:c r="AV7" s="2"/>
      <x:c r="AW7" s="2"/>
      <x:c r="AX7" s="49"/>
      <x:c r="AY7" s="49"/>
      <x:c r="AZ7" s="2"/>
      <x:c r="BA7" s="2"/>
      <x:c r="BB7" s="2"/>
      <x:c r="BC7" s="2"/>
      <x:c r="BD7" s="2"/>
      <x:c r="BE7" s="49"/>
      <x:c r="BF7" s="49"/>
      <x:c r="BG7" s="2"/>
      <x:c r="BH7" s="2"/>
      <x:c r="BI7" s="2"/>
      <x:c r="BJ7" s="2"/>
      <x:c r="BK7" s="2"/>
    </x:row>
    <x:row r="8" ht="34" customHeight="1">
      <x:c r="A8" s="26" t="str">
        <x:v>Build and approve</x:v>
      </x:c>
      <x:c r="B8" s="26" t="str">
        <x:v>Wyline</x:v>
      </x:c>
      <x:c r="C8" s="62" t="n">
        <x:v>46321</x:v>
      </x:c>
      <x:c r="D8" s="62" t="n">
        <x:v>46325</x:v>
      </x:c>
      <x:c r="E8" s="39" t="n">
        <x:f>IF(COUNTIFS('Daily Tasks'!$B$7:$B$500,"&gt;="&amp;C8,'Daily Tasks'!$B$7:$B$500,"&lt;="&amp;D8)=0,"n.a.",SUMIFS('Daily Tasks'!$Q$7:$Q$500,'Daily Tasks'!$B$7:$B$500,"&gt;="&amp;C8,'Daily Tasks'!$B$7:$B$500,"&lt;="&amp;D8,'Daily Tasks'!$P$7:$P$500,"&lt;="&amp;'Dashboard'!$B$5)/COUNTIFS('Daily Tasks'!$B$7:$B$500,"&gt;="&amp;C8,'Daily Tasks'!$B$7:$B$500,"&lt;="&amp;D8))</x:f>
        <x:v>0</x:v>
      </x:c>
      <x:c r="F8" s="2"/>
      <x:c r="G8" s="2"/>
      <x:c r="H8" s="49"/>
      <x:c r="I8" s="49"/>
      <x:c r="J8" s="51"/>
      <x:c r="K8" s="51"/>
      <x:c r="L8" s="51"/>
      <x:c r="M8" s="51"/>
      <x:c r="N8" s="51"/>
      <x:c r="O8" s="49"/>
      <x:c r="P8" s="49"/>
      <x:c r="Q8" s="2"/>
      <x:c r="R8" s="2"/>
      <x:c r="S8" s="2"/>
      <x:c r="T8" s="2"/>
      <x:c r="U8" s="2"/>
      <x:c r="V8" s="49"/>
      <x:c r="W8" s="49"/>
      <x:c r="X8" s="2"/>
      <x:c r="Y8" s="2"/>
      <x:c r="Z8" s="2"/>
      <x:c r="AA8" s="2"/>
      <x:c r="AB8" s="2"/>
      <x:c r="AC8" s="49"/>
      <x:c r="AD8" s="49"/>
      <x:c r="AE8" s="2"/>
      <x:c r="AF8" s="2"/>
      <x:c r="AG8" s="2"/>
      <x:c r="AH8" s="2"/>
      <x:c r="AI8" s="2"/>
      <x:c r="AJ8" s="49"/>
      <x:c r="AK8" s="49"/>
      <x:c r="AL8" s="2"/>
      <x:c r="AM8" s="2"/>
      <x:c r="AN8" s="2"/>
      <x:c r="AO8" s="49"/>
      <x:c r="AP8" s="49"/>
      <x:c r="AQ8" s="49"/>
      <x:c r="AR8" s="49"/>
      <x:c r="AS8" s="2"/>
      <x:c r="AT8" s="2"/>
      <x:c r="AU8" s="2"/>
      <x:c r="AV8" s="2"/>
      <x:c r="AW8" s="2"/>
      <x:c r="AX8" s="49"/>
      <x:c r="AY8" s="49"/>
      <x:c r="AZ8" s="2"/>
      <x:c r="BA8" s="2"/>
      <x:c r="BB8" s="2"/>
      <x:c r="BC8" s="2"/>
      <x:c r="BD8" s="2"/>
      <x:c r="BE8" s="49"/>
      <x:c r="BF8" s="49"/>
      <x:c r="BG8" s="2"/>
      <x:c r="BH8" s="2"/>
      <x:c r="BI8" s="2"/>
      <x:c r="BJ8" s="2"/>
      <x:c r="BK8" s="2"/>
    </x:row>
    <x:row r="9" ht="34" customHeight="1">
      <x:c r="A9" s="26" t="str">
        <x:v>Dry run and Wave 1</x:v>
      </x:c>
      <x:c r="B9" s="26" t="str">
        <x:v>Nova</x:v>
      </x:c>
      <x:c r="C9" s="62" t="n">
        <x:v>46328</x:v>
      </x:c>
      <x:c r="D9" s="62" t="n">
        <x:v>46332</x:v>
      </x:c>
      <x:c r="E9" s="39" t="n">
        <x:f>IF(COUNTIFS('Daily Tasks'!$B$7:$B$500,"&gt;="&amp;C9,'Daily Tasks'!$B$7:$B$500,"&lt;="&amp;D9)=0,"n.a.",SUMIFS('Daily Tasks'!$Q$7:$Q$500,'Daily Tasks'!$B$7:$B$500,"&gt;="&amp;C9,'Daily Tasks'!$B$7:$B$500,"&lt;="&amp;D9,'Daily Tasks'!$P$7:$P$500,"&lt;="&amp;'Dashboard'!$B$5)/COUNTIFS('Daily Tasks'!$B$7:$B$500,"&gt;="&amp;C9,'Daily Tasks'!$B$7:$B$500,"&lt;="&amp;D9))</x:f>
        <x:v>0</x:v>
      </x:c>
      <x:c r="F9" s="2"/>
      <x:c r="G9" s="2"/>
      <x:c r="H9" s="49"/>
      <x:c r="I9" s="49"/>
      <x:c r="J9" s="2"/>
      <x:c r="K9" s="2"/>
      <x:c r="L9" s="2"/>
      <x:c r="M9" s="2"/>
      <x:c r="N9" s="2"/>
      <x:c r="O9" s="49"/>
      <x:c r="P9" s="49"/>
      <x:c r="Q9" s="52"/>
      <x:c r="R9" s="52"/>
      <x:c r="S9" s="52"/>
      <x:c r="T9" s="52"/>
      <x:c r="U9" s="52"/>
      <x:c r="V9" s="49"/>
      <x:c r="W9" s="49"/>
      <x:c r="X9" s="2"/>
      <x:c r="Y9" s="2"/>
      <x:c r="Z9" s="2"/>
      <x:c r="AA9" s="2"/>
      <x:c r="AB9" s="2"/>
      <x:c r="AC9" s="49"/>
      <x:c r="AD9" s="49"/>
      <x:c r="AE9" s="2"/>
      <x:c r="AF9" s="2"/>
      <x:c r="AG9" s="2"/>
      <x:c r="AH9" s="2"/>
      <x:c r="AI9" s="2"/>
      <x:c r="AJ9" s="49"/>
      <x:c r="AK9" s="49"/>
      <x:c r="AL9" s="2"/>
      <x:c r="AM9" s="2"/>
      <x:c r="AN9" s="2"/>
      <x:c r="AO9" s="49"/>
      <x:c r="AP9" s="49"/>
      <x:c r="AQ9" s="49"/>
      <x:c r="AR9" s="49"/>
      <x:c r="AS9" s="2"/>
      <x:c r="AT9" s="2"/>
      <x:c r="AU9" s="2"/>
      <x:c r="AV9" s="2"/>
      <x:c r="AW9" s="2"/>
      <x:c r="AX9" s="49"/>
      <x:c r="AY9" s="49"/>
      <x:c r="AZ9" s="2"/>
      <x:c r="BA9" s="2"/>
      <x:c r="BB9" s="2"/>
      <x:c r="BC9" s="2"/>
      <x:c r="BD9" s="2"/>
      <x:c r="BE9" s="49"/>
      <x:c r="BF9" s="49"/>
      <x:c r="BG9" s="2"/>
      <x:c r="BH9" s="2"/>
      <x:c r="BI9" s="2"/>
      <x:c r="BJ9" s="2"/>
      <x:c r="BK9" s="2"/>
    </x:row>
    <x:row r="10" ht="34" customHeight="1">
      <x:c r="A10" s="26" t="str">
        <x:v>Wave 2 and first trials</x:v>
      </x:c>
      <x:c r="B10" s="26" t="str">
        <x:v>Nova</x:v>
      </x:c>
      <x:c r="C10" s="62" t="n">
        <x:v>46335</x:v>
      </x:c>
      <x:c r="D10" s="62" t="n">
        <x:v>46339</x:v>
      </x:c>
      <x:c r="E10" s="39" t="n">
        <x:f>IF(COUNTIFS('Daily Tasks'!$B$7:$B$500,"&gt;="&amp;C10,'Daily Tasks'!$B$7:$B$500,"&lt;="&amp;D10)=0,"n.a.",SUMIFS('Daily Tasks'!$Q$7:$Q$500,'Daily Tasks'!$B$7:$B$500,"&gt;="&amp;C10,'Daily Tasks'!$B$7:$B$500,"&lt;="&amp;D10,'Daily Tasks'!$P$7:$P$500,"&lt;="&amp;'Dashboard'!$B$5)/COUNTIFS('Daily Tasks'!$B$7:$B$500,"&gt;="&amp;C10,'Daily Tasks'!$B$7:$B$500,"&lt;="&amp;D10))</x:f>
        <x:v>0</x:v>
      </x:c>
      <x:c r="F10" s="2"/>
      <x:c r="G10" s="2"/>
      <x:c r="H10" s="49"/>
      <x:c r="I10" s="49"/>
      <x:c r="J10" s="2"/>
      <x:c r="K10" s="2"/>
      <x:c r="L10" s="2"/>
      <x:c r="M10" s="2"/>
      <x:c r="N10" s="2"/>
      <x:c r="O10" s="49"/>
      <x:c r="P10" s="49"/>
      <x:c r="Q10" s="2"/>
      <x:c r="R10" s="2"/>
      <x:c r="S10" s="2"/>
      <x:c r="T10" s="2"/>
      <x:c r="U10" s="2"/>
      <x:c r="V10" s="49"/>
      <x:c r="W10" s="49"/>
      <x:c r="X10" s="53"/>
      <x:c r="Y10" s="53"/>
      <x:c r="Z10" s="53"/>
      <x:c r="AA10" s="53"/>
      <x:c r="AB10" s="53"/>
      <x:c r="AC10" s="49"/>
      <x:c r="AD10" s="49"/>
      <x:c r="AE10" s="2"/>
      <x:c r="AF10" s="2"/>
      <x:c r="AG10" s="2"/>
      <x:c r="AH10" s="2"/>
      <x:c r="AI10" s="2"/>
      <x:c r="AJ10" s="49"/>
      <x:c r="AK10" s="49"/>
      <x:c r="AL10" s="2"/>
      <x:c r="AM10" s="2"/>
      <x:c r="AN10" s="2"/>
      <x:c r="AO10" s="49"/>
      <x:c r="AP10" s="49"/>
      <x:c r="AQ10" s="49"/>
      <x:c r="AR10" s="49"/>
      <x:c r="AS10" s="2"/>
      <x:c r="AT10" s="2"/>
      <x:c r="AU10" s="2"/>
      <x:c r="AV10" s="2"/>
      <x:c r="AW10" s="2"/>
      <x:c r="AX10" s="49"/>
      <x:c r="AY10" s="49"/>
      <x:c r="AZ10" s="2"/>
      <x:c r="BA10" s="2"/>
      <x:c r="BB10" s="2"/>
      <x:c r="BC10" s="2"/>
      <x:c r="BD10" s="2"/>
      <x:c r="BE10" s="49"/>
      <x:c r="BF10" s="49"/>
      <x:c r="BG10" s="2"/>
      <x:c r="BH10" s="2"/>
      <x:c r="BI10" s="2"/>
      <x:c r="BJ10" s="2"/>
      <x:c r="BK10" s="2"/>
    </x:row>
    <x:row r="11" ht="34" customHeight="1">
      <x:c r="A11" s="26" t="str">
        <x:v>Proof and conversion checkpoint</x:v>
      </x:c>
      <x:c r="B11" s="26" t="str">
        <x:v>Wyline</x:v>
      </x:c>
      <x:c r="C11" s="62" t="n">
        <x:v>46342</x:v>
      </x:c>
      <x:c r="D11" s="62" t="n">
        <x:v>46346</x:v>
      </x:c>
      <x:c r="E11" s="39" t="n">
        <x:f>IF(COUNTIFS('Daily Tasks'!$B$7:$B$500,"&gt;="&amp;C11,'Daily Tasks'!$B$7:$B$500,"&lt;="&amp;D11)=0,"n.a.",SUMIFS('Daily Tasks'!$Q$7:$Q$500,'Daily Tasks'!$B$7:$B$500,"&gt;="&amp;C11,'Daily Tasks'!$B$7:$B$500,"&lt;="&amp;D11,'Daily Tasks'!$P$7:$P$500,"&lt;="&amp;'Dashboard'!$B$5)/COUNTIFS('Daily Tasks'!$B$7:$B$500,"&gt;="&amp;C11,'Daily Tasks'!$B$7:$B$500,"&lt;="&amp;D11))</x:f>
        <x:v>0</x:v>
      </x:c>
      <x:c r="F11" s="2"/>
      <x:c r="G11" s="2"/>
      <x:c r="H11" s="49"/>
      <x:c r="I11" s="49"/>
      <x:c r="J11" s="2"/>
      <x:c r="K11" s="2"/>
      <x:c r="L11" s="2"/>
      <x:c r="M11" s="2"/>
      <x:c r="N11" s="2"/>
      <x:c r="O11" s="49"/>
      <x:c r="P11" s="49"/>
      <x:c r="Q11" s="2"/>
      <x:c r="R11" s="2"/>
      <x:c r="S11" s="2"/>
      <x:c r="T11" s="2"/>
      <x:c r="U11" s="2"/>
      <x:c r="V11" s="49"/>
      <x:c r="W11" s="49"/>
      <x:c r="X11" s="2"/>
      <x:c r="Y11" s="2"/>
      <x:c r="Z11" s="2"/>
      <x:c r="AA11" s="2"/>
      <x:c r="AB11" s="2"/>
      <x:c r="AC11" s="49"/>
      <x:c r="AD11" s="49"/>
      <x:c r="AE11" s="54"/>
      <x:c r="AF11" s="54"/>
      <x:c r="AG11" s="54"/>
      <x:c r="AH11" s="54"/>
      <x:c r="AI11" s="54"/>
      <x:c r="AJ11" s="49"/>
      <x:c r="AK11" s="49"/>
      <x:c r="AL11" s="2"/>
      <x:c r="AM11" s="2"/>
      <x:c r="AN11" s="2"/>
      <x:c r="AO11" s="49"/>
      <x:c r="AP11" s="49"/>
      <x:c r="AQ11" s="49"/>
      <x:c r="AR11" s="49"/>
      <x:c r="AS11" s="2"/>
      <x:c r="AT11" s="2"/>
      <x:c r="AU11" s="2"/>
      <x:c r="AV11" s="2"/>
      <x:c r="AW11" s="2"/>
      <x:c r="AX11" s="49"/>
      <x:c r="AY11" s="49"/>
      <x:c r="AZ11" s="2"/>
      <x:c r="BA11" s="2"/>
      <x:c r="BB11" s="2"/>
      <x:c r="BC11" s="2"/>
      <x:c r="BD11" s="2"/>
      <x:c r="BE11" s="49"/>
      <x:c r="BF11" s="49"/>
      <x:c r="BG11" s="2"/>
      <x:c r="BH11" s="2"/>
      <x:c r="BI11" s="2"/>
      <x:c r="BJ11" s="2"/>
      <x:c r="BK11" s="2"/>
    </x:row>
    <x:row r="12" ht="34" customHeight="1">
      <x:c r="A12" s="26" t="str">
        <x:v>Thanksgiving recovery and SOPs</x:v>
      </x:c>
      <x:c r="B12" s="26" t="str">
        <x:v>Wyline</x:v>
      </x:c>
      <x:c r="C12" s="62" t="n">
        <x:v>46349</x:v>
      </x:c>
      <x:c r="D12" s="62" t="n">
        <x:v>46353</x:v>
      </x:c>
      <x:c r="E12" s="39" t="n">
        <x:f>IF(COUNTIFS('Daily Tasks'!$B$7:$B$500,"&gt;="&amp;C12,'Daily Tasks'!$B$7:$B$500,"&lt;="&amp;D12)=0,"n.a.",SUMIFS('Daily Tasks'!$Q$7:$Q$500,'Daily Tasks'!$B$7:$B$500,"&gt;="&amp;C12,'Daily Tasks'!$B$7:$B$500,"&lt;="&amp;D12,'Daily Tasks'!$P$7:$P$500,"&lt;="&amp;'Dashboard'!$B$5)/COUNTIFS('Daily Tasks'!$B$7:$B$500,"&gt;="&amp;C12,'Daily Tasks'!$B$7:$B$500,"&lt;="&amp;D12))</x:f>
        <x:v>0</x:v>
      </x:c>
      <x:c r="F12" s="2"/>
      <x:c r="G12" s="2"/>
      <x:c r="H12" s="49"/>
      <x:c r="I12" s="49"/>
      <x:c r="J12" s="2"/>
      <x:c r="K12" s="2"/>
      <x:c r="L12" s="2"/>
      <x:c r="M12" s="2"/>
      <x:c r="N12" s="2"/>
      <x:c r="O12" s="49"/>
      <x:c r="P12" s="49"/>
      <x:c r="Q12" s="2"/>
      <x:c r="R12" s="2"/>
      <x:c r="S12" s="2"/>
      <x:c r="T12" s="2"/>
      <x:c r="U12" s="2"/>
      <x:c r="V12" s="49"/>
      <x:c r="W12" s="49"/>
      <x:c r="X12" s="2"/>
      <x:c r="Y12" s="2"/>
      <x:c r="Z12" s="2"/>
      <x:c r="AA12" s="2"/>
      <x:c r="AB12" s="2"/>
      <x:c r="AC12" s="49"/>
      <x:c r="AD12" s="49"/>
      <x:c r="AE12" s="2"/>
      <x:c r="AF12" s="2"/>
      <x:c r="AG12" s="2"/>
      <x:c r="AH12" s="2"/>
      <x:c r="AI12" s="2"/>
      <x:c r="AJ12" s="49"/>
      <x:c r="AK12" s="49"/>
      <x:c r="AL12" s="55"/>
      <x:c r="AM12" s="55"/>
      <x:c r="AN12" s="55"/>
      <x:c r="AO12" s="49"/>
      <x:c r="AP12" s="49"/>
      <x:c r="AQ12" s="49"/>
      <x:c r="AR12" s="49"/>
      <x:c r="AS12" s="2"/>
      <x:c r="AT12" s="2"/>
      <x:c r="AU12" s="2"/>
      <x:c r="AV12" s="2"/>
      <x:c r="AW12" s="2"/>
      <x:c r="AX12" s="49"/>
      <x:c r="AY12" s="49"/>
      <x:c r="AZ12" s="2"/>
      <x:c r="BA12" s="2"/>
      <x:c r="BB12" s="2"/>
      <x:c r="BC12" s="2"/>
      <x:c r="BD12" s="2"/>
      <x:c r="BE12" s="49"/>
      <x:c r="BF12" s="49"/>
      <x:c r="BG12" s="2"/>
      <x:c r="BH12" s="2"/>
      <x:c r="BI12" s="2"/>
      <x:c r="BJ12" s="2"/>
      <x:c r="BK12" s="2"/>
    </x:row>
    <x:row r="13" ht="34" customHeight="1">
      <x:c r="A13" s="26" t="str">
        <x:v>Controlled recovery and scale</x:v>
      </x:c>
      <x:c r="B13" s="26" t="str">
        <x:v>Nova</x:v>
      </x:c>
      <x:c r="C13" s="62" t="n">
        <x:v>46356</x:v>
      </x:c>
      <x:c r="D13" s="62" t="n">
        <x:v>46367</x:v>
      </x:c>
      <x:c r="E13" s="39" t="n">
        <x:f>IF(COUNTIFS('Daily Tasks'!$B$7:$B$500,"&gt;="&amp;C13,'Daily Tasks'!$B$7:$B$500,"&lt;="&amp;D13)=0,"n.a.",SUMIFS('Daily Tasks'!$Q$7:$Q$500,'Daily Tasks'!$B$7:$B$500,"&gt;="&amp;C13,'Daily Tasks'!$B$7:$B$500,"&lt;="&amp;D13,'Daily Tasks'!$P$7:$P$500,"&lt;="&amp;'Dashboard'!$B$5)/COUNTIFS('Daily Tasks'!$B$7:$B$500,"&gt;="&amp;C13,'Daily Tasks'!$B$7:$B$500,"&lt;="&amp;D13))</x:f>
        <x:v>0</x:v>
      </x:c>
      <x:c r="F13" s="2"/>
      <x:c r="G13" s="2"/>
      <x:c r="H13" s="49"/>
      <x:c r="I13" s="49"/>
      <x:c r="J13" s="2"/>
      <x:c r="K13" s="2"/>
      <x:c r="L13" s="2"/>
      <x:c r="M13" s="2"/>
      <x:c r="N13" s="2"/>
      <x:c r="O13" s="49"/>
      <x:c r="P13" s="49"/>
      <x:c r="Q13" s="2"/>
      <x:c r="R13" s="2"/>
      <x:c r="S13" s="2"/>
      <x:c r="T13" s="2"/>
      <x:c r="U13" s="2"/>
      <x:c r="V13" s="49"/>
      <x:c r="W13" s="49"/>
      <x:c r="X13" s="2"/>
      <x:c r="Y13" s="2"/>
      <x:c r="Z13" s="2"/>
      <x:c r="AA13" s="2"/>
      <x:c r="AB13" s="2"/>
      <x:c r="AC13" s="49"/>
      <x:c r="AD13" s="49"/>
      <x:c r="AE13" s="2"/>
      <x:c r="AF13" s="2"/>
      <x:c r="AG13" s="2"/>
      <x:c r="AH13" s="2"/>
      <x:c r="AI13" s="2"/>
      <x:c r="AJ13" s="49"/>
      <x:c r="AK13" s="49"/>
      <x:c r="AL13" s="2"/>
      <x:c r="AM13" s="2"/>
      <x:c r="AN13" s="2"/>
      <x:c r="AO13" s="49"/>
      <x:c r="AP13" s="49"/>
      <x:c r="AQ13" s="49"/>
      <x:c r="AR13" s="49"/>
      <x:c r="AS13" s="56"/>
      <x:c r="AT13" s="56"/>
      <x:c r="AU13" s="56"/>
      <x:c r="AV13" s="56"/>
      <x:c r="AW13" s="56"/>
      <x:c r="AX13" s="49"/>
      <x:c r="AY13" s="49"/>
      <x:c r="AZ13" s="56"/>
      <x:c r="BA13" s="56"/>
      <x:c r="BB13" s="56"/>
      <x:c r="BC13" s="56"/>
      <x:c r="BD13" s="56"/>
      <x:c r="BE13" s="49"/>
      <x:c r="BF13" s="49"/>
      <x:c r="BG13" s="2"/>
      <x:c r="BH13" s="2"/>
      <x:c r="BI13" s="2"/>
      <x:c r="BJ13" s="2"/>
      <x:c r="BK13" s="2"/>
    </x:row>
    <x:row r="14" ht="34" customHeight="1">
      <x:c r="A14" s="26" t="str">
        <x:v>Close and complete</x:v>
      </x:c>
      <x:c r="B14" s="26" t="str">
        <x:v>Wyline</x:v>
      </x:c>
      <x:c r="C14" s="62" t="n">
        <x:v>46370</x:v>
      </x:c>
      <x:c r="D14" s="62" t="n">
        <x:v>46372</x:v>
      </x:c>
      <x:c r="E14" s="39" t="n">
        <x:f>IF(COUNTIFS('Daily Tasks'!$B$7:$B$500,"&gt;="&amp;C14,'Daily Tasks'!$B$7:$B$500,"&lt;="&amp;D14)=0,"n.a.",SUMIFS('Daily Tasks'!$Q$7:$Q$500,'Daily Tasks'!$B$7:$B$500,"&gt;="&amp;C14,'Daily Tasks'!$B$7:$B$500,"&lt;="&amp;D14,'Daily Tasks'!$P$7:$P$500,"&lt;="&amp;'Dashboard'!$B$5)/COUNTIFS('Daily Tasks'!$B$7:$B$500,"&gt;="&amp;C14,'Daily Tasks'!$B$7:$B$500,"&lt;="&amp;D14))</x:f>
        <x:v>0</x:v>
      </x:c>
      <x:c r="F14" s="2"/>
      <x:c r="G14" s="2"/>
      <x:c r="H14" s="49"/>
      <x:c r="I14" s="49"/>
      <x:c r="J14" s="2"/>
      <x:c r="K14" s="2"/>
      <x:c r="L14" s="2"/>
      <x:c r="M14" s="2"/>
      <x:c r="N14" s="2"/>
      <x:c r="O14" s="49"/>
      <x:c r="P14" s="49"/>
      <x:c r="Q14" s="2"/>
      <x:c r="R14" s="2"/>
      <x:c r="S14" s="2"/>
      <x:c r="T14" s="2"/>
      <x:c r="U14" s="2"/>
      <x:c r="V14" s="49"/>
      <x:c r="W14" s="49"/>
      <x:c r="X14" s="2"/>
      <x:c r="Y14" s="2"/>
      <x:c r="Z14" s="2"/>
      <x:c r="AA14" s="2"/>
      <x:c r="AB14" s="2"/>
      <x:c r="AC14" s="49"/>
      <x:c r="AD14" s="49"/>
      <x:c r="AE14" s="2"/>
      <x:c r="AF14" s="2"/>
      <x:c r="AG14" s="2"/>
      <x:c r="AH14" s="2"/>
      <x:c r="AI14" s="2"/>
      <x:c r="AJ14" s="49"/>
      <x:c r="AK14" s="49"/>
      <x:c r="AL14" s="2"/>
      <x:c r="AM14" s="2"/>
      <x:c r="AN14" s="2"/>
      <x:c r="AO14" s="49"/>
      <x:c r="AP14" s="49"/>
      <x:c r="AQ14" s="49"/>
      <x:c r="AR14" s="49"/>
      <x:c r="AS14" s="2"/>
      <x:c r="AT14" s="2"/>
      <x:c r="AU14" s="2"/>
      <x:c r="AV14" s="2"/>
      <x:c r="AW14" s="2"/>
      <x:c r="AX14" s="49"/>
      <x:c r="AY14" s="49"/>
      <x:c r="AZ14" s="2"/>
      <x:c r="BA14" s="2"/>
      <x:c r="BB14" s="2"/>
      <x:c r="BC14" s="2"/>
      <x:c r="BD14" s="2"/>
      <x:c r="BE14" s="49"/>
      <x:c r="BF14" s="49"/>
      <x:c r="BG14" s="57"/>
      <x:c r="BH14" s="57"/>
      <x:c r="BI14" s="57"/>
      <x:c r="BJ14" s="2"/>
      <x:c r="BK14" s="2"/>
    </x:row>
    <x:row r="15" ht="34" customHeight="1">
      <x:c r="A15" s="26" t="str">
        <x:v>Review and recovery buffer</x:v>
      </x:c>
      <x:c r="B15" s="26" t="str">
        <x:v>Wyline</x:v>
      </x:c>
      <x:c r="C15" s="62" t="n">
        <x:v>46373</x:v>
      </x:c>
      <x:c r="D15" s="62" t="n">
        <x:v>46374</x:v>
      </x:c>
      <x:c r="E15" s="39" t="n">
        <x:f>IF(COUNTIFS('Daily Tasks'!$B$7:$B$500,"&gt;="&amp;C15,'Daily Tasks'!$B$7:$B$500,"&lt;="&amp;D15)=0,"n.a.",SUMIFS('Daily Tasks'!$Q$7:$Q$500,'Daily Tasks'!$B$7:$B$500,"&gt;="&amp;C15,'Daily Tasks'!$B$7:$B$500,"&lt;="&amp;D15,'Daily Tasks'!$P$7:$P$500,"&lt;="&amp;'Dashboard'!$B$5)/COUNTIFS('Daily Tasks'!$B$7:$B$500,"&gt;="&amp;C15,'Daily Tasks'!$B$7:$B$500,"&lt;="&amp;D15))</x:f>
        <x:v>0</x:v>
      </x:c>
      <x:c r="F15" s="2"/>
      <x:c r="G15" s="2"/>
      <x:c r="H15" s="49"/>
      <x:c r="I15" s="49"/>
      <x:c r="J15" s="2"/>
      <x:c r="K15" s="2"/>
      <x:c r="L15" s="2"/>
      <x:c r="M15" s="2"/>
      <x:c r="N15" s="2"/>
      <x:c r="O15" s="49"/>
      <x:c r="P15" s="49"/>
      <x:c r="Q15" s="2"/>
      <x:c r="R15" s="2"/>
      <x:c r="S15" s="2"/>
      <x:c r="T15" s="2"/>
      <x:c r="U15" s="2"/>
      <x:c r="V15" s="49"/>
      <x:c r="W15" s="49"/>
      <x:c r="X15" s="2"/>
      <x:c r="Y15" s="2"/>
      <x:c r="Z15" s="2"/>
      <x:c r="AA15" s="2"/>
      <x:c r="AB15" s="2"/>
      <x:c r="AC15" s="49"/>
      <x:c r="AD15" s="49"/>
      <x:c r="AE15" s="2"/>
      <x:c r="AF15" s="2"/>
      <x:c r="AG15" s="2"/>
      <x:c r="AH15" s="2"/>
      <x:c r="AI15" s="2"/>
      <x:c r="AJ15" s="49"/>
      <x:c r="AK15" s="49"/>
      <x:c r="AL15" s="2"/>
      <x:c r="AM15" s="2"/>
      <x:c r="AN15" s="2"/>
      <x:c r="AO15" s="49"/>
      <x:c r="AP15" s="49"/>
      <x:c r="AQ15" s="49"/>
      <x:c r="AR15" s="49"/>
      <x:c r="AS15" s="2"/>
      <x:c r="AT15" s="2"/>
      <x:c r="AU15" s="2"/>
      <x:c r="AV15" s="2"/>
      <x:c r="AW15" s="2"/>
      <x:c r="AX15" s="49"/>
      <x:c r="AY15" s="49"/>
      <x:c r="AZ15" s="2"/>
      <x:c r="BA15" s="2"/>
      <x:c r="BB15" s="2"/>
      <x:c r="BC15" s="2"/>
      <x:c r="BD15" s="2"/>
      <x:c r="BE15" s="49"/>
      <x:c r="BF15" s="49"/>
      <x:c r="BG15" s="2"/>
      <x:c r="BH15" s="2"/>
      <x:c r="BI15" s="2"/>
      <x:c r="BJ15" s="58"/>
      <x:c r="BK15" s="58"/>
    </x:row>
    <x:row r="16" ht="34" customHeight="1">
      <x:c r="A16" s="26"/>
      <x:c r="B16" s="26"/>
      <x:c r="C16" s="62"/>
      <x:c r="D16" s="62"/>
      <x:c r="E16" s="2"/>
      <x:c r="F16" s="2"/>
      <x:c r="G16" s="2"/>
      <x:c r="H16" s="49"/>
      <x:c r="I16" s="49"/>
      <x:c r="J16" s="2"/>
      <x:c r="K16" s="2"/>
      <x:c r="L16" s="2"/>
      <x:c r="M16" s="2"/>
      <x:c r="N16" s="2"/>
      <x:c r="O16" s="49"/>
      <x:c r="P16" s="49"/>
      <x:c r="Q16" s="2"/>
      <x:c r="R16" s="2"/>
      <x:c r="S16" s="2"/>
      <x:c r="T16" s="2"/>
      <x:c r="U16" s="2"/>
      <x:c r="V16" s="49"/>
      <x:c r="W16" s="49"/>
      <x:c r="X16" s="2"/>
      <x:c r="Y16" s="2"/>
      <x:c r="Z16" s="2"/>
      <x:c r="AA16" s="2"/>
      <x:c r="AB16" s="2"/>
      <x:c r="AC16" s="49"/>
      <x:c r="AD16" s="49"/>
      <x:c r="AE16" s="2"/>
      <x:c r="AF16" s="2"/>
      <x:c r="AG16" s="2"/>
      <x:c r="AH16" s="2"/>
      <x:c r="AI16" s="2"/>
      <x:c r="AJ16" s="49"/>
      <x:c r="AK16" s="49"/>
      <x:c r="AL16" s="2"/>
      <x:c r="AM16" s="2"/>
      <x:c r="AN16" s="2"/>
      <x:c r="AO16" s="49"/>
      <x:c r="AP16" s="49"/>
      <x:c r="AQ16" s="49"/>
      <x:c r="AR16" s="49"/>
      <x:c r="AS16" s="2"/>
      <x:c r="AT16" s="2"/>
      <x:c r="AU16" s="2"/>
      <x:c r="AV16" s="2"/>
      <x:c r="AW16" s="2"/>
      <x:c r="AX16" s="49"/>
      <x:c r="AY16" s="49"/>
      <x:c r="AZ16" s="2"/>
      <x:c r="BA16" s="2"/>
      <x:c r="BB16" s="2"/>
      <x:c r="BC16" s="2"/>
      <x:c r="BD16" s="2"/>
      <x:c r="BE16" s="49"/>
      <x:c r="BF16" s="49"/>
      <x:c r="BG16" s="2"/>
      <x:c r="BH16" s="2"/>
      <x:c r="BI16" s="2"/>
      <x:c r="BJ16" s="2"/>
      <x:c r="BK16" s="2"/>
    </x:row>
    <x:row r="17" ht="34" customHeight="1">
      <x:c r="A17" s="26"/>
      <x:c r="B17" s="26"/>
      <x:c r="C17" s="62"/>
      <x:c r="D17" s="62"/>
      <x:c r="E17" s="2"/>
      <x:c r="F17" s="2"/>
      <x:c r="G17" s="2"/>
      <x:c r="H17" s="49"/>
      <x:c r="I17" s="49"/>
      <x:c r="J17" s="2"/>
      <x:c r="K17" s="2"/>
      <x:c r="L17" s="2"/>
      <x:c r="M17" s="2"/>
      <x:c r="N17" s="2"/>
      <x:c r="O17" s="49"/>
      <x:c r="P17" s="49"/>
      <x:c r="Q17" s="2"/>
      <x:c r="R17" s="2"/>
      <x:c r="S17" s="2"/>
      <x:c r="T17" s="2"/>
      <x:c r="U17" s="2"/>
      <x:c r="V17" s="49"/>
      <x:c r="W17" s="49"/>
      <x:c r="X17" s="2"/>
      <x:c r="Y17" s="2"/>
      <x:c r="Z17" s="2"/>
      <x:c r="AA17" s="2"/>
      <x:c r="AB17" s="2"/>
      <x:c r="AC17" s="49"/>
      <x:c r="AD17" s="49"/>
      <x:c r="AE17" s="2"/>
      <x:c r="AF17" s="2"/>
      <x:c r="AG17" s="2"/>
      <x:c r="AH17" s="2"/>
      <x:c r="AI17" s="2"/>
      <x:c r="AJ17" s="49"/>
      <x:c r="AK17" s="49"/>
      <x:c r="AL17" s="2"/>
      <x:c r="AM17" s="2"/>
      <x:c r="AN17" s="2"/>
      <x:c r="AO17" s="49"/>
      <x:c r="AP17" s="49"/>
      <x:c r="AQ17" s="49"/>
      <x:c r="AR17" s="49"/>
      <x:c r="AS17" s="2"/>
      <x:c r="AT17" s="2"/>
      <x:c r="AU17" s="2"/>
      <x:c r="AV17" s="2"/>
      <x:c r="AW17" s="2"/>
      <x:c r="AX17" s="49"/>
      <x:c r="AY17" s="49"/>
      <x:c r="AZ17" s="2"/>
      <x:c r="BA17" s="2"/>
      <x:c r="BB17" s="2"/>
      <x:c r="BC17" s="2"/>
      <x:c r="BD17" s="2"/>
      <x:c r="BE17" s="49"/>
      <x:c r="BF17" s="49"/>
      <x:c r="BG17" s="2"/>
      <x:c r="BH17" s="2"/>
      <x:c r="BI17" s="2"/>
      <x:c r="BJ17" s="2"/>
      <x:c r="BK17" s="2"/>
    </x:row>
    <x:row r="18" ht="34" customHeight="1">
      <x:c r="A18" s="65" t="str">
        <x:v>Milestone gates</x:v>
      </x:c>
      <x:c r="B18" s="65"/>
      <x:c r="C18" s="63"/>
      <x:c r="D18" s="63"/>
      <x:c r="E18" s="44"/>
      <x:c r="F18" s="2"/>
      <x:c r="G18" s="2"/>
      <x:c r="H18" s="49"/>
      <x:c r="I18" s="49"/>
      <x:c r="J18" s="2"/>
      <x:c r="K18" s="2"/>
      <x:c r="L18" s="2"/>
      <x:c r="M18" s="2"/>
      <x:c r="N18" s="2"/>
      <x:c r="O18" s="49"/>
      <x:c r="P18" s="49"/>
      <x:c r="Q18" s="2"/>
      <x:c r="R18" s="2"/>
      <x:c r="S18" s="2"/>
      <x:c r="T18" s="2"/>
      <x:c r="U18" s="2"/>
      <x:c r="V18" s="49"/>
      <x:c r="W18" s="49"/>
      <x:c r="X18" s="2"/>
      <x:c r="Y18" s="2"/>
      <x:c r="Z18" s="2"/>
      <x:c r="AA18" s="2"/>
      <x:c r="AB18" s="2"/>
      <x:c r="AC18" s="49"/>
      <x:c r="AD18" s="49"/>
      <x:c r="AE18" s="2"/>
      <x:c r="AF18" s="2"/>
      <x:c r="AG18" s="2"/>
      <x:c r="AH18" s="2"/>
      <x:c r="AI18" s="2"/>
      <x:c r="AJ18" s="49"/>
      <x:c r="AK18" s="49"/>
      <x:c r="AL18" s="2"/>
      <x:c r="AM18" s="2"/>
      <x:c r="AN18" s="2"/>
      <x:c r="AO18" s="49"/>
      <x:c r="AP18" s="49"/>
      <x:c r="AQ18" s="49"/>
      <x:c r="AR18" s="49"/>
      <x:c r="AS18" s="2"/>
      <x:c r="AT18" s="2"/>
      <x:c r="AU18" s="2"/>
      <x:c r="AV18" s="2"/>
      <x:c r="AW18" s="2"/>
      <x:c r="AX18" s="49"/>
      <x:c r="AY18" s="49"/>
      <x:c r="AZ18" s="2"/>
      <x:c r="BA18" s="2"/>
      <x:c r="BB18" s="2"/>
      <x:c r="BC18" s="2"/>
      <x:c r="BD18" s="2"/>
      <x:c r="BE18" s="49"/>
      <x:c r="BF18" s="49"/>
      <x:c r="BG18" s="2"/>
      <x:c r="BH18" s="2"/>
      <x:c r="BI18" s="2"/>
      <x:c r="BJ18" s="2"/>
      <x:c r="BK18" s="2"/>
    </x:row>
    <x:row r="19" ht="34" customHeight="1">
      <x:c r="A19" s="26" t="str">
        <x:v>Freeze old activity and name ownership</x:v>
      </x:c>
      <x:c r="B19" s="26" t="str">
        <x:v>Wyline</x:v>
      </x:c>
      <x:c r="C19" s="62" t="n">
        <x:v>46317</x:v>
      </x:c>
      <x:c r="D19" s="62" t="n">
        <x:v>46317</x:v>
      </x:c>
      <x:c r="E19" s="2" t="str">
        <x:f>IF(COUNTIFS('Gates'!$A$7:$A$27,"M01",'Gates'!$J$7:$J$27,1)=1,"Verified","Open")</x:f>
        <x:v>Open</x:v>
      </x:c>
      <x:c r="F19" s="61" t="str">
        <x:v>◆</x:v>
      </x:c>
      <x:c r="G19" s="2"/>
      <x:c r="H19" s="49"/>
      <x:c r="I19" s="49"/>
      <x:c r="J19" s="2"/>
      <x:c r="K19" s="2"/>
      <x:c r="L19" s="2"/>
      <x:c r="M19" s="2"/>
      <x:c r="N19" s="2"/>
      <x:c r="O19" s="49"/>
      <x:c r="P19" s="49"/>
      <x:c r="Q19" s="2"/>
      <x:c r="R19" s="2"/>
      <x:c r="S19" s="2"/>
      <x:c r="T19" s="2"/>
      <x:c r="U19" s="2"/>
      <x:c r="V19" s="49"/>
      <x:c r="W19" s="49"/>
      <x:c r="X19" s="2"/>
      <x:c r="Y19" s="2"/>
      <x:c r="Z19" s="2"/>
      <x:c r="AA19" s="2"/>
      <x:c r="AB19" s="2"/>
      <x:c r="AC19" s="49"/>
      <x:c r="AD19" s="49"/>
      <x:c r="AE19" s="2"/>
      <x:c r="AF19" s="2"/>
      <x:c r="AG19" s="2"/>
      <x:c r="AH19" s="2"/>
      <x:c r="AI19" s="2"/>
      <x:c r="AJ19" s="49"/>
      <x:c r="AK19" s="49"/>
      <x:c r="AL19" s="2"/>
      <x:c r="AM19" s="2"/>
      <x:c r="AN19" s="2"/>
      <x:c r="AO19" s="49"/>
      <x:c r="AP19" s="49"/>
      <x:c r="AQ19" s="49"/>
      <x:c r="AR19" s="49"/>
      <x:c r="AS19" s="2"/>
      <x:c r="AT19" s="2"/>
      <x:c r="AU19" s="2"/>
      <x:c r="AV19" s="2"/>
      <x:c r="AW19" s="2"/>
      <x:c r="AX19" s="49"/>
      <x:c r="AY19" s="49"/>
      <x:c r="AZ19" s="2"/>
      <x:c r="BA19" s="2"/>
      <x:c r="BB19" s="2"/>
      <x:c r="BC19" s="2"/>
      <x:c r="BD19" s="2"/>
      <x:c r="BE19" s="49"/>
      <x:c r="BF19" s="49"/>
      <x:c r="BG19" s="2"/>
      <x:c r="BH19" s="2"/>
      <x:c r="BI19" s="2"/>
      <x:c r="BJ19" s="2"/>
      <x:c r="BK19" s="2"/>
    </x:row>
    <x:row r="20" ht="34" customHeight="1">
      <x:c r="A20" s="26" t="str">
        <x:v>Coverage roster and build design</x:v>
      </x:c>
      <x:c r="B20" s="26" t="str">
        <x:v>Nova</x:v>
      </x:c>
      <x:c r="C20" s="62" t="n">
        <x:v>46318</x:v>
      </x:c>
      <x:c r="D20" s="62" t="n">
        <x:v>46318</x:v>
      </x:c>
      <x:c r="E20" s="2" t="str">
        <x:f>IF(COUNTIFS('Gates'!$A$7:$A$27,"M02",'Gates'!$J$7:$J$27,1)=1,"Verified","Open")</x:f>
        <x:v>Open</x:v>
      </x:c>
      <x:c r="F20" s="2"/>
      <x:c r="G20" s="61" t="str">
        <x:v>◆</x:v>
      </x:c>
      <x:c r="H20" s="49"/>
      <x:c r="I20" s="49"/>
      <x:c r="J20" s="2"/>
      <x:c r="K20" s="2"/>
      <x:c r="L20" s="2"/>
      <x:c r="M20" s="2"/>
      <x:c r="N20" s="2"/>
      <x:c r="O20" s="49"/>
      <x:c r="P20" s="49"/>
      <x:c r="Q20" s="2"/>
      <x:c r="R20" s="2"/>
      <x:c r="S20" s="2"/>
      <x:c r="T20" s="2"/>
      <x:c r="U20" s="2"/>
      <x:c r="V20" s="49"/>
      <x:c r="W20" s="49"/>
      <x:c r="X20" s="2"/>
      <x:c r="Y20" s="2"/>
      <x:c r="Z20" s="2"/>
      <x:c r="AA20" s="2"/>
      <x:c r="AB20" s="2"/>
      <x:c r="AC20" s="49"/>
      <x:c r="AD20" s="49"/>
      <x:c r="AE20" s="2"/>
      <x:c r="AF20" s="2"/>
      <x:c r="AG20" s="2"/>
      <x:c r="AH20" s="2"/>
      <x:c r="AI20" s="2"/>
      <x:c r="AJ20" s="49"/>
      <x:c r="AK20" s="49"/>
      <x:c r="AL20" s="2"/>
      <x:c r="AM20" s="2"/>
      <x:c r="AN20" s="2"/>
      <x:c r="AO20" s="49"/>
      <x:c r="AP20" s="49"/>
      <x:c r="AQ20" s="49"/>
      <x:c r="AR20" s="49"/>
      <x:c r="AS20" s="2"/>
      <x:c r="AT20" s="2"/>
      <x:c r="AU20" s="2"/>
      <x:c r="AV20" s="2"/>
      <x:c r="AW20" s="2"/>
      <x:c r="AX20" s="49"/>
      <x:c r="AY20" s="49"/>
      <x:c r="AZ20" s="2"/>
      <x:c r="BA20" s="2"/>
      <x:c r="BB20" s="2"/>
      <x:c r="BC20" s="2"/>
      <x:c r="BD20" s="2"/>
      <x:c r="BE20" s="49"/>
      <x:c r="BF20" s="49"/>
      <x:c r="BG20" s="2"/>
      <x:c r="BH20" s="2"/>
      <x:c r="BI20" s="2"/>
      <x:c r="BJ20" s="2"/>
      <x:c r="BK20" s="2"/>
    </x:row>
    <x:row r="21" ht="34" customHeight="1">
      <x:c r="A21" s="26" t="str">
        <x:v>DSI written approvals</x:v>
      </x:c>
      <x:c r="B21" s="26" t="str">
        <x:v>Wyline</x:v>
      </x:c>
      <x:c r="C21" s="62" t="n">
        <x:v>46322</x:v>
      </x:c>
      <x:c r="D21" s="62" t="n">
        <x:v>46322</x:v>
      </x:c>
      <x:c r="E21" s="2" t="str">
        <x:f>IF(COUNTIFS('Gates'!$A$7:$A$27,"M03",'Gates'!$J$7:$J$27,1)=1,"Verified","Open")</x:f>
        <x:v>Open</x:v>
      </x:c>
      <x:c r="F21" s="2"/>
      <x:c r="G21" s="2"/>
      <x:c r="H21" s="49"/>
      <x:c r="I21" s="49"/>
      <x:c r="J21" s="2"/>
      <x:c r="K21" s="61" t="str">
        <x:v>◆</x:v>
      </x:c>
      <x:c r="L21" s="2"/>
      <x:c r="M21" s="2"/>
      <x:c r="N21" s="2"/>
      <x:c r="O21" s="49"/>
      <x:c r="P21" s="49"/>
      <x:c r="Q21" s="2"/>
      <x:c r="R21" s="2"/>
      <x:c r="S21" s="2"/>
      <x:c r="T21" s="2"/>
      <x:c r="U21" s="2"/>
      <x:c r="V21" s="49"/>
      <x:c r="W21" s="49"/>
      <x:c r="X21" s="2"/>
      <x:c r="Y21" s="2"/>
      <x:c r="Z21" s="2"/>
      <x:c r="AA21" s="2"/>
      <x:c r="AB21" s="2"/>
      <x:c r="AC21" s="49"/>
      <x:c r="AD21" s="49"/>
      <x:c r="AE21" s="2"/>
      <x:c r="AF21" s="2"/>
      <x:c r="AG21" s="2"/>
      <x:c r="AH21" s="2"/>
      <x:c r="AI21" s="2"/>
      <x:c r="AJ21" s="49"/>
      <x:c r="AK21" s="49"/>
      <x:c r="AL21" s="2"/>
      <x:c r="AM21" s="2"/>
      <x:c r="AN21" s="2"/>
      <x:c r="AO21" s="49"/>
      <x:c r="AP21" s="49"/>
      <x:c r="AQ21" s="49"/>
      <x:c r="AR21" s="49"/>
      <x:c r="AS21" s="2"/>
      <x:c r="AT21" s="2"/>
      <x:c r="AU21" s="2"/>
      <x:c r="AV21" s="2"/>
      <x:c r="AW21" s="2"/>
      <x:c r="AX21" s="49"/>
      <x:c r="AY21" s="49"/>
      <x:c r="AZ21" s="2"/>
      <x:c r="BA21" s="2"/>
      <x:c r="BB21" s="2"/>
      <x:c r="BC21" s="2"/>
      <x:c r="BD21" s="2"/>
      <x:c r="BE21" s="49"/>
      <x:c r="BF21" s="49"/>
      <x:c r="BG21" s="2"/>
      <x:c r="BH21" s="2"/>
      <x:c r="BI21" s="2"/>
      <x:c r="BJ21" s="2"/>
      <x:c r="BK21" s="2"/>
    </x:row>
    <x:row r="22" ht="34" customHeight="1">
      <x:c r="A22" s="26" t="str">
        <x:v>Approve practical scope and recovery capacity</x:v>
      </x:c>
      <x:c r="B22" s="26" t="str">
        <x:v>Wyline</x:v>
      </x:c>
      <x:c r="C22" s="62" t="n">
        <x:v>46322</x:v>
      </x:c>
      <x:c r="D22" s="62" t="n">
        <x:v>46322</x:v>
      </x:c>
      <x:c r="E22" s="2" t="str">
        <x:f>IF(COUNTIFS('Gates'!$A$7:$A$27,"M21",'Gates'!$J$7:$J$27,1)=1,"Verified","Open")</x:f>
        <x:v>Open</x:v>
      </x:c>
      <x:c r="F22" s="2"/>
      <x:c r="G22" s="2"/>
      <x:c r="H22" s="49"/>
      <x:c r="I22" s="49"/>
      <x:c r="J22" s="2"/>
      <x:c r="K22" s="61" t="str">
        <x:v>◆</x:v>
      </x:c>
      <x:c r="L22" s="2"/>
      <x:c r="M22" s="2"/>
      <x:c r="N22" s="2"/>
      <x:c r="O22" s="49"/>
      <x:c r="P22" s="49"/>
      <x:c r="Q22" s="2"/>
      <x:c r="R22" s="2"/>
      <x:c r="S22" s="2"/>
      <x:c r="T22" s="2"/>
      <x:c r="U22" s="2"/>
      <x:c r="V22" s="49"/>
      <x:c r="W22" s="49"/>
      <x:c r="X22" s="2"/>
      <x:c r="Y22" s="2"/>
      <x:c r="Z22" s="2"/>
      <x:c r="AA22" s="2"/>
      <x:c r="AB22" s="2"/>
      <x:c r="AC22" s="49"/>
      <x:c r="AD22" s="49"/>
      <x:c r="AE22" s="2"/>
      <x:c r="AF22" s="2"/>
      <x:c r="AG22" s="2"/>
      <x:c r="AH22" s="2"/>
      <x:c r="AI22" s="2"/>
      <x:c r="AJ22" s="49"/>
      <x:c r="AK22" s="49"/>
      <x:c r="AL22" s="2"/>
      <x:c r="AM22" s="2"/>
      <x:c r="AN22" s="2"/>
      <x:c r="AO22" s="49"/>
      <x:c r="AP22" s="49"/>
      <x:c r="AQ22" s="49"/>
      <x:c r="AR22" s="49"/>
      <x:c r="AS22" s="2"/>
      <x:c r="AT22" s="2"/>
      <x:c r="AU22" s="2"/>
      <x:c r="AV22" s="2"/>
      <x:c r="AW22" s="2"/>
      <x:c r="AX22" s="49"/>
      <x:c r="AY22" s="49"/>
      <x:c r="AZ22" s="2"/>
      <x:c r="BA22" s="2"/>
      <x:c r="BB22" s="2"/>
      <x:c r="BC22" s="2"/>
      <x:c r="BD22" s="2"/>
      <x:c r="BE22" s="49"/>
      <x:c r="BF22" s="49"/>
      <x:c r="BG22" s="2"/>
      <x:c r="BH22" s="2"/>
      <x:c r="BI22" s="2"/>
      <x:c r="BJ22" s="2"/>
      <x:c r="BK22" s="2"/>
    </x:row>
    <x:row r="23" ht="34" customHeight="1">
      <x:c r="A23" s="26" t="str">
        <x:v>250-contact list QA</x:v>
      </x:c>
      <x:c r="B23" s="26" t="str">
        <x:v>Joey</x:v>
      </x:c>
      <x:c r="C23" s="62" t="n">
        <x:v>46323</x:v>
      </x:c>
      <x:c r="D23" s="62" t="n">
        <x:v>46323</x:v>
      </x:c>
      <x:c r="E23" s="2" t="str">
        <x:f>IF(COUNTIFS('Gates'!$A$7:$A$27,"M04",'Gates'!$J$7:$J$27,1)=1,"Verified","Open")</x:f>
        <x:v>Open</x:v>
      </x:c>
      <x:c r="F23" s="2"/>
      <x:c r="G23" s="2"/>
      <x:c r="H23" s="49"/>
      <x:c r="I23" s="49"/>
      <x:c r="J23" s="2"/>
      <x:c r="K23" s="2"/>
      <x:c r="L23" s="61" t="str">
        <x:v>◆</x:v>
      </x:c>
      <x:c r="M23" s="2"/>
      <x:c r="N23" s="2"/>
      <x:c r="O23" s="49"/>
      <x:c r="P23" s="49"/>
      <x:c r="Q23" s="2"/>
      <x:c r="R23" s="2"/>
      <x:c r="S23" s="2"/>
      <x:c r="T23" s="2"/>
      <x:c r="U23" s="2"/>
      <x:c r="V23" s="49"/>
      <x:c r="W23" s="49"/>
      <x:c r="X23" s="2"/>
      <x:c r="Y23" s="2"/>
      <x:c r="Z23" s="2"/>
      <x:c r="AA23" s="2"/>
      <x:c r="AB23" s="2"/>
      <x:c r="AC23" s="49"/>
      <x:c r="AD23" s="49"/>
      <x:c r="AE23" s="2"/>
      <x:c r="AF23" s="2"/>
      <x:c r="AG23" s="2"/>
      <x:c r="AH23" s="2"/>
      <x:c r="AI23" s="2"/>
      <x:c r="AJ23" s="49"/>
      <x:c r="AK23" s="49"/>
      <x:c r="AL23" s="2"/>
      <x:c r="AM23" s="2"/>
      <x:c r="AN23" s="2"/>
      <x:c r="AO23" s="49"/>
      <x:c r="AP23" s="49"/>
      <x:c r="AQ23" s="49"/>
      <x:c r="AR23" s="49"/>
      <x:c r="AS23" s="2"/>
      <x:c r="AT23" s="2"/>
      <x:c r="AU23" s="2"/>
      <x:c r="AV23" s="2"/>
      <x:c r="AW23" s="2"/>
      <x:c r="AX23" s="49"/>
      <x:c r="AY23" s="49"/>
      <x:c r="AZ23" s="2"/>
      <x:c r="BA23" s="2"/>
      <x:c r="BB23" s="2"/>
      <x:c r="BC23" s="2"/>
      <x:c r="BD23" s="2"/>
      <x:c r="BE23" s="49"/>
      <x:c r="BF23" s="49"/>
      <x:c r="BG23" s="2"/>
      <x:c r="BH23" s="2"/>
      <x:c r="BI23" s="2"/>
      <x:c r="BJ23" s="2"/>
      <x:c r="BK23" s="2"/>
    </x:row>
    <x:row r="24" ht="34" customHeight="1">
      <x:c r="A24" s="26" t="str">
        <x:v>Copy and operating pack approved</x:v>
      </x:c>
      <x:c r="B24" s="26" t="str">
        <x:v>Kenneth</x:v>
      </x:c>
      <x:c r="C24" s="62" t="n">
        <x:v>46324</x:v>
      </x:c>
      <x:c r="D24" s="62" t="n">
        <x:v>46324</x:v>
      </x:c>
      <x:c r="E24" s="2" t="str">
        <x:f>IF(COUNTIFS('Gates'!$A$7:$A$27,"M05",'Gates'!$J$7:$J$27,1)=1,"Verified","Open")</x:f>
        <x:v>Open</x:v>
      </x:c>
      <x:c r="F24" s="2"/>
      <x:c r="G24" s="2"/>
      <x:c r="H24" s="49"/>
      <x:c r="I24" s="49"/>
      <x:c r="J24" s="2"/>
      <x:c r="K24" s="2"/>
      <x:c r="L24" s="2"/>
      <x:c r="M24" s="61" t="str">
        <x:v>◆</x:v>
      </x:c>
      <x:c r="N24" s="2"/>
      <x:c r="O24" s="49"/>
      <x:c r="P24" s="49"/>
      <x:c r="Q24" s="2"/>
      <x:c r="R24" s="2"/>
      <x:c r="S24" s="2"/>
      <x:c r="T24" s="2"/>
      <x:c r="U24" s="2"/>
      <x:c r="V24" s="49"/>
      <x:c r="W24" s="49"/>
      <x:c r="X24" s="2"/>
      <x:c r="Y24" s="2"/>
      <x:c r="Z24" s="2"/>
      <x:c r="AA24" s="2"/>
      <x:c r="AB24" s="2"/>
      <x:c r="AC24" s="49"/>
      <x:c r="AD24" s="49"/>
      <x:c r="AE24" s="2"/>
      <x:c r="AF24" s="2"/>
      <x:c r="AG24" s="2"/>
      <x:c r="AH24" s="2"/>
      <x:c r="AI24" s="2"/>
      <x:c r="AJ24" s="49"/>
      <x:c r="AK24" s="49"/>
      <x:c r="AL24" s="2"/>
      <x:c r="AM24" s="2"/>
      <x:c r="AN24" s="2"/>
      <x:c r="AO24" s="49"/>
      <x:c r="AP24" s="49"/>
      <x:c r="AQ24" s="49"/>
      <x:c r="AR24" s="49"/>
      <x:c r="AS24" s="2"/>
      <x:c r="AT24" s="2"/>
      <x:c r="AU24" s="2"/>
      <x:c r="AV24" s="2"/>
      <x:c r="AW24" s="2"/>
      <x:c r="AX24" s="49"/>
      <x:c r="AY24" s="49"/>
      <x:c r="AZ24" s="2"/>
      <x:c r="BA24" s="2"/>
      <x:c r="BB24" s="2"/>
      <x:c r="BC24" s="2"/>
      <x:c r="BD24" s="2"/>
      <x:c r="BE24" s="49"/>
      <x:c r="BF24" s="49"/>
      <x:c r="BG24" s="2"/>
      <x:c r="BH24" s="2"/>
      <x:c r="BI24" s="2"/>
      <x:c r="BJ24" s="2"/>
      <x:c r="BK24" s="2"/>
    </x:row>
    <x:row r="25" ht="34" customHeight="1">
      <x:c r="A25" s="26" t="str">
        <x:v>Launch go/no-go</x:v>
      </x:c>
      <x:c r="B25" s="26" t="str">
        <x:v>Wyline</x:v>
      </x:c>
      <x:c r="C25" s="62" t="n">
        <x:v>46325</x:v>
      </x:c>
      <x:c r="D25" s="62" t="n">
        <x:v>46325</x:v>
      </x:c>
      <x:c r="E25" s="2" t="str">
        <x:f>IF(COUNTIFS('Gates'!$A$7:$A$27,"M06",'Gates'!$J$7:$J$27,1)=1,"Verified","Open")</x:f>
        <x:v>Open</x:v>
      </x:c>
      <x:c r="F25" s="2"/>
      <x:c r="G25" s="2"/>
      <x:c r="H25" s="49"/>
      <x:c r="I25" s="49"/>
      <x:c r="J25" s="2"/>
      <x:c r="K25" s="2"/>
      <x:c r="L25" s="2"/>
      <x:c r="M25" s="2"/>
      <x:c r="N25" s="61" t="str">
        <x:v>◆</x:v>
      </x:c>
      <x:c r="O25" s="49"/>
      <x:c r="P25" s="49"/>
      <x:c r="Q25" s="2"/>
      <x:c r="R25" s="2"/>
      <x:c r="S25" s="2"/>
      <x:c r="T25" s="2"/>
      <x:c r="U25" s="2"/>
      <x:c r="V25" s="49"/>
      <x:c r="W25" s="49"/>
      <x:c r="X25" s="2"/>
      <x:c r="Y25" s="2"/>
      <x:c r="Z25" s="2"/>
      <x:c r="AA25" s="2"/>
      <x:c r="AB25" s="2"/>
      <x:c r="AC25" s="49"/>
      <x:c r="AD25" s="49"/>
      <x:c r="AE25" s="2"/>
      <x:c r="AF25" s="2"/>
      <x:c r="AG25" s="2"/>
      <x:c r="AH25" s="2"/>
      <x:c r="AI25" s="2"/>
      <x:c r="AJ25" s="49"/>
      <x:c r="AK25" s="49"/>
      <x:c r="AL25" s="2"/>
      <x:c r="AM25" s="2"/>
      <x:c r="AN25" s="2"/>
      <x:c r="AO25" s="49"/>
      <x:c r="AP25" s="49"/>
      <x:c r="AQ25" s="49"/>
      <x:c r="AR25" s="49"/>
      <x:c r="AS25" s="2"/>
      <x:c r="AT25" s="2"/>
      <x:c r="AU25" s="2"/>
      <x:c r="AV25" s="2"/>
      <x:c r="AW25" s="2"/>
      <x:c r="AX25" s="49"/>
      <x:c r="AY25" s="49"/>
      <x:c r="AZ25" s="2"/>
      <x:c r="BA25" s="2"/>
      <x:c r="BB25" s="2"/>
      <x:c r="BC25" s="2"/>
      <x:c r="BD25" s="2"/>
      <x:c r="BE25" s="49"/>
      <x:c r="BF25" s="49"/>
      <x:c r="BG25" s="2"/>
      <x:c r="BH25" s="2"/>
      <x:c r="BI25" s="2"/>
      <x:c r="BJ25" s="2"/>
      <x:c r="BK25" s="2"/>
    </x:row>
    <x:row r="26" ht="34" customHeight="1">
      <x:c r="A26" s="26" t="str">
        <x:v>Timed full dry run</x:v>
      </x:c>
      <x:c r="B26" s="26" t="str">
        <x:v>Nova</x:v>
      </x:c>
      <x:c r="C26" s="62" t="n">
        <x:v>46328</x:v>
      </x:c>
      <x:c r="D26" s="62" t="n">
        <x:v>46328</x:v>
      </x:c>
      <x:c r="E26" s="2" t="str">
        <x:f>IF(COUNTIFS('Gates'!$A$7:$A$27,"M07",'Gates'!$J$7:$J$27,1)=1,"Verified","Open")</x:f>
        <x:v>Open</x:v>
      </x:c>
      <x:c r="F26" s="2"/>
      <x:c r="G26" s="2"/>
      <x:c r="H26" s="49"/>
      <x:c r="I26" s="49"/>
      <x:c r="J26" s="2"/>
      <x:c r="K26" s="2"/>
      <x:c r="L26" s="2"/>
      <x:c r="M26" s="2"/>
      <x:c r="N26" s="2"/>
      <x:c r="O26" s="49"/>
      <x:c r="P26" s="49"/>
      <x:c r="Q26" s="61" t="str">
        <x:v>◆</x:v>
      </x:c>
      <x:c r="R26" s="2"/>
      <x:c r="S26" s="2"/>
      <x:c r="T26" s="2"/>
      <x:c r="U26" s="2"/>
      <x:c r="V26" s="49"/>
      <x:c r="W26" s="49"/>
      <x:c r="X26" s="2"/>
      <x:c r="Y26" s="2"/>
      <x:c r="Z26" s="2"/>
      <x:c r="AA26" s="2"/>
      <x:c r="AB26" s="2"/>
      <x:c r="AC26" s="49"/>
      <x:c r="AD26" s="49"/>
      <x:c r="AE26" s="2"/>
      <x:c r="AF26" s="2"/>
      <x:c r="AG26" s="2"/>
      <x:c r="AH26" s="2"/>
      <x:c r="AI26" s="2"/>
      <x:c r="AJ26" s="49"/>
      <x:c r="AK26" s="49"/>
      <x:c r="AL26" s="2"/>
      <x:c r="AM26" s="2"/>
      <x:c r="AN26" s="2"/>
      <x:c r="AO26" s="49"/>
      <x:c r="AP26" s="49"/>
      <x:c r="AQ26" s="49"/>
      <x:c r="AR26" s="49"/>
      <x:c r="AS26" s="2"/>
      <x:c r="AT26" s="2"/>
      <x:c r="AU26" s="2"/>
      <x:c r="AV26" s="2"/>
      <x:c r="AW26" s="2"/>
      <x:c r="AX26" s="49"/>
      <x:c r="AY26" s="49"/>
      <x:c r="AZ26" s="2"/>
      <x:c r="BA26" s="2"/>
      <x:c r="BB26" s="2"/>
      <x:c r="BC26" s="2"/>
      <x:c r="BD26" s="2"/>
      <x:c r="BE26" s="49"/>
      <x:c r="BF26" s="49"/>
      <x:c r="BG26" s="2"/>
      <x:c r="BH26" s="2"/>
      <x:c r="BI26" s="2"/>
      <x:c r="BJ26" s="2"/>
      <x:c r="BK26" s="2"/>
    </x:row>
    <x:row r="27" ht="34" customHeight="1">
      <x:c r="A27" s="26" t="str">
        <x:v>Wave 1 live</x:v>
      </x:c>
      <x:c r="B27" s="26" t="str">
        <x:v>Nova</x:v>
      </x:c>
      <x:c r="C27" s="62" t="n">
        <x:v>46329</x:v>
      </x:c>
      <x:c r="D27" s="62" t="n">
        <x:v>46329</x:v>
      </x:c>
      <x:c r="E27" s="2" t="str">
        <x:f>IF(COUNTIFS('Gates'!$A$7:$A$27,"M08",'Gates'!$J$7:$J$27,1)=1,"Verified","Open")</x:f>
        <x:v>Open</x:v>
      </x:c>
      <x:c r="F27" s="2"/>
      <x:c r="G27" s="2"/>
      <x:c r="H27" s="49"/>
      <x:c r="I27" s="49"/>
      <x:c r="J27" s="2"/>
      <x:c r="K27" s="2"/>
      <x:c r="L27" s="2"/>
      <x:c r="M27" s="2"/>
      <x:c r="N27" s="2"/>
      <x:c r="O27" s="49"/>
      <x:c r="P27" s="49"/>
      <x:c r="Q27" s="2"/>
      <x:c r="R27" s="61" t="str">
        <x:v>◆</x:v>
      </x:c>
      <x:c r="S27" s="2"/>
      <x:c r="T27" s="2"/>
      <x:c r="U27" s="2"/>
      <x:c r="V27" s="49"/>
      <x:c r="W27" s="49"/>
      <x:c r="X27" s="2"/>
      <x:c r="Y27" s="2"/>
      <x:c r="Z27" s="2"/>
      <x:c r="AA27" s="2"/>
      <x:c r="AB27" s="2"/>
      <x:c r="AC27" s="49"/>
      <x:c r="AD27" s="49"/>
      <x:c r="AE27" s="2"/>
      <x:c r="AF27" s="2"/>
      <x:c r="AG27" s="2"/>
      <x:c r="AH27" s="2"/>
      <x:c r="AI27" s="2"/>
      <x:c r="AJ27" s="49"/>
      <x:c r="AK27" s="49"/>
      <x:c r="AL27" s="2"/>
      <x:c r="AM27" s="2"/>
      <x:c r="AN27" s="2"/>
      <x:c r="AO27" s="49"/>
      <x:c r="AP27" s="49"/>
      <x:c r="AQ27" s="49"/>
      <x:c r="AR27" s="49"/>
      <x:c r="AS27" s="2"/>
      <x:c r="AT27" s="2"/>
      <x:c r="AU27" s="2"/>
      <x:c r="AV27" s="2"/>
      <x:c r="AW27" s="2"/>
      <x:c r="AX27" s="49"/>
      <x:c r="AY27" s="49"/>
      <x:c r="AZ27" s="2"/>
      <x:c r="BA27" s="2"/>
      <x:c r="BB27" s="2"/>
      <x:c r="BC27" s="2"/>
      <x:c r="BD27" s="2"/>
      <x:c r="BE27" s="49"/>
      <x:c r="BF27" s="49"/>
      <x:c r="BG27" s="2"/>
      <x:c r="BH27" s="2"/>
      <x:c r="BI27" s="2"/>
      <x:c r="BJ27" s="2"/>
      <x:c r="BK27" s="2"/>
    </x:row>
    <x:row r="28" ht="34" customHeight="1">
      <x:c r="A28" s="26" t="str">
        <x:v>500 verified and assists accepted</x:v>
      </x:c>
      <x:c r="B28" s="26" t="str">
        <x:v>Joey</x:v>
      </x:c>
      <x:c r="C28" s="62" t="n">
        <x:v>46332</x:v>
      </x:c>
      <x:c r="D28" s="62" t="n">
        <x:v>46332</x:v>
      </x:c>
      <x:c r="E28" s="2" t="str">
        <x:f>IF(COUNTIFS('Gates'!$A$7:$A$27,"M09",'Gates'!$J$7:$J$27,1)=1,"Verified","Open")</x:f>
        <x:v>Open</x:v>
      </x:c>
      <x:c r="F28" s="2"/>
      <x:c r="G28" s="2"/>
      <x:c r="H28" s="49"/>
      <x:c r="I28" s="49"/>
      <x:c r="J28" s="2"/>
      <x:c r="K28" s="2"/>
      <x:c r="L28" s="2"/>
      <x:c r="M28" s="2"/>
      <x:c r="N28" s="2"/>
      <x:c r="O28" s="49"/>
      <x:c r="P28" s="49"/>
      <x:c r="Q28" s="2"/>
      <x:c r="R28" s="2"/>
      <x:c r="S28" s="2"/>
      <x:c r="T28" s="2"/>
      <x:c r="U28" s="61" t="str">
        <x:v>◆</x:v>
      </x:c>
      <x:c r="V28" s="49"/>
      <x:c r="W28" s="49"/>
      <x:c r="X28" s="2"/>
      <x:c r="Y28" s="2"/>
      <x:c r="Z28" s="2"/>
      <x:c r="AA28" s="2"/>
      <x:c r="AB28" s="2"/>
      <x:c r="AC28" s="49"/>
      <x:c r="AD28" s="49"/>
      <x:c r="AE28" s="2"/>
      <x:c r="AF28" s="2"/>
      <x:c r="AG28" s="2"/>
      <x:c r="AH28" s="2"/>
      <x:c r="AI28" s="2"/>
      <x:c r="AJ28" s="49"/>
      <x:c r="AK28" s="49"/>
      <x:c r="AL28" s="2"/>
      <x:c r="AM28" s="2"/>
      <x:c r="AN28" s="2"/>
      <x:c r="AO28" s="49"/>
      <x:c r="AP28" s="49"/>
      <x:c r="AQ28" s="49"/>
      <x:c r="AR28" s="49"/>
      <x:c r="AS28" s="2"/>
      <x:c r="AT28" s="2"/>
      <x:c r="AU28" s="2"/>
      <x:c r="AV28" s="2"/>
      <x:c r="AW28" s="2"/>
      <x:c r="AX28" s="49"/>
      <x:c r="AY28" s="49"/>
      <x:c r="AZ28" s="2"/>
      <x:c r="BA28" s="2"/>
      <x:c r="BB28" s="2"/>
      <x:c r="BC28" s="2"/>
      <x:c r="BD28" s="2"/>
      <x:c r="BE28" s="49"/>
      <x:c r="BF28" s="49"/>
      <x:c r="BG28" s="2"/>
      <x:c r="BH28" s="2"/>
      <x:c r="BI28" s="2"/>
      <x:c r="BJ28" s="2"/>
      <x:c r="BK28" s="2"/>
    </x:row>
    <x:row r="29" ht="34" customHeight="1">
      <x:c r="A29" s="26" t="str">
        <x:v>First qualified inquiry, booking and held conversation</x:v>
      </x:c>
      <x:c r="B29" s="26" t="str">
        <x:v>Nova</x:v>
      </x:c>
      <x:c r="C29" s="62" t="n">
        <x:v>46332</x:v>
      </x:c>
      <x:c r="D29" s="62" t="n">
        <x:v>46332</x:v>
      </x:c>
      <x:c r="E29" s="2" t="str">
        <x:f>IF(COUNTIFS('Gates'!$A$7:$A$27,"M20",'Gates'!$J$7:$J$27,1)=1,"Verified","Open")</x:f>
        <x:v>Open</x:v>
      </x:c>
      <x:c r="F29" s="2"/>
      <x:c r="G29" s="2"/>
      <x:c r="H29" s="49"/>
      <x:c r="I29" s="49"/>
      <x:c r="J29" s="2"/>
      <x:c r="K29" s="2"/>
      <x:c r="L29" s="2"/>
      <x:c r="M29" s="2"/>
      <x:c r="N29" s="2"/>
      <x:c r="O29" s="49"/>
      <x:c r="P29" s="49"/>
      <x:c r="Q29" s="2"/>
      <x:c r="R29" s="2"/>
      <x:c r="S29" s="2"/>
      <x:c r="T29" s="2"/>
      <x:c r="U29" s="61" t="str">
        <x:v>◆</x:v>
      </x:c>
      <x:c r="V29" s="49"/>
      <x:c r="W29" s="49"/>
      <x:c r="X29" s="2"/>
      <x:c r="Y29" s="2"/>
      <x:c r="Z29" s="2"/>
      <x:c r="AA29" s="2"/>
      <x:c r="AB29" s="2"/>
      <x:c r="AC29" s="49"/>
      <x:c r="AD29" s="49"/>
      <x:c r="AE29" s="2"/>
      <x:c r="AF29" s="2"/>
      <x:c r="AG29" s="2"/>
      <x:c r="AH29" s="2"/>
      <x:c r="AI29" s="2"/>
      <x:c r="AJ29" s="49"/>
      <x:c r="AK29" s="49"/>
      <x:c r="AL29" s="2"/>
      <x:c r="AM29" s="2"/>
      <x:c r="AN29" s="2"/>
      <x:c r="AO29" s="49"/>
      <x:c r="AP29" s="49"/>
      <x:c r="AQ29" s="49"/>
      <x:c r="AR29" s="49"/>
      <x:c r="AS29" s="2"/>
      <x:c r="AT29" s="2"/>
      <x:c r="AU29" s="2"/>
      <x:c r="AV29" s="2"/>
      <x:c r="AW29" s="2"/>
      <x:c r="AX29" s="49"/>
      <x:c r="AY29" s="49"/>
      <x:c r="AZ29" s="2"/>
      <x:c r="BA29" s="2"/>
      <x:c r="BB29" s="2"/>
      <x:c r="BC29" s="2"/>
      <x:c r="BD29" s="2"/>
      <x:c r="BE29" s="49"/>
      <x:c r="BF29" s="49"/>
      <x:c r="BG29" s="2"/>
      <x:c r="BH29" s="2"/>
      <x:c r="BI29" s="2"/>
      <x:c r="BJ29" s="2"/>
      <x:c r="BK29" s="2"/>
    </x:row>
    <x:row r="30" ht="34" customHeight="1">
      <x:c r="A30" s="26" t="str">
        <x:v>Scoreboard automation accepted</x:v>
      </x:c>
      <x:c r="B30" s="26" t="str">
        <x:v>Emman</x:v>
      </x:c>
      <x:c r="C30" s="62" t="n">
        <x:v>46338</x:v>
      </x:c>
      <x:c r="D30" s="62" t="n">
        <x:v>46338</x:v>
      </x:c>
      <x:c r="E30" s="2" t="str">
        <x:f>IF(COUNTIFS('Gates'!$A$7:$A$27,"M10",'Gates'!$J$7:$J$27,1)=1,"Verified","Open")</x:f>
        <x:v>Open</x:v>
      </x:c>
      <x:c r="F30" s="2"/>
      <x:c r="G30" s="2"/>
      <x:c r="H30" s="49"/>
      <x:c r="I30" s="49"/>
      <x:c r="J30" s="2"/>
      <x:c r="K30" s="2"/>
      <x:c r="L30" s="2"/>
      <x:c r="M30" s="2"/>
      <x:c r="N30" s="2"/>
      <x:c r="O30" s="49"/>
      <x:c r="P30" s="49"/>
      <x:c r="Q30" s="2"/>
      <x:c r="R30" s="2"/>
      <x:c r="S30" s="2"/>
      <x:c r="T30" s="2"/>
      <x:c r="U30" s="2"/>
      <x:c r="V30" s="49"/>
      <x:c r="W30" s="49"/>
      <x:c r="X30" s="2"/>
      <x:c r="Y30" s="2"/>
      <x:c r="Z30" s="2"/>
      <x:c r="AA30" s="61" t="str">
        <x:v>◆</x:v>
      </x:c>
      <x:c r="AB30" s="2"/>
      <x:c r="AC30" s="49"/>
      <x:c r="AD30" s="49"/>
      <x:c r="AE30" s="2"/>
      <x:c r="AF30" s="2"/>
      <x:c r="AG30" s="2"/>
      <x:c r="AH30" s="2"/>
      <x:c r="AI30" s="2"/>
      <x:c r="AJ30" s="49"/>
      <x:c r="AK30" s="49"/>
      <x:c r="AL30" s="2"/>
      <x:c r="AM30" s="2"/>
      <x:c r="AN30" s="2"/>
      <x:c r="AO30" s="49"/>
      <x:c r="AP30" s="49"/>
      <x:c r="AQ30" s="49"/>
      <x:c r="AR30" s="49"/>
      <x:c r="AS30" s="2"/>
      <x:c r="AT30" s="2"/>
      <x:c r="AU30" s="2"/>
      <x:c r="AV30" s="2"/>
      <x:c r="AW30" s="2"/>
      <x:c r="AX30" s="49"/>
      <x:c r="AY30" s="49"/>
      <x:c r="AZ30" s="2"/>
      <x:c r="BA30" s="2"/>
      <x:c r="BB30" s="2"/>
      <x:c r="BC30" s="2"/>
      <x:c r="BD30" s="2"/>
      <x:c r="BE30" s="49"/>
      <x:c r="BF30" s="49"/>
      <x:c r="BG30" s="2"/>
      <x:c r="BH30" s="2"/>
      <x:c r="BI30" s="2"/>
      <x:c r="BJ30" s="2"/>
      <x:c r="BK30" s="2"/>
    </x:row>
    <x:row r="31" ht="34" customHeight="1">
      <x:c r="A31" s="26" t="str">
        <x:v>A/B referral asks complete</x:v>
      </x:c>
      <x:c r="B31" s="26" t="str">
        <x:v>Maseeha</x:v>
      </x:c>
      <x:c r="C31" s="62" t="n">
        <x:v>46339</x:v>
      </x:c>
      <x:c r="D31" s="62" t="n">
        <x:v>46339</x:v>
      </x:c>
      <x:c r="E31" s="2" t="str">
        <x:f>IF(COUNTIFS('Gates'!$A$7:$A$27,"M11",'Gates'!$J$7:$J$27,1)=1,"Verified","Open")</x:f>
        <x:v>Open</x:v>
      </x:c>
      <x:c r="F31" s="2"/>
      <x:c r="G31" s="2"/>
      <x:c r="H31" s="49"/>
      <x:c r="I31" s="49"/>
      <x:c r="J31" s="2"/>
      <x:c r="K31" s="2"/>
      <x:c r="L31" s="2"/>
      <x:c r="M31" s="2"/>
      <x:c r="N31" s="2"/>
      <x:c r="O31" s="49"/>
      <x:c r="P31" s="49"/>
      <x:c r="Q31" s="2"/>
      <x:c r="R31" s="2"/>
      <x:c r="S31" s="2"/>
      <x:c r="T31" s="2"/>
      <x:c r="U31" s="2"/>
      <x:c r="V31" s="49"/>
      <x:c r="W31" s="49"/>
      <x:c r="X31" s="2"/>
      <x:c r="Y31" s="2"/>
      <x:c r="Z31" s="2"/>
      <x:c r="AA31" s="2"/>
      <x:c r="AB31" s="61" t="str">
        <x:v>◆</x:v>
      </x:c>
      <x:c r="AC31" s="49"/>
      <x:c r="AD31" s="49"/>
      <x:c r="AE31" s="2"/>
      <x:c r="AF31" s="2"/>
      <x:c r="AG31" s="2"/>
      <x:c r="AH31" s="2"/>
      <x:c r="AI31" s="2"/>
      <x:c r="AJ31" s="49"/>
      <x:c r="AK31" s="49"/>
      <x:c r="AL31" s="2"/>
      <x:c r="AM31" s="2"/>
      <x:c r="AN31" s="2"/>
      <x:c r="AO31" s="49"/>
      <x:c r="AP31" s="49"/>
      <x:c r="AQ31" s="49"/>
      <x:c r="AR31" s="49"/>
      <x:c r="AS31" s="2"/>
      <x:c r="AT31" s="2"/>
      <x:c r="AU31" s="2"/>
      <x:c r="AV31" s="2"/>
      <x:c r="AW31" s="2"/>
      <x:c r="AX31" s="49"/>
      <x:c r="AY31" s="49"/>
      <x:c r="AZ31" s="2"/>
      <x:c r="BA31" s="2"/>
      <x:c r="BB31" s="2"/>
      <x:c r="BC31" s="2"/>
      <x:c r="BD31" s="2"/>
      <x:c r="BE31" s="49"/>
      <x:c r="BF31" s="49"/>
      <x:c r="BG31" s="2"/>
      <x:c r="BH31" s="2"/>
      <x:c r="BI31" s="2"/>
      <x:c r="BJ31" s="2"/>
      <x:c r="BK31" s="2"/>
    </x:row>
    <x:row r="32" ht="34" customHeight="1">
      <x:c r="A32" s="26" t="str">
        <x:v>Client Reporter accepted</x:v>
      </x:c>
      <x:c r="B32" s="26" t="str">
        <x:v>Emman</x:v>
      </x:c>
      <x:c r="C32" s="62" t="n">
        <x:v>46345</x:v>
      </x:c>
      <x:c r="D32" s="62" t="n">
        <x:v>46345</x:v>
      </x:c>
      <x:c r="E32" s="2" t="str">
        <x:f>IF(COUNTIFS('Gates'!$A$7:$A$27,"M12",'Gates'!$J$7:$J$27,1)=1,"Verified","Open")</x:f>
        <x:v>Open</x:v>
      </x:c>
      <x:c r="F32" s="2"/>
      <x:c r="G32" s="2"/>
      <x:c r="H32" s="49"/>
      <x:c r="I32" s="49"/>
      <x:c r="J32" s="2"/>
      <x:c r="K32" s="2"/>
      <x:c r="L32" s="2"/>
      <x:c r="M32" s="2"/>
      <x:c r="N32" s="2"/>
      <x:c r="O32" s="49"/>
      <x:c r="P32" s="49"/>
      <x:c r="Q32" s="2"/>
      <x:c r="R32" s="2"/>
      <x:c r="S32" s="2"/>
      <x:c r="T32" s="2"/>
      <x:c r="U32" s="2"/>
      <x:c r="V32" s="49"/>
      <x:c r="W32" s="49"/>
      <x:c r="X32" s="2"/>
      <x:c r="Y32" s="2"/>
      <x:c r="Z32" s="2"/>
      <x:c r="AA32" s="2"/>
      <x:c r="AB32" s="2"/>
      <x:c r="AC32" s="49"/>
      <x:c r="AD32" s="49"/>
      <x:c r="AE32" s="2"/>
      <x:c r="AF32" s="2"/>
      <x:c r="AG32" s="2"/>
      <x:c r="AH32" s="61" t="str">
        <x:v>◆</x:v>
      </x:c>
      <x:c r="AI32" s="2"/>
      <x:c r="AJ32" s="49"/>
      <x:c r="AK32" s="49"/>
      <x:c r="AL32" s="2"/>
      <x:c r="AM32" s="2"/>
      <x:c r="AN32" s="2"/>
      <x:c r="AO32" s="49"/>
      <x:c r="AP32" s="49"/>
      <x:c r="AQ32" s="49"/>
      <x:c r="AR32" s="49"/>
      <x:c r="AS32" s="2"/>
      <x:c r="AT32" s="2"/>
      <x:c r="AU32" s="2"/>
      <x:c r="AV32" s="2"/>
      <x:c r="AW32" s="2"/>
      <x:c r="AX32" s="49"/>
      <x:c r="AY32" s="49"/>
      <x:c r="AZ32" s="2"/>
      <x:c r="BA32" s="2"/>
      <x:c r="BB32" s="2"/>
      <x:c r="BC32" s="2"/>
      <x:c r="BD32" s="2"/>
      <x:c r="BE32" s="49"/>
      <x:c r="BF32" s="49"/>
      <x:c r="BG32" s="2"/>
      <x:c r="BH32" s="2"/>
      <x:c r="BI32" s="2"/>
      <x:c r="BJ32" s="2"/>
      <x:c r="BK32" s="2"/>
    </x:row>
    <x:row r="33" ht="34" customHeight="1">
      <x:c r="A33" s="26" t="str">
        <x:v>Midpoint funnel decision</x:v>
      </x:c>
      <x:c r="B33" s="26" t="str">
        <x:v>Wyline</x:v>
      </x:c>
      <x:c r="C33" s="62" t="n">
        <x:v>46346</x:v>
      </x:c>
      <x:c r="D33" s="62" t="n">
        <x:v>46346</x:v>
      </x:c>
      <x:c r="E33" s="2" t="str">
        <x:f>IF(COUNTIFS('Gates'!$A$7:$A$27,"M13",'Gates'!$J$7:$J$27,1)=1,"Verified","Open")</x:f>
        <x:v>Open</x:v>
      </x:c>
      <x:c r="F33" s="2"/>
      <x:c r="G33" s="2"/>
      <x:c r="H33" s="49"/>
      <x:c r="I33" s="49"/>
      <x:c r="J33" s="2"/>
      <x:c r="K33" s="2"/>
      <x:c r="L33" s="2"/>
      <x:c r="M33" s="2"/>
      <x:c r="N33" s="2"/>
      <x:c r="O33" s="49"/>
      <x:c r="P33" s="49"/>
      <x:c r="Q33" s="2"/>
      <x:c r="R33" s="2"/>
      <x:c r="S33" s="2"/>
      <x:c r="T33" s="2"/>
      <x:c r="U33" s="2"/>
      <x:c r="V33" s="49"/>
      <x:c r="W33" s="49"/>
      <x:c r="X33" s="2"/>
      <x:c r="Y33" s="2"/>
      <x:c r="Z33" s="2"/>
      <x:c r="AA33" s="2"/>
      <x:c r="AB33" s="2"/>
      <x:c r="AC33" s="49"/>
      <x:c r="AD33" s="49"/>
      <x:c r="AE33" s="2"/>
      <x:c r="AF33" s="2"/>
      <x:c r="AG33" s="2"/>
      <x:c r="AH33" s="2"/>
      <x:c r="AI33" s="61" t="str">
        <x:v>◆</x:v>
      </x:c>
      <x:c r="AJ33" s="49"/>
      <x:c r="AK33" s="49"/>
      <x:c r="AL33" s="2"/>
      <x:c r="AM33" s="2"/>
      <x:c r="AN33" s="2"/>
      <x:c r="AO33" s="49"/>
      <x:c r="AP33" s="49"/>
      <x:c r="AQ33" s="49"/>
      <x:c r="AR33" s="49"/>
      <x:c r="AS33" s="2"/>
      <x:c r="AT33" s="2"/>
      <x:c r="AU33" s="2"/>
      <x:c r="AV33" s="2"/>
      <x:c r="AW33" s="2"/>
      <x:c r="AX33" s="49"/>
      <x:c r="AY33" s="49"/>
      <x:c r="AZ33" s="2"/>
      <x:c r="BA33" s="2"/>
      <x:c r="BB33" s="2"/>
      <x:c r="BC33" s="2"/>
      <x:c r="BD33" s="2"/>
      <x:c r="BE33" s="49"/>
      <x:c r="BF33" s="49"/>
      <x:c r="BG33" s="2"/>
      <x:c r="BH33" s="2"/>
      <x:c r="BI33" s="2"/>
      <x:c r="BJ33" s="2"/>
      <x:c r="BK33" s="2"/>
    </x:row>
    <x:row r="34" ht="34" customHeight="1">
      <x:c r="A34" s="26" t="str">
        <x:v>All 41 existing-account asks complete</x:v>
      </x:c>
      <x:c r="B34" s="26" t="str">
        <x:v>Maseeha</x:v>
      </x:c>
      <x:c r="C34" s="62" t="n">
        <x:v>46351</x:v>
      </x:c>
      <x:c r="D34" s="62" t="n">
        <x:v>46351</x:v>
      </x:c>
      <x:c r="E34" s="2" t="str">
        <x:f>IF(COUNTIFS('Gates'!$A$7:$A$27,"M14",'Gates'!$J$7:$J$27,1)=1,"Verified","Open")</x:f>
        <x:v>Open</x:v>
      </x:c>
      <x:c r="F34" s="2"/>
      <x:c r="G34" s="2"/>
      <x:c r="H34" s="49"/>
      <x:c r="I34" s="49"/>
      <x:c r="J34" s="2"/>
      <x:c r="K34" s="2"/>
      <x:c r="L34" s="2"/>
      <x:c r="M34" s="2"/>
      <x:c r="N34" s="2"/>
      <x:c r="O34" s="49"/>
      <x:c r="P34" s="49"/>
      <x:c r="Q34" s="2"/>
      <x:c r="R34" s="2"/>
      <x:c r="S34" s="2"/>
      <x:c r="T34" s="2"/>
      <x:c r="U34" s="2"/>
      <x:c r="V34" s="49"/>
      <x:c r="W34" s="49"/>
      <x:c r="X34" s="2"/>
      <x:c r="Y34" s="2"/>
      <x:c r="Z34" s="2"/>
      <x:c r="AA34" s="2"/>
      <x:c r="AB34" s="2"/>
      <x:c r="AC34" s="49"/>
      <x:c r="AD34" s="49"/>
      <x:c r="AE34" s="2"/>
      <x:c r="AF34" s="2"/>
      <x:c r="AG34" s="2"/>
      <x:c r="AH34" s="2"/>
      <x:c r="AI34" s="2"/>
      <x:c r="AJ34" s="49"/>
      <x:c r="AK34" s="49"/>
      <x:c r="AL34" s="2"/>
      <x:c r="AM34" s="2"/>
      <x:c r="AN34" s="61" t="str">
        <x:v>◆</x:v>
      </x:c>
      <x:c r="AO34" s="49"/>
      <x:c r="AP34" s="49"/>
      <x:c r="AQ34" s="49"/>
      <x:c r="AR34" s="49"/>
      <x:c r="AS34" s="2"/>
      <x:c r="AT34" s="2"/>
      <x:c r="AU34" s="2"/>
      <x:c r="AV34" s="2"/>
      <x:c r="AW34" s="2"/>
      <x:c r="AX34" s="49"/>
      <x:c r="AY34" s="49"/>
      <x:c r="AZ34" s="2"/>
      <x:c r="BA34" s="2"/>
      <x:c r="BB34" s="2"/>
      <x:c r="BC34" s="2"/>
      <x:c r="BD34" s="2"/>
      <x:c r="BE34" s="49"/>
      <x:c r="BF34" s="49"/>
      <x:c r="BG34" s="2"/>
      <x:c r="BH34" s="2"/>
      <x:c r="BI34" s="2"/>
      <x:c r="BJ34" s="2"/>
      <x:c r="BK34" s="2"/>
    </x:row>
    <x:row r="35" ht="34" customHeight="1">
      <x:c r="A35" s="26" t="str">
        <x:v>SOP and agent recovery ready</x:v>
      </x:c>
      <x:c r="B35" s="26" t="str">
        <x:v>Wyline</x:v>
      </x:c>
      <x:c r="C35" s="62" t="n">
        <x:v>46351</x:v>
      </x:c>
      <x:c r="D35" s="62" t="n">
        <x:v>46351</x:v>
      </x:c>
      <x:c r="E35" s="2" t="str">
        <x:f>IF(COUNTIFS('Gates'!$A$7:$A$27,"M15",'Gates'!$J$7:$J$27,1)=1,"Verified","Open")</x:f>
        <x:v>Open</x:v>
      </x:c>
      <x:c r="F35" s="2"/>
      <x:c r="G35" s="2"/>
      <x:c r="H35" s="49"/>
      <x:c r="I35" s="49"/>
      <x:c r="J35" s="2"/>
      <x:c r="K35" s="2"/>
      <x:c r="L35" s="2"/>
      <x:c r="M35" s="2"/>
      <x:c r="N35" s="2"/>
      <x:c r="O35" s="49"/>
      <x:c r="P35" s="49"/>
      <x:c r="Q35" s="2"/>
      <x:c r="R35" s="2"/>
      <x:c r="S35" s="2"/>
      <x:c r="T35" s="2"/>
      <x:c r="U35" s="2"/>
      <x:c r="V35" s="49"/>
      <x:c r="W35" s="49"/>
      <x:c r="X35" s="2"/>
      <x:c r="Y35" s="2"/>
      <x:c r="Z35" s="2"/>
      <x:c r="AA35" s="2"/>
      <x:c r="AB35" s="2"/>
      <x:c r="AC35" s="49"/>
      <x:c r="AD35" s="49"/>
      <x:c r="AE35" s="2"/>
      <x:c r="AF35" s="2"/>
      <x:c r="AG35" s="2"/>
      <x:c r="AH35" s="2"/>
      <x:c r="AI35" s="2"/>
      <x:c r="AJ35" s="49"/>
      <x:c r="AK35" s="49"/>
      <x:c r="AL35" s="2"/>
      <x:c r="AM35" s="2"/>
      <x:c r="AN35" s="61" t="str">
        <x:v>◆</x:v>
      </x:c>
      <x:c r="AO35" s="49"/>
      <x:c r="AP35" s="49"/>
      <x:c r="AQ35" s="49"/>
      <x:c r="AR35" s="49"/>
      <x:c r="AS35" s="2"/>
      <x:c r="AT35" s="2"/>
      <x:c r="AU35" s="2"/>
      <x:c r="AV35" s="2"/>
      <x:c r="AW35" s="2"/>
      <x:c r="AX35" s="49"/>
      <x:c r="AY35" s="49"/>
      <x:c r="AZ35" s="2"/>
      <x:c r="BA35" s="2"/>
      <x:c r="BB35" s="2"/>
      <x:c r="BC35" s="2"/>
      <x:c r="BD35" s="2"/>
      <x:c r="BE35" s="49"/>
      <x:c r="BF35" s="49"/>
      <x:c r="BG35" s="2"/>
      <x:c r="BH35" s="2"/>
      <x:c r="BI35" s="2"/>
      <x:c r="BJ35" s="2"/>
      <x:c r="BK35" s="2"/>
    </x:row>
    <x:row r="36" ht="34" customHeight="1">
      <x:c r="A36" s="26" t="str">
        <x:v>December recovery checkpoint</x:v>
      </x:c>
      <x:c r="B36" s="26" t="str">
        <x:v>Nova</x:v>
      </x:c>
      <x:c r="C36" s="62" t="n">
        <x:v>46360</x:v>
      </x:c>
      <x:c r="D36" s="62" t="n">
        <x:v>46360</x:v>
      </x:c>
      <x:c r="E36" s="2" t="str">
        <x:f>IF(COUNTIFS('Gates'!$A$7:$A$27,"M16",'Gates'!$J$7:$J$27,1)=1,"Verified","Open")</x:f>
        <x:v>Open</x:v>
      </x:c>
      <x:c r="F36" s="2"/>
      <x:c r="G36" s="2"/>
      <x:c r="H36" s="49"/>
      <x:c r="I36" s="49"/>
      <x:c r="J36" s="2"/>
      <x:c r="K36" s="2"/>
      <x:c r="L36" s="2"/>
      <x:c r="M36" s="2"/>
      <x:c r="N36" s="2"/>
      <x:c r="O36" s="49"/>
      <x:c r="P36" s="49"/>
      <x:c r="Q36" s="2"/>
      <x:c r="R36" s="2"/>
      <x:c r="S36" s="2"/>
      <x:c r="T36" s="2"/>
      <x:c r="U36" s="2"/>
      <x:c r="V36" s="49"/>
      <x:c r="W36" s="49"/>
      <x:c r="X36" s="2"/>
      <x:c r="Y36" s="2"/>
      <x:c r="Z36" s="2"/>
      <x:c r="AA36" s="2"/>
      <x:c r="AB36" s="2"/>
      <x:c r="AC36" s="49"/>
      <x:c r="AD36" s="49"/>
      <x:c r="AE36" s="2"/>
      <x:c r="AF36" s="2"/>
      <x:c r="AG36" s="2"/>
      <x:c r="AH36" s="2"/>
      <x:c r="AI36" s="2"/>
      <x:c r="AJ36" s="49"/>
      <x:c r="AK36" s="49"/>
      <x:c r="AL36" s="2"/>
      <x:c r="AM36" s="2"/>
      <x:c r="AN36" s="2"/>
      <x:c r="AO36" s="49"/>
      <x:c r="AP36" s="49"/>
      <x:c r="AQ36" s="49"/>
      <x:c r="AR36" s="49"/>
      <x:c r="AS36" s="2"/>
      <x:c r="AT36" s="2"/>
      <x:c r="AU36" s="2"/>
      <x:c r="AV36" s="2"/>
      <x:c r="AW36" s="61" t="str">
        <x:v>◆</x:v>
      </x:c>
      <x:c r="AX36" s="49"/>
      <x:c r="AY36" s="49"/>
      <x:c r="AZ36" s="2"/>
      <x:c r="BA36" s="2"/>
      <x:c r="BB36" s="2"/>
      <x:c r="BC36" s="2"/>
      <x:c r="BD36" s="2"/>
      <x:c r="BE36" s="49"/>
      <x:c r="BF36" s="49"/>
      <x:c r="BG36" s="2"/>
      <x:c r="BH36" s="2"/>
      <x:c r="BI36" s="2"/>
      <x:c r="BJ36" s="2"/>
      <x:c r="BK36" s="2"/>
    </x:row>
    <x:row r="37" ht="34" customHeight="1">
      <x:c r="A37" s="26" t="str">
        <x:v>Full target checkpoint</x:v>
      </x:c>
      <x:c r="B37" s="26" t="str">
        <x:v>Wyline</x:v>
      </x:c>
      <x:c r="C37" s="62" t="n">
        <x:v>46367</x:v>
      </x:c>
      <x:c r="D37" s="62" t="n">
        <x:v>46367</x:v>
      </x:c>
      <x:c r="E37" s="2" t="str">
        <x:f>IF(COUNTIFS('Gates'!$A$7:$A$27,"M17",'Gates'!$J$7:$J$27,1)=1,"Verified","Open")</x:f>
        <x:v>Open</x:v>
      </x:c>
      <x:c r="F37" s="2"/>
      <x:c r="G37" s="2"/>
      <x:c r="H37" s="49"/>
      <x:c r="I37" s="49"/>
      <x:c r="J37" s="2"/>
      <x:c r="K37" s="2"/>
      <x:c r="L37" s="2"/>
      <x:c r="M37" s="2"/>
      <x:c r="N37" s="2"/>
      <x:c r="O37" s="49"/>
      <x:c r="P37" s="49"/>
      <x:c r="Q37" s="2"/>
      <x:c r="R37" s="2"/>
      <x:c r="S37" s="2"/>
      <x:c r="T37" s="2"/>
      <x:c r="U37" s="2"/>
      <x:c r="V37" s="49"/>
      <x:c r="W37" s="49"/>
      <x:c r="X37" s="2"/>
      <x:c r="Y37" s="2"/>
      <x:c r="Z37" s="2"/>
      <x:c r="AA37" s="2"/>
      <x:c r="AB37" s="2"/>
      <x:c r="AC37" s="49"/>
      <x:c r="AD37" s="49"/>
      <x:c r="AE37" s="2"/>
      <x:c r="AF37" s="2"/>
      <x:c r="AG37" s="2"/>
      <x:c r="AH37" s="2"/>
      <x:c r="AI37" s="2"/>
      <x:c r="AJ37" s="49"/>
      <x:c r="AK37" s="49"/>
      <x:c r="AL37" s="2"/>
      <x:c r="AM37" s="2"/>
      <x:c r="AN37" s="2"/>
      <x:c r="AO37" s="49"/>
      <x:c r="AP37" s="49"/>
      <x:c r="AQ37" s="49"/>
      <x:c r="AR37" s="49"/>
      <x:c r="AS37" s="2"/>
      <x:c r="AT37" s="2"/>
      <x:c r="AU37" s="2"/>
      <x:c r="AV37" s="2"/>
      <x:c r="AW37" s="2"/>
      <x:c r="AX37" s="49"/>
      <x:c r="AY37" s="49"/>
      <x:c r="AZ37" s="2"/>
      <x:c r="BA37" s="2"/>
      <x:c r="BB37" s="2"/>
      <x:c r="BC37" s="2"/>
      <x:c r="BD37" s="61" t="str">
        <x:v>◆</x:v>
      </x:c>
      <x:c r="BE37" s="49"/>
      <x:c r="BF37" s="49"/>
      <x:c r="BG37" s="2"/>
      <x:c r="BH37" s="2"/>
      <x:c r="BI37" s="2"/>
      <x:c r="BJ37" s="2"/>
      <x:c r="BK37" s="2"/>
    </x:row>
    <x:row r="38" ht="34" customHeight="1">
      <x:c r="A38" s="26" t="str">
        <x:v>Final execution deadline</x:v>
      </x:c>
      <x:c r="B38" s="26" t="str">
        <x:v>Wyline</x:v>
      </x:c>
      <x:c r="C38" s="62" t="n">
        <x:v>46372</x:v>
      </x:c>
      <x:c r="D38" s="62" t="n">
        <x:v>46372</x:v>
      </x:c>
      <x:c r="E38" s="2" t="str">
        <x:f>IF(COUNTIFS('Gates'!$A$7:$A$27,"M18",'Gates'!$J$7:$J$27,1)=1,"Verified","Open")</x:f>
        <x:v>Open</x:v>
      </x:c>
      <x:c r="F38" s="2"/>
      <x:c r="G38" s="2"/>
      <x:c r="H38" s="49"/>
      <x:c r="I38" s="49"/>
      <x:c r="J38" s="2"/>
      <x:c r="K38" s="2"/>
      <x:c r="L38" s="2"/>
      <x:c r="M38" s="2"/>
      <x:c r="N38" s="2"/>
      <x:c r="O38" s="49"/>
      <x:c r="P38" s="49"/>
      <x:c r="Q38" s="2"/>
      <x:c r="R38" s="2"/>
      <x:c r="S38" s="2"/>
      <x:c r="T38" s="2"/>
      <x:c r="U38" s="2"/>
      <x:c r="V38" s="49"/>
      <x:c r="W38" s="49"/>
      <x:c r="X38" s="2"/>
      <x:c r="Y38" s="2"/>
      <x:c r="Z38" s="2"/>
      <x:c r="AA38" s="2"/>
      <x:c r="AB38" s="2"/>
      <x:c r="AC38" s="49"/>
      <x:c r="AD38" s="49"/>
      <x:c r="AE38" s="2"/>
      <x:c r="AF38" s="2"/>
      <x:c r="AG38" s="2"/>
      <x:c r="AH38" s="2"/>
      <x:c r="AI38" s="2"/>
      <x:c r="AJ38" s="49"/>
      <x:c r="AK38" s="49"/>
      <x:c r="AL38" s="2"/>
      <x:c r="AM38" s="2"/>
      <x:c r="AN38" s="2"/>
      <x:c r="AO38" s="49"/>
      <x:c r="AP38" s="49"/>
      <x:c r="AQ38" s="49"/>
      <x:c r="AR38" s="49"/>
      <x:c r="AS38" s="2"/>
      <x:c r="AT38" s="2"/>
      <x:c r="AU38" s="2"/>
      <x:c r="AV38" s="2"/>
      <x:c r="AW38" s="2"/>
      <x:c r="AX38" s="49"/>
      <x:c r="AY38" s="49"/>
      <x:c r="AZ38" s="2"/>
      <x:c r="BA38" s="2"/>
      <x:c r="BB38" s="2"/>
      <x:c r="BC38" s="2"/>
      <x:c r="BD38" s="2"/>
      <x:c r="BE38" s="49"/>
      <x:c r="BF38" s="49"/>
      <x:c r="BG38" s="2"/>
      <x:c r="BH38" s="2"/>
      <x:c r="BI38" s="61" t="str">
        <x:v>◆</x:v>
      </x:c>
      <x:c r="BJ38" s="2"/>
      <x:c r="BK38" s="2"/>
    </x:row>
    <x:row r="39" ht="34" customHeight="1">
      <x:c r="A39" s="26" t="str">
        <x:v>Review and recovery closeout</x:v>
      </x:c>
      <x:c r="B39" s="26" t="str">
        <x:v>Wyline</x:v>
      </x:c>
      <x:c r="C39" s="62" t="n">
        <x:v>46374</x:v>
      </x:c>
      <x:c r="D39" s="62" t="n">
        <x:v>46374</x:v>
      </x:c>
      <x:c r="E39" s="2" t="str">
        <x:f>IF(COUNTIFS('Gates'!$A$7:$A$27,"M19",'Gates'!$J$7:$J$27,1)=1,"Verified","Open")</x:f>
        <x:v>Open</x:v>
      </x:c>
      <x:c r="F39" s="2"/>
      <x:c r="G39" s="2"/>
      <x:c r="H39" s="49"/>
      <x:c r="I39" s="49"/>
      <x:c r="J39" s="2"/>
      <x:c r="K39" s="2"/>
      <x:c r="L39" s="2"/>
      <x:c r="M39" s="2"/>
      <x:c r="N39" s="2"/>
      <x:c r="O39" s="49"/>
      <x:c r="P39" s="49"/>
      <x:c r="Q39" s="2"/>
      <x:c r="R39" s="2"/>
      <x:c r="S39" s="2"/>
      <x:c r="T39" s="2"/>
      <x:c r="U39" s="2"/>
      <x:c r="V39" s="49"/>
      <x:c r="W39" s="49"/>
      <x:c r="X39" s="2"/>
      <x:c r="Y39" s="2"/>
      <x:c r="Z39" s="2"/>
      <x:c r="AA39" s="2"/>
      <x:c r="AB39" s="2"/>
      <x:c r="AC39" s="49"/>
      <x:c r="AD39" s="49"/>
      <x:c r="AE39" s="2"/>
      <x:c r="AF39" s="2"/>
      <x:c r="AG39" s="2"/>
      <x:c r="AH39" s="2"/>
      <x:c r="AI39" s="2"/>
      <x:c r="AJ39" s="49"/>
      <x:c r="AK39" s="49"/>
      <x:c r="AL39" s="2"/>
      <x:c r="AM39" s="2"/>
      <x:c r="AN39" s="2"/>
      <x:c r="AO39" s="49"/>
      <x:c r="AP39" s="49"/>
      <x:c r="AQ39" s="49"/>
      <x:c r="AR39" s="49"/>
      <x:c r="AS39" s="2"/>
      <x:c r="AT39" s="2"/>
      <x:c r="AU39" s="2"/>
      <x:c r="AV39" s="2"/>
      <x:c r="AW39" s="2"/>
      <x:c r="AX39" s="49"/>
      <x:c r="AY39" s="49"/>
      <x:c r="AZ39" s="2"/>
      <x:c r="BA39" s="2"/>
      <x:c r="BB39" s="2"/>
      <x:c r="BC39" s="2"/>
      <x:c r="BD39" s="2"/>
      <x:c r="BE39" s="49"/>
      <x:c r="BF39" s="49"/>
      <x:c r="BG39" s="2"/>
      <x:c r="BH39" s="2"/>
      <x:c r="BI39" s="2"/>
      <x:c r="BJ39" s="2"/>
      <x:c r="BK39" s="61" t="str">
        <x:v>◆</x:v>
      </x:c>
    </x:row>
    <x:row r="40" ht="22" customHeight="1">
      <x:c r="A40" s="2"/>
      <x:c r="B40" s="2"/>
      <x:c r="C40" s="2"/>
      <x:c r="D40" s="2"/>
      <x:c r="E40" s="2"/>
      <x:c r="F40" s="2"/>
      <x:c r="G40" s="2"/>
      <x:c r="H40" s="49"/>
      <x:c r="I40" s="49"/>
      <x:c r="J40" s="2"/>
      <x:c r="K40" s="2"/>
      <x:c r="L40" s="2"/>
      <x:c r="M40" s="2"/>
      <x:c r="N40" s="2"/>
      <x:c r="O40" s="49"/>
      <x:c r="P40" s="49"/>
      <x:c r="Q40" s="2"/>
      <x:c r="R40" s="2"/>
      <x:c r="S40" s="2"/>
      <x:c r="T40" s="2"/>
      <x:c r="U40" s="2"/>
      <x:c r="V40" s="49"/>
      <x:c r="W40" s="49"/>
      <x:c r="X40" s="2"/>
      <x:c r="Y40" s="2"/>
      <x:c r="Z40" s="2"/>
      <x:c r="AA40" s="2"/>
      <x:c r="AB40" s="2"/>
      <x:c r="AC40" s="49"/>
      <x:c r="AD40" s="49"/>
      <x:c r="AE40" s="2"/>
      <x:c r="AF40" s="2"/>
      <x:c r="AG40" s="2"/>
      <x:c r="AH40" s="2"/>
      <x:c r="AI40" s="2"/>
      <x:c r="AJ40" s="49"/>
      <x:c r="AK40" s="49"/>
      <x:c r="AL40" s="2"/>
      <x:c r="AM40" s="2"/>
      <x:c r="AN40" s="2"/>
      <x:c r="AO40" s="49"/>
      <x:c r="AP40" s="49"/>
      <x:c r="AQ40" s="49"/>
      <x:c r="AR40" s="49"/>
      <x:c r="AS40" s="2"/>
      <x:c r="AT40" s="2"/>
      <x:c r="AU40" s="2"/>
      <x:c r="AV40" s="2"/>
      <x:c r="AW40" s="2"/>
      <x:c r="AX40" s="49"/>
      <x:c r="AY40" s="49"/>
      <x:c r="AZ40" s="2"/>
      <x:c r="BA40" s="2"/>
      <x:c r="BB40" s="2"/>
      <x:c r="BC40" s="2"/>
      <x:c r="BD40" s="2"/>
      <x:c r="BE40" s="49"/>
      <x:c r="BF40" s="49"/>
      <x:c r="BG40" s="2"/>
      <x:c r="BH40" s="2"/>
      <x:c r="BI40" s="2"/>
      <x:c r="BJ40" s="2"/>
      <x:c r="BK40" s="2"/>
    </x:row>
    <x:row r="41" ht="22" customHeight="1">
      <x:c r="A41" s="2"/>
      <x:c r="B41" s="2"/>
      <x:c r="C41" s="2"/>
      <x:c r="D41" s="2"/>
      <x:c r="E41" s="2"/>
      <x:c r="F41" s="2"/>
      <x:c r="G41" s="2"/>
      <x:c r="H41" s="49"/>
      <x:c r="I41" s="49"/>
      <x:c r="J41" s="2"/>
      <x:c r="K41" s="2"/>
      <x:c r="L41" s="2"/>
      <x:c r="M41" s="2"/>
      <x:c r="N41" s="2"/>
      <x:c r="O41" s="49"/>
      <x:c r="P41" s="49"/>
      <x:c r="Q41" s="2"/>
      <x:c r="R41" s="2"/>
      <x:c r="S41" s="2"/>
      <x:c r="T41" s="2"/>
      <x:c r="U41" s="2"/>
      <x:c r="V41" s="49"/>
      <x:c r="W41" s="49"/>
      <x:c r="X41" s="2"/>
      <x:c r="Y41" s="2"/>
      <x:c r="Z41" s="2"/>
      <x:c r="AA41" s="2"/>
      <x:c r="AB41" s="2"/>
      <x:c r="AC41" s="49"/>
      <x:c r="AD41" s="49"/>
      <x:c r="AE41" s="2"/>
      <x:c r="AF41" s="2"/>
      <x:c r="AG41" s="2"/>
      <x:c r="AH41" s="2"/>
      <x:c r="AI41" s="2"/>
      <x:c r="AJ41" s="49"/>
      <x:c r="AK41" s="49"/>
      <x:c r="AL41" s="2"/>
      <x:c r="AM41" s="2"/>
      <x:c r="AN41" s="2"/>
      <x:c r="AO41" s="49"/>
      <x:c r="AP41" s="49"/>
      <x:c r="AQ41" s="49"/>
      <x:c r="AR41" s="49"/>
      <x:c r="AS41" s="2"/>
      <x:c r="AT41" s="2"/>
      <x:c r="AU41" s="2"/>
      <x:c r="AV41" s="2"/>
      <x:c r="AW41" s="2"/>
      <x:c r="AX41" s="49"/>
      <x:c r="AY41" s="49"/>
      <x:c r="AZ41" s="2"/>
      <x:c r="BA41" s="2"/>
      <x:c r="BB41" s="2"/>
      <x:c r="BC41" s="2"/>
      <x:c r="BD41" s="2"/>
      <x:c r="BE41" s="49"/>
      <x:c r="BF41" s="49"/>
      <x:c r="BG41" s="2"/>
      <x:c r="BH41" s="2"/>
      <x:c r="BI41" s="2"/>
      <x:c r="BJ41" s="2"/>
      <x:c r="BK41" s="2"/>
    </x:row>
    <x:row r="42" ht="22" customHeight="1">
      <x:c r="A42" s="2"/>
      <x:c r="B42" s="2"/>
      <x:c r="C42" s="2"/>
      <x:c r="D42" s="2"/>
      <x:c r="E42" s="2"/>
      <x:c r="F42" s="2"/>
      <x:c r="G42" s="2"/>
      <x:c r="H42" s="49"/>
      <x:c r="I42" s="49"/>
      <x:c r="J42" s="2"/>
      <x:c r="K42" s="2"/>
      <x:c r="L42" s="2"/>
      <x:c r="M42" s="2"/>
      <x:c r="N42" s="2"/>
      <x:c r="O42" s="49"/>
      <x:c r="P42" s="49"/>
      <x:c r="Q42" s="2"/>
      <x:c r="R42" s="2"/>
      <x:c r="S42" s="2"/>
      <x:c r="T42" s="2"/>
      <x:c r="U42" s="2"/>
      <x:c r="V42" s="49"/>
      <x:c r="W42" s="49"/>
      <x:c r="X42" s="2"/>
      <x:c r="Y42" s="2"/>
      <x:c r="Z42" s="2"/>
      <x:c r="AA42" s="2"/>
      <x:c r="AB42" s="2"/>
      <x:c r="AC42" s="49"/>
      <x:c r="AD42" s="49"/>
      <x:c r="AE42" s="2"/>
      <x:c r="AF42" s="2"/>
      <x:c r="AG42" s="2"/>
      <x:c r="AH42" s="2"/>
      <x:c r="AI42" s="2"/>
      <x:c r="AJ42" s="49"/>
      <x:c r="AK42" s="49"/>
      <x:c r="AL42" s="2"/>
      <x:c r="AM42" s="2"/>
      <x:c r="AN42" s="2"/>
      <x:c r="AO42" s="49"/>
      <x:c r="AP42" s="49"/>
      <x:c r="AQ42" s="49"/>
      <x:c r="AR42" s="49"/>
      <x:c r="AS42" s="2"/>
      <x:c r="AT42" s="2"/>
      <x:c r="AU42" s="2"/>
      <x:c r="AV42" s="2"/>
      <x:c r="AW42" s="2"/>
      <x:c r="AX42" s="49"/>
      <x:c r="AY42" s="49"/>
      <x:c r="AZ42" s="2"/>
      <x:c r="BA42" s="2"/>
      <x:c r="BB42" s="2"/>
      <x:c r="BC42" s="2"/>
      <x:c r="BD42" s="2"/>
      <x:c r="BE42" s="49"/>
      <x:c r="BF42" s="49"/>
      <x:c r="BG42" s="2"/>
      <x:c r="BH42" s="2"/>
      <x:c r="BI42" s="2"/>
      <x:c r="BJ42" s="2"/>
      <x:c r="BK42" s="2"/>
    </x:row>
    <x:row r="43" ht="22"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x:c r="AV43" s="2"/>
      <x:c r="AW43" s="2"/>
      <x:c r="AX43" s="2"/>
      <x:c r="AY43" s="2"/>
      <x:c r="AZ43" s="2"/>
      <x:c r="BA43" s="2"/>
      <x:c r="BB43" s="2"/>
      <x:c r="BC43" s="2"/>
      <x:c r="BD43" s="2"/>
      <x:c r="BE43" s="2"/>
      <x:c r="BF43" s="2"/>
      <x:c r="BG43" s="2"/>
      <x:c r="BH43" s="2"/>
      <x:c r="BI43" s="2"/>
      <x:c r="BJ43" s="2"/>
      <x:c r="BK43" s="2"/>
    </x:row>
    <x:row r="44" ht="22"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c r="AY44" s="2"/>
      <x:c r="AZ44" s="2"/>
      <x:c r="BA44" s="2"/>
      <x:c r="BB44" s="2"/>
      <x:c r="BC44" s="2"/>
      <x:c r="BD44" s="2"/>
      <x:c r="BE44" s="2"/>
      <x:c r="BF44" s="2"/>
      <x:c r="BG44" s="2"/>
      <x:c r="BH44" s="2"/>
      <x:c r="BI44" s="2"/>
      <x:c r="BJ44" s="2"/>
      <x:c r="BK44" s="2"/>
    </x:row>
  </x:sheetData>
  <x:conditionalFormatting sqref="F7:F7">
    <x:cfRule type="expression" dxfId="13" priority="1">
      <x:formula>$E7=1</x:formula>
    </x:cfRule>
  </x:conditionalFormatting>
  <x:conditionalFormatting sqref="G7:G7">
    <x:cfRule type="expression" dxfId="14" priority="2">
      <x:formula>$E7=1</x:formula>
    </x:cfRule>
  </x:conditionalFormatting>
  <x:conditionalFormatting sqref="J8:J8">
    <x:cfRule type="expression" dxfId="15" priority="3">
      <x:formula>$E8=1</x:formula>
    </x:cfRule>
  </x:conditionalFormatting>
  <x:conditionalFormatting sqref="K8:K8">
    <x:cfRule type="expression" dxfId="16" priority="4">
      <x:formula>$E8=1</x:formula>
    </x:cfRule>
  </x:conditionalFormatting>
  <x:conditionalFormatting sqref="L8:L8">
    <x:cfRule type="expression" dxfId="17" priority="5">
      <x:formula>$E8=1</x:formula>
    </x:cfRule>
  </x:conditionalFormatting>
  <x:conditionalFormatting sqref="M8:M8">
    <x:cfRule type="expression" dxfId="18" priority="6">
      <x:formula>$E8=1</x:formula>
    </x:cfRule>
  </x:conditionalFormatting>
  <x:conditionalFormatting sqref="N8:N8">
    <x:cfRule type="expression" dxfId="19" priority="7">
      <x:formula>$E8=1</x:formula>
    </x:cfRule>
  </x:conditionalFormatting>
  <x:conditionalFormatting sqref="Q9:Q9">
    <x:cfRule type="expression" dxfId="20" priority="8">
      <x:formula>$E9=1</x:formula>
    </x:cfRule>
  </x:conditionalFormatting>
  <x:conditionalFormatting sqref="R9:R9">
    <x:cfRule type="expression" dxfId="21" priority="9">
      <x:formula>$E9=1</x:formula>
    </x:cfRule>
  </x:conditionalFormatting>
  <x:conditionalFormatting sqref="S9:S9">
    <x:cfRule type="expression" dxfId="22" priority="10">
      <x:formula>$E9=1</x:formula>
    </x:cfRule>
  </x:conditionalFormatting>
  <x:conditionalFormatting sqref="T9:T9">
    <x:cfRule type="expression" dxfId="23" priority="11">
      <x:formula>$E9=1</x:formula>
    </x:cfRule>
  </x:conditionalFormatting>
  <x:conditionalFormatting sqref="U9:U9">
    <x:cfRule type="expression" dxfId="24" priority="12">
      <x:formula>$E9=1</x:formula>
    </x:cfRule>
  </x:conditionalFormatting>
  <x:conditionalFormatting sqref="X10:X10">
    <x:cfRule type="expression" dxfId="25" priority="13">
      <x:formula>$E10=1</x:formula>
    </x:cfRule>
  </x:conditionalFormatting>
  <x:conditionalFormatting sqref="Y10:Y10">
    <x:cfRule type="expression" dxfId="26" priority="14">
      <x:formula>$E10=1</x:formula>
    </x:cfRule>
  </x:conditionalFormatting>
  <x:conditionalFormatting sqref="Z10:Z10">
    <x:cfRule type="expression" dxfId="27" priority="15">
      <x:formula>$E10=1</x:formula>
    </x:cfRule>
  </x:conditionalFormatting>
  <x:conditionalFormatting sqref="AA10:AA10">
    <x:cfRule type="expression" dxfId="28" priority="16">
      <x:formula>$E10=1</x:formula>
    </x:cfRule>
  </x:conditionalFormatting>
  <x:conditionalFormatting sqref="AB10:AB10">
    <x:cfRule type="expression" dxfId="29" priority="17">
      <x:formula>$E10=1</x:formula>
    </x:cfRule>
  </x:conditionalFormatting>
  <x:conditionalFormatting sqref="AE11:AE11">
    <x:cfRule type="expression" dxfId="30" priority="18">
      <x:formula>$E11=1</x:formula>
    </x:cfRule>
  </x:conditionalFormatting>
  <x:conditionalFormatting sqref="AF11:AF11">
    <x:cfRule type="expression" dxfId="31" priority="19">
      <x:formula>$E11=1</x:formula>
    </x:cfRule>
  </x:conditionalFormatting>
  <x:conditionalFormatting sqref="AG11:AG11">
    <x:cfRule type="expression" dxfId="32" priority="20">
      <x:formula>$E11=1</x:formula>
    </x:cfRule>
  </x:conditionalFormatting>
  <x:conditionalFormatting sqref="AH11:AH11">
    <x:cfRule type="expression" dxfId="33" priority="21">
      <x:formula>$E11=1</x:formula>
    </x:cfRule>
  </x:conditionalFormatting>
  <x:conditionalFormatting sqref="AI11:AI11">
    <x:cfRule type="expression" dxfId="34" priority="22">
      <x:formula>$E11=1</x:formula>
    </x:cfRule>
  </x:conditionalFormatting>
  <x:conditionalFormatting sqref="AL12:AL12">
    <x:cfRule type="expression" dxfId="35" priority="23">
      <x:formula>$E12=1</x:formula>
    </x:cfRule>
  </x:conditionalFormatting>
  <x:conditionalFormatting sqref="AM12:AM12">
    <x:cfRule type="expression" dxfId="36" priority="24">
      <x:formula>$E12=1</x:formula>
    </x:cfRule>
  </x:conditionalFormatting>
  <x:conditionalFormatting sqref="AN12:AN12">
    <x:cfRule type="expression" dxfId="37" priority="25">
      <x:formula>$E12=1</x:formula>
    </x:cfRule>
  </x:conditionalFormatting>
  <x:conditionalFormatting sqref="AS13:AS13">
    <x:cfRule type="expression" dxfId="38" priority="26">
      <x:formula>$E13=1</x:formula>
    </x:cfRule>
  </x:conditionalFormatting>
  <x:conditionalFormatting sqref="AT13:AT13">
    <x:cfRule type="expression" dxfId="39" priority="27">
      <x:formula>$E13=1</x:formula>
    </x:cfRule>
  </x:conditionalFormatting>
  <x:conditionalFormatting sqref="AU13:AU13">
    <x:cfRule type="expression" dxfId="40" priority="28">
      <x:formula>$E13=1</x:formula>
    </x:cfRule>
  </x:conditionalFormatting>
  <x:conditionalFormatting sqref="AV13:AV13">
    <x:cfRule type="expression" dxfId="41" priority="29">
      <x:formula>$E13=1</x:formula>
    </x:cfRule>
  </x:conditionalFormatting>
  <x:conditionalFormatting sqref="AW13:AW13">
    <x:cfRule type="expression" dxfId="42" priority="30">
      <x:formula>$E13=1</x:formula>
    </x:cfRule>
  </x:conditionalFormatting>
  <x:conditionalFormatting sqref="AZ13:AZ13">
    <x:cfRule type="expression" dxfId="43" priority="31">
      <x:formula>$E13=1</x:formula>
    </x:cfRule>
  </x:conditionalFormatting>
  <x:conditionalFormatting sqref="BA13:BA13">
    <x:cfRule type="expression" dxfId="44" priority="32">
      <x:formula>$E13=1</x:formula>
    </x:cfRule>
  </x:conditionalFormatting>
  <x:conditionalFormatting sqref="BB13:BB13">
    <x:cfRule type="expression" dxfId="45" priority="33">
      <x:formula>$E13=1</x:formula>
    </x:cfRule>
  </x:conditionalFormatting>
  <x:conditionalFormatting sqref="BC13:BC13">
    <x:cfRule type="expression" dxfId="46" priority="34">
      <x:formula>$E13=1</x:formula>
    </x:cfRule>
  </x:conditionalFormatting>
  <x:conditionalFormatting sqref="BD13:BD13">
    <x:cfRule type="expression" dxfId="47" priority="35">
      <x:formula>$E13=1</x:formula>
    </x:cfRule>
  </x:conditionalFormatting>
  <x:conditionalFormatting sqref="BG14:BG14">
    <x:cfRule type="expression" dxfId="48" priority="36">
      <x:formula>$E14=1</x:formula>
    </x:cfRule>
  </x:conditionalFormatting>
  <x:conditionalFormatting sqref="BH14:BH14">
    <x:cfRule type="expression" dxfId="49" priority="37">
      <x:formula>$E14=1</x:formula>
    </x:cfRule>
  </x:conditionalFormatting>
  <x:conditionalFormatting sqref="BI14:BI14">
    <x:cfRule type="expression" dxfId="50" priority="38">
      <x:formula>$E14=1</x:formula>
    </x:cfRule>
  </x:conditionalFormatting>
  <x:conditionalFormatting sqref="BJ15:BJ15">
    <x:cfRule type="expression" dxfId="51" priority="39">
      <x:formula>$E15=1</x:formula>
    </x:cfRule>
  </x:conditionalFormatting>
  <x:conditionalFormatting sqref="BK15:BK15">
    <x:cfRule type="expression" dxfId="52" priority="40">
      <x:formula>$E15=1</x:formula>
    </x:cfRule>
  </x:conditionalFormatting>
  <x:conditionalFormatting sqref="F19:F19">
    <x:cfRule type="expression" dxfId="53" priority="41">
      <x:formula>$E19="Verified"</x:formula>
    </x:cfRule>
  </x:conditionalFormatting>
  <x:conditionalFormatting sqref="G20:G20">
    <x:cfRule type="expression" dxfId="54" priority="42">
      <x:formula>$E20="Verified"</x:formula>
    </x:cfRule>
  </x:conditionalFormatting>
  <x:conditionalFormatting sqref="K21:K21">
    <x:cfRule type="expression" dxfId="55" priority="43">
      <x:formula>$E21="Verified"</x:formula>
    </x:cfRule>
  </x:conditionalFormatting>
  <x:conditionalFormatting sqref="K22:K22">
    <x:cfRule type="expression" dxfId="56" priority="44">
      <x:formula>$E22="Verified"</x:formula>
    </x:cfRule>
  </x:conditionalFormatting>
  <x:conditionalFormatting sqref="L23:L23">
    <x:cfRule type="expression" dxfId="57" priority="45">
      <x:formula>$E23="Verified"</x:formula>
    </x:cfRule>
  </x:conditionalFormatting>
  <x:conditionalFormatting sqref="M24:M24">
    <x:cfRule type="expression" dxfId="58" priority="46">
      <x:formula>$E24="Verified"</x:formula>
    </x:cfRule>
  </x:conditionalFormatting>
  <x:conditionalFormatting sqref="N25:N25">
    <x:cfRule type="expression" dxfId="59" priority="47">
      <x:formula>$E25="Verified"</x:formula>
    </x:cfRule>
  </x:conditionalFormatting>
  <x:conditionalFormatting sqref="Q26:Q26">
    <x:cfRule type="expression" dxfId="60" priority="48">
      <x:formula>$E26="Verified"</x:formula>
    </x:cfRule>
  </x:conditionalFormatting>
  <x:conditionalFormatting sqref="R27:R27">
    <x:cfRule type="expression" dxfId="61" priority="49">
      <x:formula>$E27="Verified"</x:formula>
    </x:cfRule>
  </x:conditionalFormatting>
  <x:conditionalFormatting sqref="U28:U28">
    <x:cfRule type="expression" dxfId="62" priority="50">
      <x:formula>$E28="Verified"</x:formula>
    </x:cfRule>
  </x:conditionalFormatting>
  <x:conditionalFormatting sqref="U29:U29">
    <x:cfRule type="expression" dxfId="63" priority="51">
      <x:formula>$E29="Verified"</x:formula>
    </x:cfRule>
  </x:conditionalFormatting>
  <x:conditionalFormatting sqref="AA30:AA30">
    <x:cfRule type="expression" dxfId="64" priority="52">
      <x:formula>$E30="Verified"</x:formula>
    </x:cfRule>
  </x:conditionalFormatting>
  <x:conditionalFormatting sqref="AB31:AB31">
    <x:cfRule type="expression" dxfId="65" priority="53">
      <x:formula>$E31="Verified"</x:formula>
    </x:cfRule>
  </x:conditionalFormatting>
  <x:conditionalFormatting sqref="AH32:AH32">
    <x:cfRule type="expression" dxfId="66" priority="54">
      <x:formula>$E32="Verified"</x:formula>
    </x:cfRule>
  </x:conditionalFormatting>
  <x:conditionalFormatting sqref="AI33:AI33">
    <x:cfRule type="expression" dxfId="67" priority="55">
      <x:formula>$E33="Verified"</x:formula>
    </x:cfRule>
  </x:conditionalFormatting>
  <x:conditionalFormatting sqref="AN34:AN34">
    <x:cfRule type="expression" dxfId="68" priority="56">
      <x:formula>$E34="Verified"</x:formula>
    </x:cfRule>
  </x:conditionalFormatting>
  <x:conditionalFormatting sqref="AN35:AN35">
    <x:cfRule type="expression" dxfId="69" priority="57">
      <x:formula>$E35="Verified"</x:formula>
    </x:cfRule>
  </x:conditionalFormatting>
  <x:conditionalFormatting sqref="AW36:AW36">
    <x:cfRule type="expression" dxfId="70" priority="58">
      <x:formula>$E36="Verified"</x:formula>
    </x:cfRule>
  </x:conditionalFormatting>
  <x:conditionalFormatting sqref="BD37:BD37">
    <x:cfRule type="expression" dxfId="71" priority="59">
      <x:formula>$E37="Verified"</x:formula>
    </x:cfRule>
  </x:conditionalFormatting>
  <x:conditionalFormatting sqref="BI38:BI38">
    <x:cfRule type="expression" dxfId="72" priority="60">
      <x:formula>$E38="Verified"</x:formula>
    </x:cfRule>
  </x:conditionalFormatting>
  <x:conditionalFormatting sqref="BK39:BK39">
    <x:cfRule type="expression" dxfId="73" priority="61">
      <x:formula>$E39="Verified"</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6" hidden="0" customWidth="1"/>
    <x:col min="2" max="2" width="13" hidden="0" customWidth="1"/>
    <x:col min="3" max="3" width="15" hidden="0" customWidth="1"/>
    <x:col min="4" max="4" width="20" hidden="0" customWidth="1"/>
    <x:col min="5" max="5" width="57" hidden="0" customWidth="1"/>
    <x:col min="6" max="6" width="13" hidden="0" customWidth="1"/>
    <x:col min="7" max="7" width="13" hidden="0" customWidth="1"/>
    <x:col min="8" max="8" width="16" hidden="0" customWidth="1"/>
    <x:col min="9" max="9" width="16" hidden="0" customWidth="1"/>
    <x:col min="10" max="10" width="13" hidden="0" customWidth="1"/>
    <x:col min="11" max="11" width="45" hidden="0" customWidth="1"/>
    <x:col min="12" max="12" width="40" hidden="0" customWidth="1"/>
    <x:col min="13" max="13" width="17" hidden="0" customWidth="1"/>
    <x:col min="14" max="14" width="14" hidden="0" customWidth="1"/>
    <x:col min="15" max="15" width="17" hidden="0" customWidth="1"/>
    <x:col min="16" max="16" width="14" hidden="0" customWidth="1"/>
    <x:col min="17" max="17" width="15" hidden="0" customWidth="1"/>
    <x:col min="18" max="18" width="17" hidden="0" customWidth="1"/>
    <x:col min="19" max="19" width="32" hidden="0" customWidth="1"/>
    <x:col min="20" max="20" width="29" hidden="0" customWidth="1"/>
    <x:col min="21" max="21" width="66" hidden="0" customWidth="1"/>
    <x:col min="22" max="22" width="13" hidden="0" customWidth="1"/>
    <x:col min="23" max="23" width="25" hidden="0" customWidth="1"/>
    <x:col min="24" max="24" width="42" hidden="0" customWidth="1"/>
    <x:col min="25" max="25" width="13" hidden="0" customWidth="1"/>
    <x:col min="26" max="26" width="15" hidden="0" customWidth="1"/>
    <x:col min="27" max="27" width="15" hidden="0" customWidth="1"/>
    <x:col min="28" max="28" width="14" hidden="0" customWidth="1"/>
    <x:col min="29" max="29" width="56" hidden="0" customWidth="1"/>
    <x:col min="30" max="30" width="18" hidden="0" customWidth="1"/>
    <x:col min="31" max="31" width="18" hidden="0" customWidth="1"/>
  </x:cols>
  <x:sheetData>
    <x:row r="1" ht="22"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row>
    <x:row r="2" ht="22" customHeight="1">
      <x:c r="A2" s="3" t="str">
        <x:v>Daily deliverables</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row>
    <x:row r="3" ht="22" customHeight="1">
      <x:c r="A3" s="4" t="str">
        <x:v>Filter Original due and Owner. Blue cells are inputs. Original due dates stay fixed. Acceptance needs evidence and a reviewer.</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row>
    <x:row r="4" ht="22" customHeight="1">
      <x:c r="A4" s="5"/>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row>
    <x:row r="5" ht="22"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row>
    <x:row r="6" ht="32" customHeight="1">
      <x:c r="A6" s="14" t="str">
        <x:v>Task ID</x:v>
      </x:c>
      <x:c r="B6" s="15" t="str">
        <x:v>Original due</x:v>
      </x:c>
      <x:c r="C6" s="15" t="str">
        <x:v>Owner</x:v>
      </x:c>
      <x:c r="D6" s="15" t="str">
        <x:v>Workstream</x:v>
      </x:c>
      <x:c r="E6" s="15" t="str">
        <x:v>Daily deliverable</x:v>
      </x:c>
      <x:c r="F6" s="15" t="str">
        <x:v>Target</x:v>
      </x:c>
      <x:c r="G6" s="15" t="str">
        <x:v>Actual</x:v>
      </x:c>
      <x:c r="H6" s="15" t="str">
        <x:v>Unit</x:v>
      </x:c>
      <x:c r="I6" s="15" t="str">
        <x:v>Status</x:v>
      </x:c>
      <x:c r="J6" s="15" t="str">
        <x:v>Due time PT</x:v>
      </x:c>
      <x:c r="K6" s="15" t="str">
        <x:v>Evidence / link</x:v>
      </x:c>
      <x:c r="L6" s="15" t="str">
        <x:v>Blocker / reason</x:v>
      </x:c>
      <x:c r="M6" s="15" t="str">
        <x:v>Rescue owner</x:v>
      </x:c>
      <x:c r="N6" s="15" t="str">
        <x:v>Recovery due</x:v>
      </x:c>
      <x:c r="O6" s="15" t="str">
        <x:v>Accepted by</x:v>
      </x:c>
      <x:c r="P6" s="15" t="str">
        <x:v>Accepted on</x:v>
      </x:c>
      <x:c r="Q6" s="15" t="str">
        <x:v>Counted accepted</x:v>
      </x:c>
      <x:c r="R6" s="15" t="str">
        <x:v>Deadline status</x:v>
      </x:c>
      <x:c r="S6" s="15" t="str">
        <x:v>Required next step</x:v>
      </x:c>
      <x:c r="T6" s="15" t="str">
        <x:v>Dependencies</x:v>
      </x:c>
      <x:c r="U6" s="15" t="str">
        <x:v>Acceptance standard</x:v>
      </x:c>
      <x:c r="V6" s="15" t="str">
        <x:v>Planned hours</x:v>
      </x:c>
      <x:c r="W6" s="15" t="str">
        <x:v>Support</x:v>
      </x:c>
      <x:c r="X6" s="15" t="str">
        <x:v>Basis</x:v>
      </x:c>
      <x:c r="Y6" s="15" t="str">
        <x:v>Week of</x:v>
      </x:c>
      <x:c r="Z6" s="15" t="str">
        <x:v>Target kind</x:v>
      </x:c>
      <x:c r="AA6" s="15" t="str">
        <x:v>Accepted late</x:v>
      </x:c>
      <x:c r="AB6" s="15" t="str">
        <x:v>Days overdue</x:v>
      </x:c>
      <x:c r="AC6" s="15" t="str">
        <x:v>Capacity variance reason</x:v>
      </x:c>
      <x:c r="AD6" s="15" t="str">
        <x:v>Actual less target</x:v>
      </x:c>
      <x:c r="AE6" s="16" t="str">
        <x:v>Own proof complete</x:v>
      </x:c>
    </x:row>
    <x:row r="7" ht="58" customHeight="1">
      <x:c r="A7" s="2" t="str">
        <x:v>T0001</x:v>
      </x:c>
      <x:c r="B7" s="30" t="n">
        <x:v>46317</x:v>
      </x:c>
      <x:c r="C7" s="2" t="str">
        <x:v>Wyline</x:v>
      </x:c>
      <x:c r="D7" s="2" t="str">
        <x:v>Program Director</x:v>
      </x:c>
      <x:c r="E7" s="26" t="str">
        <x:v>Kickoff ownership register; paused-ads proof; reset call request; daily standup/review cadence</x:v>
      </x:c>
      <x:c r="F7" s="2" t="n">
        <x:v>1</x:v>
      </x:c>
      <x:c r="G7" s="20"/>
      <x:c r="H7" s="2" t="str">
        <x:v>accepted output</x:v>
      </x:c>
      <x:c r="I7" s="20" t="str">
        <x:v>Ready</x:v>
      </x:c>
      <x:c r="J7" s="2" t="str">
        <x:v>16:45</x:v>
      </x:c>
      <x:c r="K7" s="28" t="str"/>
      <x:c r="L7" s="28" t="str"/>
      <x:c r="M7" s="20" t="str"/>
      <x:c r="N7" s="33"/>
      <x:c r="O7" s="20" t="str"/>
      <x:c r="P7" s="33"/>
      <x:c r="Q7" s="2" t="n">
        <x:f>IF(AND(AE7=1),1,0)</x:f>
        <x:v>0</x:v>
      </x:c>
      <x:c r="R7" s="2" t="str">
        <x:f>IF(AND(Q7=1,P7&lt;='Dashboard'!$B$5),IF(P7&gt;B7,"Accepted late","Accepted"),IF(B7&lt;'Dashboard'!$B$5,"Overdue",IF(I7="Blocked","Blocked",IF(B7='Dashboard'!$B$5,"Due today","Planned"))))</x:f>
        <x:v>Due today</x:v>
      </x:c>
      <x:c r="S7" s="26" t="str">
        <x:f>IF(I7="Accepted",IF(K7="","Add evidence",IF(O7="","Add reviewer",IF(P7="","Add accepted date",IF(AND(ISNUMBER(F7),COUNT(G7)=0),"Add actual quantity",IF(Q7=0,"Review target / date / dependencies","Complete"))))),IF(OR(I7="Blocked",I7="Deferred"),IF(L7="","Record blocker / reason",IF(M7="","Assign rescue owner",IF(N7="","Set recovery date","Recovery assigned"))),IF(B7&lt;'Dashboard'!$B$5,"Escalate and record recovery","Work to acceptance standard")))</x:f>
        <x:v>Work to acceptance standard</x:v>
      </x:c>
      <x:c r="T7" s="26" t="str"/>
      <x:c r="U7" s="26" t="str">
        <x:v>All 9 internal owners acknowledged; legacy lead freeze and ads pause evidenced; Nic reset requested for Oct 27.</x:v>
      </x:c>
      <x:c r="V7" s="31" t="n">
        <x:v>2.5</x:v>
      </x:c>
      <x:c r="W7" s="26" t="str"/>
      <x:c r="X7" s="26" t="str">
        <x:v>DSI Reset PDF: lane responsibilities and dated runbook; dated allocation proposed for this tracker.</x:v>
      </x:c>
      <x:c r="Y7" s="30" t="n">
        <x:f>B7-WEEKDAY(B7,2)+1</x:f>
        <x:v>46314</x:v>
      </x:c>
      <x:c r="Z7" s="2" t="str">
        <x:v>checklist</x:v>
      </x:c>
      <x:c r="AA7" s="2" t="n">
        <x:f>IF(Q7=1,IF(P7&gt;B7,1,0),0)</x:f>
        <x:v>0</x:v>
      </x:c>
      <x:c r="AB7" s="2" t="n">
        <x:f>IF(AND(Q7=1,P7&lt;='Dashboard'!$B$5),0,MAX(0,'Dashboard'!$B$5-B7))</x:f>
        <x:v>0</x:v>
      </x:c>
      <x:c r="AC7" s="28" t="str"/>
      <x:c r="AD7" s="2" t="str">
        <x:f>IF(AND(ISNUMBER(F7),ISNUMBER(G7)),G7-F7,"")</x:f>
      </x:c>
      <x:c r="AE7" s="2" t="n">
        <x:f>IF(AND(I7="Accepted",K7&lt;&gt;"",O7&lt;&gt;"",ISNUMBER(P7),P7&gt;0,P7&lt;='Dashboard'!$B$5,IF(ISNUMBER(F7),ISNUMBER(G7),TRUE),IF(ISNUMBER(F7),G7&gt;=F7,TRUE)),1,0)</x:f>
        <x:v>0</x:v>
      </x:c>
    </x:row>
    <x:row r="8" ht="58" customHeight="1">
      <x:c r="A8" s="2" t="str">
        <x:v>T0002</x:v>
      </x:c>
      <x:c r="B8" s="30" t="n">
        <x:v>46317</x:v>
      </x:c>
      <x:c r="C8" s="2" t="str">
        <x:v>Kenneth</x:v>
      </x:c>
      <x:c r="D8" s="2" t="str">
        <x:v>Message Orchestrator</x:v>
      </x:c>
      <x:c r="E8" s="26" t="str">
        <x:v>Voice guide outline and email 1 draft</x:v>
      </x:c>
      <x:c r="F8" s="2" t="n">
        <x:v>1</x:v>
      </x:c>
      <x:c r="G8" s="20"/>
      <x:c r="H8" s="2" t="str">
        <x:v>accepted output</x:v>
      </x:c>
      <x:c r="I8" s="20" t="str">
        <x:v>Ready</x:v>
      </x:c>
      <x:c r="J8" s="2" t="str">
        <x:v>16:45</x:v>
      </x:c>
      <x:c r="K8" s="28" t="str"/>
      <x:c r="L8" s="28" t="str"/>
      <x:c r="M8" s="20" t="str"/>
      <x:c r="N8" s="33"/>
      <x:c r="O8" s="20" t="str"/>
      <x:c r="P8" s="33"/>
      <x:c r="Q8" s="2" t="n">
        <x:f>IF(AND(AE8=1),1,0)</x:f>
        <x:v>0</x:v>
      </x:c>
      <x:c r="R8" s="2" t="str">
        <x:f>IF(AND(Q8=1,P8&lt;='Dashboard'!$B$5),IF(P8&gt;B8,"Accepted late","Accepted"),IF(B8&lt;'Dashboard'!$B$5,"Overdue",IF(I8="Blocked","Blocked",IF(B8='Dashboard'!$B$5,"Due today","Planned"))))</x:f>
        <x:v>Due today</x:v>
      </x:c>
      <x:c r="S8" s="26" t="str">
        <x:f>IF(I8="Accepted",IF(K8="","Add evidence",IF(O8="","Add reviewer",IF(P8="","Add accepted date",IF(AND(ISNUMBER(F8),COUNT(G8)=0),"Add actual quantity",IF(Q8=0,"Review target / date / dependencies","Complete"))))),IF(OR(I8="Blocked",I8="Deferred"),IF(L8="","Record blocker / reason",IF(M8="","Assign rescue owner",IF(N8="","Set recovery date","Recovery assigned"))),IF(B8&lt;'Dashboard'!$B$5,"Escalate and record recovery","Work to acceptance standard")))</x:f>
        <x:v>Work to acceptance standard</x:v>
      </x:c>
      <x:c r="T8" s="26" t="str"/>
      <x:c r="U8" s="26" t="str">
        <x:v>One offer, one true claim, one question; unknown proof/terms clearly marked for approval.</x:v>
      </x:c>
      <x:c r="V8" s="31" t="n">
        <x:v>2</x:v>
      </x:c>
      <x:c r="W8" s="26" t="str"/>
      <x:c r="X8" s="26" t="str">
        <x:v>DSI Reset PDF: lane responsibilities and dated runbook; dated allocation proposed for this tracker.</x:v>
      </x:c>
      <x:c r="Y8" s="30" t="n">
        <x:f>B8-WEEKDAY(B8,2)+1</x:f>
        <x:v>46314</x:v>
      </x:c>
      <x:c r="Z8" s="2" t="str">
        <x:v>checklist</x:v>
      </x:c>
      <x:c r="AA8" s="2" t="n">
        <x:f>IF(Q8=1,IF(P8&gt;B8,1,0),0)</x:f>
        <x:v>0</x:v>
      </x:c>
      <x:c r="AB8" s="2" t="n">
        <x:f>IF(AND(Q8=1,P8&lt;='Dashboard'!$B$5),0,MAX(0,'Dashboard'!$B$5-B8))</x:f>
        <x:v>0</x:v>
      </x:c>
      <x:c r="AC8" s="28" t="str"/>
      <x:c r="AD8" s="2" t="str">
        <x:f>IF(AND(ISNUMBER(F8),ISNUMBER(G8)),G8-F8,"")</x:f>
      </x:c>
      <x:c r="AE8" s="2" t="n">
        <x:f>IF(AND(I8="Accepted",K8&lt;&gt;"",O8&lt;&gt;"",ISNUMBER(P8),P8&gt;0,P8&lt;='Dashboard'!$B$5,IF(ISNUMBER(F8),ISNUMBER(G8),TRUE),IF(ISNUMBER(F8),G8&gt;=F8,TRUE)),1,0)</x:f>
        <x:v>0</x:v>
      </x:c>
    </x:row>
    <x:row r="9" ht="58" customHeight="1">
      <x:c r="A9" s="2" t="str">
        <x:v>T0003</x:v>
      </x:c>
      <x:c r="B9" s="30" t="n">
        <x:v>46317</x:v>
      </x:c>
      <x:c r="C9" s="2" t="str">
        <x:v>Joey</x:v>
      </x:c>
      <x:c r="D9" s="2" t="str">
        <x:v>Data Orchestrator</x:v>
      </x:c>
      <x:c r="E9" s="26" t="str">
        <x:v>Suppression export plan; 10-mailbox identity inventory; warm-up/lead-freeze screenshots</x:v>
      </x:c>
      <x:c r="F9" s="2" t="n">
        <x:v>1</x:v>
      </x:c>
      <x:c r="G9" s="20"/>
      <x:c r="H9" s="2" t="str">
        <x:v>accepted output</x:v>
      </x:c>
      <x:c r="I9" s="20" t="str">
        <x:v>Ready</x:v>
      </x:c>
      <x:c r="J9" s="2" t="str">
        <x:v>16:45</x:v>
      </x:c>
      <x:c r="K9" s="28" t="str"/>
      <x:c r="L9" s="28" t="str"/>
      <x:c r="M9" s="20" t="str"/>
      <x:c r="N9" s="33"/>
      <x:c r="O9" s="20" t="str"/>
      <x:c r="P9" s="33"/>
      <x:c r="Q9" s="2" t="n">
        <x:f>IF(AND(AE9=1),1,0)</x:f>
        <x:v>0</x:v>
      </x:c>
      <x:c r="R9" s="2" t="str">
        <x:f>IF(AND(Q9=1,P9&lt;='Dashboard'!$B$5),IF(P9&gt;B9,"Accepted late","Accepted"),IF(B9&lt;'Dashboard'!$B$5,"Overdue",IF(I9="Blocked","Blocked",IF(B9='Dashboard'!$B$5,"Due today","Planned"))))</x:f>
        <x:v>Due today</x:v>
      </x:c>
      <x:c r="S9" s="26" t="str">
        <x:f>IF(I9="Accepted",IF(K9="","Add evidence",IF(O9="","Add reviewer",IF(P9="","Add accepted date",IF(AND(ISNUMBER(F9),COUNT(G9)=0),"Add actual quantity",IF(Q9=0,"Review target / date / dependencies","Complete"))))),IF(OR(I9="Blocked",I9="Deferred"),IF(L9="","Record blocker / reason",IF(M9="","Assign rescue owner",IF(N9="","Set recovery date","Recovery assigned"))),IF(B9&lt;'Dashboard'!$B$5,"Escalate and record recovery","Work to acceptance standard")))</x:f>
        <x:v>Work to acceptance standard</x:v>
      </x:c>
      <x:c r="T9" s="26" t="str"/>
      <x:c r="U9" s="26" t="str">
        <x:v>No new legacy leads; open tracking off; consent required before real sender activation.</x:v>
      </x:c>
      <x:c r="V9" s="31" t="n">
        <x:v>3</x:v>
      </x:c>
      <x:c r="W9" s="26" t="str"/>
      <x:c r="X9" s="26" t="str">
        <x:v>DSI Reset PDF: lane responsibilities and dated runbook; dated allocation proposed for this tracker.</x:v>
      </x:c>
      <x:c r="Y9" s="30" t="n">
        <x:f>B9-WEEKDAY(B9,2)+1</x:f>
        <x:v>46314</x:v>
      </x:c>
      <x:c r="Z9" s="2" t="str">
        <x:v>checklist</x:v>
      </x:c>
      <x:c r="AA9" s="2" t="n">
        <x:f>IF(Q9=1,IF(P9&gt;B9,1,0),0)</x:f>
        <x:v>0</x:v>
      </x:c>
      <x:c r="AB9" s="2" t="n">
        <x:f>IF(AND(Q9=1,P9&lt;='Dashboard'!$B$5),0,MAX(0,'Dashboard'!$B$5-B9))</x:f>
        <x:v>0</x:v>
      </x:c>
      <x:c r="AC9" s="28" t="str"/>
      <x:c r="AD9" s="2" t="str">
        <x:f>IF(AND(ISNUMBER(F9),ISNUMBER(G9)),G9-F9,"")</x:f>
      </x:c>
      <x:c r="AE9" s="2" t="n">
        <x:f>IF(AND(I9="Accepted",K9&lt;&gt;"",O9&lt;&gt;"",ISNUMBER(P9),P9&gt;0,P9&lt;='Dashboard'!$B$5,IF(ISNUMBER(F9),ISNUMBER(G9),TRUE),IF(ISNUMBER(F9),G9&gt;=F9,TRUE)),1,0)</x:f>
        <x:v>0</x:v>
      </x:c>
    </x:row>
    <x:row r="10" ht="58" customHeight="1">
      <x:c r="A10" s="2" t="str">
        <x:v>T0004</x:v>
      </x:c>
      <x:c r="B10" s="30" t="n">
        <x:v>46317</x:v>
      </x:c>
      <x:c r="C10" s="2" t="str">
        <x:v>Nova</x:v>
      </x:c>
      <x:c r="D10" s="2" t="str">
        <x:v>Conversion Orchestrator</x:v>
      </x:c>
      <x:c r="E10" s="26" t="str">
        <x:v>Two-setter staffing request and gap list for 8 am–5 pm PT</x:v>
      </x:c>
      <x:c r="F10" s="2" t="n">
        <x:v>1</x:v>
      </x:c>
      <x:c r="G10" s="20"/>
      <x:c r="H10" s="2" t="str">
        <x:v>accepted output</x:v>
      </x:c>
      <x:c r="I10" s="20" t="str">
        <x:v>Ready</x:v>
      </x:c>
      <x:c r="J10" s="2" t="str">
        <x:v>16:45</x:v>
      </x:c>
      <x:c r="K10" s="28" t="str"/>
      <x:c r="L10" s="28" t="str"/>
      <x:c r="M10" s="20" t="str"/>
      <x:c r="N10" s="33"/>
      <x:c r="O10" s="20" t="str"/>
      <x:c r="P10" s="33"/>
      <x:c r="Q10" s="2" t="n">
        <x:f>IF(AND(AE10=1),1,0)</x:f>
        <x:v>0</x:v>
      </x:c>
      <x:c r="R10" s="2" t="str">
        <x:f>IF(AND(Q10=1,P10&lt;='Dashboard'!$B$5),IF(P10&gt;B10,"Accepted late","Accepted"),IF(B10&lt;'Dashboard'!$B$5,"Overdue",IF(I10="Blocked","Blocked",IF(B10='Dashboard'!$B$5,"Due today","Planned"))))</x:f>
        <x:v>Due today</x:v>
      </x:c>
      <x:c r="S10" s="26" t="str">
        <x:f>IF(I10="Accepted",IF(K10="","Add evidence",IF(O10="","Add reviewer",IF(P10="","Add accepted date",IF(AND(ISNUMBER(F10),COUNT(G10)=0),"Add actual quantity",IF(Q10=0,"Review target / date / dependencies","Complete"))))),IF(OR(I10="Blocked",I10="Deferred"),IF(L10="","Record blocker / reason",IF(M10="","Assign rescue owner",IF(N10="","Set recovery date","Recovery assigned"))),IF(B10&lt;'Dashboard'!$B$5,"Escalate and record recovery","Work to acceptance standard")))</x:f>
        <x:v>Work to acceptance standard</x:v>
      </x:c>
      <x:c r="T10" s="26" t="str"/>
      <x:c r="U10" s="26" t="str">
        <x:v>Names/availability requested; coverage gaps and backup assigned to Wyline, not silently assumed.</x:v>
      </x:c>
      <x:c r="V10" s="31" t="n">
        <x:v>3</x:v>
      </x:c>
      <x:c r="W10" s="26" t="str"/>
      <x:c r="X10" s="26" t="str">
        <x:v>DSI Reset PDF: lane responsibilities and dated runbook; dated allocation proposed for this tracker.</x:v>
      </x:c>
      <x:c r="Y10" s="30" t="n">
        <x:f>B10-WEEKDAY(B10,2)+1</x:f>
        <x:v>46314</x:v>
      </x:c>
      <x:c r="Z10" s="2" t="str">
        <x:v>checklist</x:v>
      </x:c>
      <x:c r="AA10" s="2" t="n">
        <x:f>IF(Q10=1,IF(P10&gt;B10,1,0),0)</x:f>
        <x:v>0</x:v>
      </x:c>
      <x:c r="AB10" s="2" t="n">
        <x:f>IF(AND(Q10=1,P10&lt;='Dashboard'!$B$5),0,MAX(0,'Dashboard'!$B$5-B10))</x:f>
        <x:v>0</x:v>
      </x:c>
      <x:c r="AC10" s="28" t="str"/>
      <x:c r="AD10" s="2" t="str">
        <x:f>IF(AND(ISNUMBER(F10),ISNUMBER(G10)),G10-F10,"")</x:f>
      </x:c>
      <x:c r="AE10" s="2" t="n">
        <x:f>IF(AND(I10="Accepted",K10&lt;&gt;"",O10&lt;&gt;"",ISNUMBER(P10),P10&gt;0,P10&lt;='Dashboard'!$B$5,IF(ISNUMBER(F10),ISNUMBER(G10),TRUE),IF(ISNUMBER(F10),G10&gt;=F10,TRUE)),1,0)</x:f>
        <x:v>0</x:v>
      </x:c>
    </x:row>
    <x:row r="11" ht="58" customHeight="1">
      <x:c r="A11" s="2" t="str">
        <x:v>T0005</x:v>
      </x:c>
      <x:c r="B11" s="30" t="n">
        <x:v>46317</x:v>
      </x:c>
      <x:c r="C11" s="2" t="str">
        <x:v>Emman</x:v>
      </x:c>
      <x:c r="D11" s="2" t="str">
        <x:v>AI Build Orchestrator</x:v>
      </x:c>
      <x:c r="E11" s="26" t="str">
        <x:v>DSI Playbook setup; Inbox backlog; parked nonessential work</x:v>
      </x:c>
      <x:c r="F11" s="2" t="n">
        <x:v>1</x:v>
      </x:c>
      <x:c r="G11" s="20"/>
      <x:c r="H11" s="2" t="str">
        <x:v>accepted output</x:v>
      </x:c>
      <x:c r="I11" s="20" t="str">
        <x:v>Ready</x:v>
      </x:c>
      <x:c r="J11" s="2" t="str">
        <x:v>16:45</x:v>
      </x:c>
      <x:c r="K11" s="28" t="str"/>
      <x:c r="L11" s="28" t="str"/>
      <x:c r="M11" s="20" t="str"/>
      <x:c r="N11" s="33"/>
      <x:c r="O11" s="20" t="str"/>
      <x:c r="P11" s="33"/>
      <x:c r="Q11" s="2" t="n">
        <x:f>IF(AND(AE11=1),1,0)</x:f>
        <x:v>0</x:v>
      </x:c>
      <x:c r="R11" s="2" t="str">
        <x:f>IF(AND(Q11=1,P11&lt;='Dashboard'!$B$5),IF(P11&gt;B11,"Accepted late","Accepted"),IF(B11&lt;'Dashboard'!$B$5,"Overdue",IF(I11="Blocked","Blocked",IF(B11='Dashboard'!$B$5,"Due today","Planned"))))</x:f>
        <x:v>Due today</x:v>
      </x:c>
      <x:c r="S11" s="26" t="str">
        <x:f>IF(I11="Accepted",IF(K11="","Add evidence",IF(O11="","Add reviewer",IF(P11="","Add accepted date",IF(AND(ISNUMBER(F11),COUNT(G11)=0),"Add actual quantity",IF(Q11=0,"Review target / date / dependencies","Complete"))))),IF(OR(I11="Blocked",I11="Deferred"),IF(L11="","Record blocker / reason",IF(M11="","Assign rescue owner",IF(N11="","Set recovery date","Recovery assigned"))),IF(B11&lt;'Dashboard'!$B$5,"Escalate and record recovery","Work to acceptance standard")))</x:f>
        <x:v>Work to acceptance standard</x:v>
      </x:c>
      <x:c r="T11" s="26" t="str"/>
      <x:c r="U11" s="26" t="str">
        <x:v>Sections 4/6/7/8 and available SOPs loaded; every next build has owner and acceptance.</x:v>
      </x:c>
      <x:c r="V11" s="31" t="n">
        <x:v>3</x:v>
      </x:c>
      <x:c r="W11" s="26" t="str"/>
      <x:c r="X11" s="26" t="str">
        <x:v>DSI Reset PDF: lane responsibilities and dated runbook; dated allocation proposed for this tracker.</x:v>
      </x:c>
      <x:c r="Y11" s="30" t="n">
        <x:f>B11-WEEKDAY(B11,2)+1</x:f>
        <x:v>46314</x:v>
      </x:c>
      <x:c r="Z11" s="2" t="str">
        <x:v>checklist</x:v>
      </x:c>
      <x:c r="AA11" s="2" t="n">
        <x:f>IF(Q11=1,IF(P11&gt;B11,1,0),0)</x:f>
        <x:v>0</x:v>
      </x:c>
      <x:c r="AB11" s="2" t="n">
        <x:f>IF(AND(Q11=1,P11&lt;='Dashboard'!$B$5),0,MAX(0,'Dashboard'!$B$5-B11))</x:f>
        <x:v>0</x:v>
      </x:c>
      <x:c r="AC11" s="28" t="str"/>
      <x:c r="AD11" s="2" t="str">
        <x:f>IF(AND(ISNUMBER(F11),ISNUMBER(G11)),G11-F11,"")</x:f>
      </x:c>
      <x:c r="AE11" s="2" t="n">
        <x:f>IF(AND(I11="Accepted",K11&lt;&gt;"",O11&lt;&gt;"",ISNUMBER(P11),P11&gt;0,P11&lt;='Dashboard'!$B$5,IF(ISNUMBER(F11),ISNUMBER(G11),TRUE),IF(ISNUMBER(F11),G11&gt;=F11,TRUE)),1,0)</x:f>
        <x:v>0</x:v>
      </x:c>
    </x:row>
    <x:row r="12" ht="58" customHeight="1">
      <x:c r="A12" s="2" t="str">
        <x:v>T0006</x:v>
      </x:c>
      <x:c r="B12" s="30" t="n">
        <x:v>46317</x:v>
      </x:c>
      <x:c r="C12" s="2" t="str">
        <x:v>Ludwig</x:v>
      </x:c>
      <x:c r="D12" s="2" t="str">
        <x:v>Integration Engineer</x:v>
      </x:c>
      <x:c r="E12" s="26" t="str">
        <x:v>Webhook/API access checklist and failure/retry design</x:v>
      </x:c>
      <x:c r="F12" s="2" t="n">
        <x:v>1</x:v>
      </x:c>
      <x:c r="G12" s="20"/>
      <x:c r="H12" s="2" t="str">
        <x:v>accepted output</x:v>
      </x:c>
      <x:c r="I12" s="20" t="str">
        <x:v>Ready</x:v>
      </x:c>
      <x:c r="J12" s="2" t="str">
        <x:v>16:45</x:v>
      </x:c>
      <x:c r="K12" s="28" t="str"/>
      <x:c r="L12" s="28" t="str"/>
      <x:c r="M12" s="20" t="str"/>
      <x:c r="N12" s="33"/>
      <x:c r="O12" s="20" t="str"/>
      <x:c r="P12" s="33"/>
      <x:c r="Q12" s="2" t="n">
        <x:f>IF(AND(AE12=1),1,0)</x:f>
        <x:v>0</x:v>
      </x:c>
      <x:c r="R12" s="2" t="str">
        <x:f>IF(AND(Q12=1,P12&lt;='Dashboard'!$B$5),IF(P12&gt;B12,"Accepted late","Accepted"),IF(B12&lt;'Dashboard'!$B$5,"Overdue",IF(I12="Blocked","Blocked",IF(B12='Dashboard'!$B$5,"Due today","Planned"))))</x:f>
        <x:v>Due today</x:v>
      </x:c>
      <x:c r="S12" s="26" t="str">
        <x:f>IF(I12="Accepted",IF(K12="","Add evidence",IF(O12="","Add reviewer",IF(P12="","Add accepted date",IF(AND(ISNUMBER(F12),COUNT(G12)=0),"Add actual quantity",IF(Q12=0,"Review target / date / dependencies","Complete"))))),IF(OR(I12="Blocked",I12="Deferred"),IF(L12="","Record blocker / reason",IF(M12="","Assign rescue owner",IF(N12="","Set recovery date","Recovery assigned"))),IF(B12&lt;'Dashboard'!$B$5,"Escalate and record recovery","Work to acceptance standard")))</x:f>
        <x:v>Work to acceptance standard</x:v>
      </x:c>
      <x:c r="T12" s="26" t="str"/>
      <x:c r="U12" s="26" t="str">
        <x:v>Access gaps and signature/retry/dead-letter requirements logged with Emman.</x:v>
      </x:c>
      <x:c r="V12" s="31" t="n">
        <x:v>1.5</x:v>
      </x:c>
      <x:c r="W12" s="26" t="str"/>
      <x:c r="X12" s="26" t="str">
        <x:v>DSI Reset PDF: lane responsibilities and dated runbook; dated allocation proposed for this tracker.</x:v>
      </x:c>
      <x:c r="Y12" s="30" t="n">
        <x:f>B12-WEEKDAY(B12,2)+1</x:f>
        <x:v>46314</x:v>
      </x:c>
      <x:c r="Z12" s="2" t="str">
        <x:v>checklist</x:v>
      </x:c>
      <x:c r="AA12" s="2" t="n">
        <x:f>IF(Q12=1,IF(P12&gt;B12,1,0),0)</x:f>
        <x:v>0</x:v>
      </x:c>
      <x:c r="AB12" s="2" t="n">
        <x:f>IF(AND(Q12=1,P12&lt;='Dashboard'!$B$5),0,MAX(0,'Dashboard'!$B$5-B12))</x:f>
        <x:v>0</x:v>
      </x:c>
      <x:c r="AC12" s="28" t="str"/>
      <x:c r="AD12" s="2" t="str">
        <x:f>IF(AND(ISNUMBER(F12),ISNUMBER(G12)),G12-F12,"")</x:f>
      </x:c>
      <x:c r="AE12" s="2" t="n">
        <x:f>IF(AND(I12="Accepted",K12&lt;&gt;"",O12&lt;&gt;"",ISNUMBER(P12),P12&gt;0,P12&lt;='Dashboard'!$B$5,IF(ISNUMBER(F12),ISNUMBER(G12),TRUE),IF(ISNUMBER(F12),G12&gt;=F12,TRUE)),1,0)</x:f>
        <x:v>0</x:v>
      </x:c>
    </x:row>
    <x:row r="13" ht="58" customHeight="1">
      <x:c r="A13" s="2" t="str">
        <x:v>T0007</x:v>
      </x:c>
      <x:c r="B13" s="30" t="n">
        <x:v>46317</x:v>
      </x:c>
      <x:c r="C13" s="2" t="str">
        <x:v>Alvin</x:v>
      </x:c>
      <x:c r="D13" s="2" t="str">
        <x:v>CQL/GHL Implementation</x:v>
      </x:c>
      <x:c r="E13" s="26" t="str">
        <x:v>Current stages/calendar/reminders audit and target stage map</x:v>
      </x:c>
      <x:c r="F13" s="2" t="n">
        <x:v>1</x:v>
      </x:c>
      <x:c r="G13" s="20"/>
      <x:c r="H13" s="2" t="str">
        <x:v>accepted output</x:v>
      </x:c>
      <x:c r="I13" s="20" t="str">
        <x:v>Ready</x:v>
      </x:c>
      <x:c r="J13" s="2" t="str">
        <x:v>16:45</x:v>
      </x:c>
      <x:c r="K13" s="28" t="str"/>
      <x:c r="L13" s="28" t="str"/>
      <x:c r="M13" s="20" t="str"/>
      <x:c r="N13" s="33"/>
      <x:c r="O13" s="20" t="str"/>
      <x:c r="P13" s="33"/>
      <x:c r="Q13" s="2" t="n">
        <x:f>IF(AND(AE13=1),1,0)</x:f>
        <x:v>0</x:v>
      </x:c>
      <x:c r="R13" s="2" t="str">
        <x:f>IF(AND(Q13=1,P13&lt;='Dashboard'!$B$5),IF(P13&gt;B13,"Accepted late","Accepted"),IF(B13&lt;'Dashboard'!$B$5,"Overdue",IF(I13="Blocked","Blocked",IF(B13='Dashboard'!$B$5,"Due today","Planned"))))</x:f>
        <x:v>Due today</x:v>
      </x:c>
      <x:c r="S13" s="26" t="str">
        <x:f>IF(I13="Accepted",IF(K13="","Add evidence",IF(O13="","Add reviewer",IF(P13="","Add accepted date",IF(AND(ISNUMBER(F13),COUNT(G13)=0),"Add actual quantity",IF(Q13=0,"Review target / date / dependencies","Complete"))))),IF(OR(I13="Blocked",I13="Deferred"),IF(L13="","Record blocker / reason",IF(M13="","Assign rescue owner",IF(N13="","Set recovery date","Recovery assigned"))),IF(B13&lt;'Dashboard'!$B$5,"Escalate and record recovery","Work to acceptance standard")))</x:f>
        <x:v>Work to acceptance standard</x:v>
      </x:c>
      <x:c r="T13" s="26" t="str"/>
      <x:c r="U13" s="26" t="str">
        <x:v>One CQL record design; fields needed by Nova and referrals captured.</x:v>
      </x:c>
      <x:c r="V13" s="31" t="n">
        <x:v>2</x:v>
      </x:c>
      <x:c r="W13" s="26" t="str"/>
      <x:c r="X13" s="26" t="str">
        <x:v>DSI Reset PDF: lane responsibilities and dated runbook; dated allocation proposed for this tracker.</x:v>
      </x:c>
      <x:c r="Y13" s="30" t="n">
        <x:f>B13-WEEKDAY(B13,2)+1</x:f>
        <x:v>46314</x:v>
      </x:c>
      <x:c r="Z13" s="2" t="str">
        <x:v>checklist</x:v>
      </x:c>
      <x:c r="AA13" s="2" t="n">
        <x:f>IF(Q13=1,IF(P13&gt;B13,1,0),0)</x:f>
        <x:v>0</x:v>
      </x:c>
      <x:c r="AB13" s="2" t="n">
        <x:f>IF(AND(Q13=1,P13&lt;='Dashboard'!$B$5),0,MAX(0,'Dashboard'!$B$5-B13))</x:f>
        <x:v>0</x:v>
      </x:c>
      <x:c r="AC13" s="28" t="str"/>
      <x:c r="AD13" s="2" t="str">
        <x:f>IF(AND(ISNUMBER(F13),ISNUMBER(G13)),G13-F13,"")</x:f>
      </x:c>
      <x:c r="AE13" s="2" t="n">
        <x:f>IF(AND(I13="Accepted",K13&lt;&gt;"",O13&lt;&gt;"",ISNUMBER(P13),P13&gt;0,P13&lt;='Dashboard'!$B$5,IF(ISNUMBER(F13),ISNUMBER(G13),TRUE),IF(ISNUMBER(F13),G13&gt;=F13,TRUE)),1,0)</x:f>
        <x:v>0</x:v>
      </x:c>
    </x:row>
    <x:row r="14" ht="58" customHeight="1">
      <x:c r="A14" s="2" t="str">
        <x:v>T0008</x:v>
      </x:c>
      <x:c r="B14" s="30" t="n">
        <x:v>46317</x:v>
      </x:c>
      <x:c r="C14" s="2" t="str">
        <x:v>Brian</x:v>
      </x:c>
      <x:c r="D14" s="2" t="str">
        <x:v>Web and Tracking</x:v>
      </x:c>
      <x:c r="E14" s="26" t="str">
        <x:v>Site-access request and /one-case layout checklist</x:v>
      </x:c>
      <x:c r="F14" s="2" t="n">
        <x:v>1</x:v>
      </x:c>
      <x:c r="G14" s="20"/>
      <x:c r="H14" s="2" t="str">
        <x:v>accepted output</x:v>
      </x:c>
      <x:c r="I14" s="20" t="str">
        <x:v>Ready</x:v>
      </x:c>
      <x:c r="J14" s="2" t="str">
        <x:v>16:45</x:v>
      </x:c>
      <x:c r="K14" s="28" t="str"/>
      <x:c r="L14" s="28" t="str"/>
      <x:c r="M14" s="20" t="str"/>
      <x:c r="N14" s="33"/>
      <x:c r="O14" s="20" t="str"/>
      <x:c r="P14" s="33"/>
      <x:c r="Q14" s="2" t="n">
        <x:f>IF(AND(AE14=1),1,0)</x:f>
        <x:v>0</x:v>
      </x:c>
      <x:c r="R14" s="2" t="str">
        <x:f>IF(AND(Q14=1,P14&lt;='Dashboard'!$B$5),IF(P14&gt;B14,"Accepted late","Accepted"),IF(B14&lt;'Dashboard'!$B$5,"Overdue",IF(I14="Blocked","Blocked",IF(B14='Dashboard'!$B$5,"Due today","Planned"))))</x:f>
        <x:v>Due today</x:v>
      </x:c>
      <x:c r="S14" s="26" t="str">
        <x:f>IF(I14="Accepted",IF(K14="","Add evidence",IF(O14="","Add reviewer",IF(P14="","Add accepted date",IF(AND(ISNUMBER(F14),COUNT(G14)=0),"Add actual quantity",IF(Q14=0,"Review target / date / dependencies","Complete"))))),IF(OR(I14="Blocked",I14="Deferred"),IF(L14="","Record blocker / reason",IF(M14="","Assign rescue owner",IF(N14="","Set recovery date","Recovery assigned"))),IF(B14&lt;'Dashboard'!$B$5,"Escalate and record recovery","Work to acceptance standard")))</x:f>
        <x:v>Work to acceptance standard</x:v>
      </x:c>
      <x:c r="T14" s="26" t="str"/>
      <x:c r="U14" s="26" t="str">
        <x:v>Copy/proof owner identified; form/calendar/tracking requirements recorded; no invented claims.</x:v>
      </x:c>
      <x:c r="V14" s="31" t="n">
        <x:v>1.5</x:v>
      </x:c>
      <x:c r="W14" s="26" t="str"/>
      <x:c r="X14" s="26" t="str">
        <x:v>DSI Reset PDF: lane responsibilities and dated runbook; dated allocation proposed for this tracker.</x:v>
      </x:c>
      <x:c r="Y14" s="30" t="n">
        <x:f>B14-WEEKDAY(B14,2)+1</x:f>
        <x:v>46314</x:v>
      </x:c>
      <x:c r="Z14" s="2" t="str">
        <x:v>checklist</x:v>
      </x:c>
      <x:c r="AA14" s="2" t="n">
        <x:f>IF(Q14=1,IF(P14&gt;B14,1,0),0)</x:f>
        <x:v>0</x:v>
      </x:c>
      <x:c r="AB14" s="2" t="n">
        <x:f>IF(AND(Q14=1,P14&lt;='Dashboard'!$B$5),0,MAX(0,'Dashboard'!$B$5-B14))</x:f>
        <x:v>0</x:v>
      </x:c>
      <x:c r="AC14" s="28" t="str"/>
      <x:c r="AD14" s="2" t="str">
        <x:f>IF(AND(ISNUMBER(F14),ISNUMBER(G14)),G14-F14,"")</x:f>
      </x:c>
      <x:c r="AE14" s="2" t="n">
        <x:f>IF(AND(I14="Accepted",K14&lt;&gt;"",O14&lt;&gt;"",ISNUMBER(P14),P14&gt;0,P14&lt;='Dashboard'!$B$5,IF(ISNUMBER(F14),ISNUMBER(G14),TRUE),IF(ISNUMBER(F14),G14&gt;=F14,TRUE)),1,0)</x:f>
        <x:v>0</x:v>
      </x:c>
    </x:row>
    <x:row r="15" ht="58" customHeight="1">
      <x:c r="A15" s="2" t="str">
        <x:v>T0009</x:v>
      </x:c>
      <x:c r="B15" s="30" t="n">
        <x:v>46317</x:v>
      </x:c>
      <x:c r="C15" s="2" t="str">
        <x:v>Dexter</x:v>
      </x:c>
      <x:c r="D15" s="2" t="str">
        <x:v>LinkedIn Execution</x:v>
      </x:c>
      <x:c r="E15" s="26" t="str">
        <x:v>Nic profile access/authorization request; approved-list-only checklist</x:v>
      </x:c>
      <x:c r="F15" s="2" t="n">
        <x:v>1</x:v>
      </x:c>
      <x:c r="G15" s="20"/>
      <x:c r="H15" s="2" t="str">
        <x:v>accepted output</x:v>
      </x:c>
      <x:c r="I15" s="20" t="str">
        <x:v>Ready</x:v>
      </x:c>
      <x:c r="J15" s="2" t="str">
        <x:v>16:45</x:v>
      </x:c>
      <x:c r="K15" s="28" t="str"/>
      <x:c r="L15" s="28" t="str"/>
      <x:c r="M15" s="20" t="str"/>
      <x:c r="N15" s="33"/>
      <x:c r="O15" s="20" t="str"/>
      <x:c r="P15" s="33"/>
      <x:c r="Q15" s="2" t="n">
        <x:f>IF(AND(AE15=1),1,0)</x:f>
        <x:v>0</x:v>
      </x:c>
      <x:c r="R15" s="2" t="str">
        <x:f>IF(AND(Q15=1,P15&lt;='Dashboard'!$B$5),IF(P15&gt;B15,"Accepted late","Accepted"),IF(B15&lt;'Dashboard'!$B$5,"Overdue",IF(I15="Blocked","Blocked",IF(B15='Dashboard'!$B$5,"Due today","Planned"))))</x:f>
        <x:v>Due today</x:v>
      </x:c>
      <x:c r="S15" s="26" t="str">
        <x:f>IF(I15="Accepted",IF(K15="","Add evidence",IF(O15="","Add reviewer",IF(P15="","Add accepted date",IF(AND(ISNUMBER(F15),COUNT(G15)=0),"Add actual quantity",IF(Q15=0,"Review target / date / dependencies","Complete"))))),IF(OR(I15="Blocked",I15="Deferred"),IF(L15="","Record blocker / reason",IF(M15="","Assign rescue owner",IF(N15="","Set recovery date","Recovery assigned"))),IF(B15&lt;'Dashboard'!$B$5,"Escalate and record recovery","Work to acceptance standard")))</x:f>
        <x:v>Work to acceptance standard</x:v>
      </x:c>
      <x:c r="T15" s="26" t="str"/>
      <x:c r="U15" s="26" t="str">
        <x:v>Manual-only actions; no outreach without authorization and verified eligible source record.</x:v>
      </x:c>
      <x:c r="V15" s="31" t="n">
        <x:v>2</x:v>
      </x:c>
      <x:c r="W15" s="26" t="str"/>
      <x:c r="X15" s="26" t="str">
        <x:v>DSI Reset PDF: lane responsibilities and dated runbook; dated allocation proposed for this tracker.</x:v>
      </x:c>
      <x:c r="Y15" s="30" t="n">
        <x:f>B15-WEEKDAY(B15,2)+1</x:f>
        <x:v>46314</x:v>
      </x:c>
      <x:c r="Z15" s="2" t="str">
        <x:v>checklist</x:v>
      </x:c>
      <x:c r="AA15" s="2" t="n">
        <x:f>IF(Q15=1,IF(P15&gt;B15,1,0),0)</x:f>
        <x:v>0</x:v>
      </x:c>
      <x:c r="AB15" s="2" t="n">
        <x:f>IF(AND(Q15=1,P15&lt;='Dashboard'!$B$5),0,MAX(0,'Dashboard'!$B$5-B15))</x:f>
        <x:v>0</x:v>
      </x:c>
      <x:c r="AC15" s="28" t="str"/>
      <x:c r="AD15" s="2" t="str">
        <x:f>IF(AND(ISNUMBER(F15),ISNUMBER(G15)),G15-F15,"")</x:f>
      </x:c>
      <x:c r="AE15" s="2" t="n">
        <x:f>IF(AND(I15="Accepted",K15&lt;&gt;"",O15&lt;&gt;"",ISNUMBER(P15),P15&gt;0,P15&lt;='Dashboard'!$B$5,IF(ISNUMBER(F15),ISNUMBER(G15),TRUE),IF(ISNUMBER(F15),G15&gt;=F15,TRUE)),1,0)</x:f>
        <x:v>0</x:v>
      </x:c>
    </x:row>
    <x:row r="16" ht="58" customHeight="1">
      <x:c r="A16" s="2" t="str">
        <x:v>T0010</x:v>
      </x:c>
      <x:c r="B16" s="30" t="n">
        <x:v>46318</x:v>
      </x:c>
      <x:c r="C16" s="2" t="str">
        <x:v>Wyline</x:v>
      </x:c>
      <x:c r="D16" s="2" t="str">
        <x:v>Program Director</x:v>
      </x:c>
      <x:c r="E16" s="26" t="str">
        <x:v>One-page reset draft; ownership and dependency board</x:v>
      </x:c>
      <x:c r="F16" s="2" t="n">
        <x:v>1</x:v>
      </x:c>
      <x:c r="G16" s="20"/>
      <x:c r="H16" s="2" t="str">
        <x:v>accepted output</x:v>
      </x:c>
      <x:c r="I16" s="20" t="str">
        <x:v>Ready</x:v>
      </x:c>
      <x:c r="J16" s="2" t="str">
        <x:v>16:45</x:v>
      </x:c>
      <x:c r="K16" s="28" t="str"/>
      <x:c r="L16" s="28" t="str"/>
      <x:c r="M16" s="20" t="str"/>
      <x:c r="N16" s="33"/>
      <x:c r="O16" s="20" t="str"/>
      <x:c r="P16" s="33"/>
      <x:c r="Q16" s="2" t="n">
        <x:f>IF(AND(AE16=1),1,0)</x:f>
        <x:v>0</x:v>
      </x:c>
      <x:c r="R16" s="2" t="str">
        <x:f>IF(AND(Q16=1,P16&lt;='Dashboard'!$B$5),IF(P16&gt;B16,"Accepted late","Accepted"),IF(B16&lt;'Dashboard'!$B$5,"Overdue",IF(I16="Blocked","Blocked",IF(B16='Dashboard'!$B$5,"Due today","Planned"))))</x:f>
        <x:v>Planned</x:v>
      </x:c>
      <x:c r="S16" s="26" t="str">
        <x:f>IF(I16="Accepted",IF(K16="","Add evidence",IF(O16="","Add reviewer",IF(P16="","Add accepted date",IF(AND(ISNUMBER(F16),COUNT(G16)=0),"Add actual quantity",IF(Q16=0,"Review target / date / dependencies","Complete"))))),IF(OR(I16="Blocked",I16="Deferred"),IF(L16="","Record blocker / reason",IF(M16="","Assign rescue owner",IF(N16="","Set recovery date","Recovery assigned"))),IF(B16&lt;'Dashboard'!$B$5,"Escalate and record recovery","Work to acceptance standard")))</x:f>
        <x:v>Work to acceptance standard</x:v>
      </x:c>
      <x:c r="T16" s="26" t="str"/>
      <x:c r="U16" s="26" t="str">
        <x:v>No live old campaign additions or unapproved ads; blockers have owners/dates.</x:v>
      </x:c>
      <x:c r="V16" s="31" t="n">
        <x:v>2.5</x:v>
      </x:c>
      <x:c r="W16" s="26" t="str"/>
      <x:c r="X16" s="26" t="str">
        <x:v>DSI Reset PDF: lane responsibilities and dated runbook; dated allocation proposed for this tracker.</x:v>
      </x:c>
      <x:c r="Y16" s="30" t="n">
        <x:f>B16-WEEKDAY(B16,2)+1</x:f>
        <x:v>46314</x:v>
      </x:c>
      <x:c r="Z16" s="2" t="str">
        <x:v>checklist</x:v>
      </x:c>
      <x:c r="AA16" s="2" t="n">
        <x:f>IF(Q16=1,IF(P16&gt;B16,1,0),0)</x:f>
        <x:v>0</x:v>
      </x:c>
      <x:c r="AB16" s="2" t="n">
        <x:f>IF(AND(Q16=1,P16&lt;='Dashboard'!$B$5),0,MAX(0,'Dashboard'!$B$5-B16))</x:f>
        <x:v>0</x:v>
      </x:c>
      <x:c r="AC16" s="28" t="str"/>
      <x:c r="AD16" s="2" t="str">
        <x:f>IF(AND(ISNUMBER(F16),ISNUMBER(G16)),G16-F16,"")</x:f>
      </x:c>
      <x:c r="AE16" s="2" t="n">
        <x:f>IF(AND(I16="Accepted",K16&lt;&gt;"",O16&lt;&gt;"",ISNUMBER(P16),P16&gt;0,P16&lt;='Dashboard'!$B$5,IF(ISNUMBER(F16),ISNUMBER(G16),TRUE),IF(ISNUMBER(F16),G16&gt;=F16,TRUE)),1,0)</x:f>
        <x:v>0</x:v>
      </x:c>
    </x:row>
    <x:row r="17" ht="58" customHeight="1">
      <x:c r="A17" s="2" t="str">
        <x:v>T0011</x:v>
      </x:c>
      <x:c r="B17" s="30" t="n">
        <x:v>46318</x:v>
      </x:c>
      <x:c r="C17" s="2" t="str">
        <x:v>Kenneth</x:v>
      </x:c>
      <x:c r="D17" s="2" t="str">
        <x:v>Message Orchestrator</x:v>
      </x:c>
      <x:c r="E17" s="26" t="str">
        <x:v>Voice guide v 1; 3 emails; 3 subjects</x:v>
      </x:c>
      <x:c r="F17" s="2" t="n">
        <x:v>1</x:v>
      </x:c>
      <x:c r="G17" s="20"/>
      <x:c r="H17" s="2" t="str">
        <x:v>accepted output</x:v>
      </x:c>
      <x:c r="I17" s="20" t="str">
        <x:v>Ready</x:v>
      </x:c>
      <x:c r="J17" s="2" t="str">
        <x:v>16:45</x:v>
      </x:c>
      <x:c r="K17" s="28" t="str"/>
      <x:c r="L17" s="28" t="str"/>
      <x:c r="M17" s="20" t="str"/>
      <x:c r="N17" s="33"/>
      <x:c r="O17" s="20" t="str"/>
      <x:c r="P17" s="33"/>
      <x:c r="Q17" s="2" t="n">
        <x:f>IF(AND(AE17=1),1,0)</x:f>
        <x:v>0</x:v>
      </x:c>
      <x:c r="R17" s="2" t="str">
        <x:f>IF(AND(Q17=1,P17&lt;='Dashboard'!$B$5),IF(P17&gt;B17,"Accepted late","Accepted"),IF(B17&lt;'Dashboard'!$B$5,"Overdue",IF(I17="Blocked","Blocked",IF(B17='Dashboard'!$B$5,"Due today","Planned"))))</x:f>
        <x:v>Planned</x:v>
      </x:c>
      <x:c r="S17" s="26" t="str">
        <x:f>IF(I17="Accepted",IF(K17="","Add evidence",IF(O17="","Add reviewer",IF(P17="","Add accepted date",IF(AND(ISNUMBER(F17),COUNT(G17)=0),"Add actual quantity",IF(Q17=0,"Review target / date / dependencies","Complete"))))),IF(OR(I17="Blocked",I17="Deferred"),IF(L17="","Record blocker / reason",IF(M17="","Assign rescue owner",IF(N17="","Set recovery date","Recovery assigned"))),IF(B17&lt;'Dashboard'!$B$5,"Escalate and record recovery","Work to acceptance standard")))</x:f>
        <x:v>Work to acceptance standard</x:v>
      </x:c>
      <x:c r="T17" s="26" t="str"/>
      <x:c r="U17" s="26" t="str">
        <x:v>Each email 50–90 words; plain text; no link in email 1; same offer pending written terms.</x:v>
      </x:c>
      <x:c r="V17" s="31" t="n">
        <x:v>2.5</x:v>
      </x:c>
      <x:c r="W17" s="26" t="str"/>
      <x:c r="X17" s="26" t="str">
        <x:v>DSI Reset PDF: lane responsibilities and dated runbook; dated allocation proposed for this tracker.</x:v>
      </x:c>
      <x:c r="Y17" s="30" t="n">
        <x:f>B17-WEEKDAY(B17,2)+1</x:f>
        <x:v>46314</x:v>
      </x:c>
      <x:c r="Z17" s="2" t="str">
        <x:v>checklist</x:v>
      </x:c>
      <x:c r="AA17" s="2" t="n">
        <x:f>IF(Q17=1,IF(P17&gt;B17,1,0),0)</x:f>
        <x:v>0</x:v>
      </x:c>
      <x:c r="AB17" s="2" t="n">
        <x:f>IF(AND(Q17=1,P17&lt;='Dashboard'!$B$5),0,MAX(0,'Dashboard'!$B$5-B17))</x:f>
        <x:v>0</x:v>
      </x:c>
      <x:c r="AC17" s="28" t="str"/>
      <x:c r="AD17" s="2" t="str">
        <x:f>IF(AND(ISNUMBER(F17),ISNUMBER(G17)),G17-F17,"")</x:f>
      </x:c>
      <x:c r="AE17" s="2" t="n">
        <x:f>IF(AND(I17="Accepted",K17&lt;&gt;"",O17&lt;&gt;"",ISNUMBER(P17),P17&gt;0,P17&lt;='Dashboard'!$B$5,IF(ISNUMBER(F17),ISNUMBER(G17),TRUE),IF(ISNUMBER(F17),G17&gt;=F17,TRUE)),1,0)</x:f>
        <x:v>0</x:v>
      </x:c>
    </x:row>
    <x:row r="18" ht="58" customHeight="1">
      <x:c r="A18" s="2" t="str">
        <x:v>T0012</x:v>
      </x:c>
      <x:c r="B18" s="30" t="n">
        <x:v>46318</x:v>
      </x:c>
      <x:c r="C18" s="2" t="str">
        <x:v>Joey</x:v>
      </x:c>
      <x:c r="D18" s="2" t="str">
        <x:v>Data Orchestrator</x:v>
      </x:c>
      <x:c r="E18" s="26" t="str">
        <x:v>Suppression table with prior-campaign counts; Core pool in Clay</x:v>
      </x:c>
      <x:c r="F18" s="2" t="n">
        <x:v>1</x:v>
      </x:c>
      <x:c r="G18" s="20"/>
      <x:c r="H18" s="2" t="str">
        <x:v>accepted output</x:v>
      </x:c>
      <x:c r="I18" s="20" t="str">
        <x:v>Ready</x:v>
      </x:c>
      <x:c r="J18" s="2" t="str">
        <x:v>16:45</x:v>
      </x:c>
      <x:c r="K18" s="28" t="str"/>
      <x:c r="L18" s="28" t="str"/>
      <x:c r="M18" s="20" t="str"/>
      <x:c r="N18" s="33"/>
      <x:c r="O18" s="20" t="str"/>
      <x:c r="P18" s="33"/>
      <x:c r="Q18" s="2" t="n">
        <x:f>IF(AND(AE18=1),1,0)</x:f>
        <x:v>0</x:v>
      </x:c>
      <x:c r="R18" s="2" t="str">
        <x:f>IF(AND(Q18=1,P18&lt;='Dashboard'!$B$5),IF(P18&gt;B18,"Accepted late","Accepted"),IF(B18&lt;'Dashboard'!$B$5,"Overdue",IF(I18="Blocked","Blocked",IF(B18='Dashboard'!$B$5,"Due today","Planned"))))</x:f>
        <x:v>Planned</x:v>
      </x:c>
      <x:c r="S18" s="26" t="str">
        <x:f>IF(I18="Accepted",IF(K18="","Add evidence",IF(O18="","Add reviewer",IF(P18="","Add accepted date",IF(AND(ISNUMBER(F18),COUNT(G18)=0),"Add actual quantity",IF(Q18=0,"Review target / date / dependencies","Complete"))))),IF(OR(I18="Blocked",I18="Deferred"),IF(L18="","Record blocker / reason",IF(M18="","Assign rescue owner",IF(N18="","Set recovery date","Recovery assigned"))),IF(B18&lt;'Dashboard'!$B$5,"Escalate and record recovery","Work to acceptance standard")))</x:f>
        <x:v>Work to acceptance standard</x:v>
      </x:c>
      <x:c r="T18" s="26" t="str"/>
      <x:c r="U18" s="26" t="str">
        <x:v>NPI/site/zone/email/suppression/fact columns present; twice-touched excluded.</x:v>
      </x:c>
      <x:c r="V18" s="31" t="n">
        <x:v>3</x:v>
      </x:c>
      <x:c r="W18" s="26" t="str"/>
      <x:c r="X18" s="26" t="str">
        <x:v>DSI Reset PDF: lane responsibilities and dated runbook; dated allocation proposed for this tracker.</x:v>
      </x:c>
      <x:c r="Y18" s="30" t="n">
        <x:f>B18-WEEKDAY(B18,2)+1</x:f>
        <x:v>46314</x:v>
      </x:c>
      <x:c r="Z18" s="2" t="str">
        <x:v>checklist</x:v>
      </x:c>
      <x:c r="AA18" s="2" t="n">
        <x:f>IF(Q18=1,IF(P18&gt;B18,1,0),0)</x:f>
        <x:v>0</x:v>
      </x:c>
      <x:c r="AB18" s="2" t="n">
        <x:f>IF(AND(Q18=1,P18&lt;='Dashboard'!$B$5),0,MAX(0,'Dashboard'!$B$5-B18))</x:f>
        <x:v>0</x:v>
      </x:c>
      <x:c r="AC18" s="28" t="str"/>
      <x:c r="AD18" s="2" t="str">
        <x:f>IF(AND(ISNUMBER(F18),ISNUMBER(G18)),G18-F18,"")</x:f>
      </x:c>
      <x:c r="AE18" s="2" t="n">
        <x:f>IF(AND(I18="Accepted",K18&lt;&gt;"",O18&lt;&gt;"",ISNUMBER(P18),P18&gt;0,P18&lt;='Dashboard'!$B$5,IF(ISNUMBER(F18),ISNUMBER(G18),TRUE),IF(ISNUMBER(F18),G18&gt;=F18,TRUE)),1,0)</x:f>
        <x:v>0</x:v>
      </x:c>
    </x:row>
    <x:row r="19" ht="58" customHeight="1">
      <x:c r="A19" s="2" t="str">
        <x:v>T0013</x:v>
      </x:c>
      <x:c r="B19" s="30" t="n">
        <x:v>46318</x:v>
      </x:c>
      <x:c r="C19" s="2" t="str">
        <x:v>Nova</x:v>
      </x:c>
      <x:c r="D19" s="2" t="str">
        <x:v>Conversion Orchestrator</x:v>
      </x:c>
      <x:c r="E19" s="26" t="str">
        <x:v>Two named setters or explicit staffing escalation; reply SOP v 0.5</x:v>
      </x:c>
      <x:c r="F19" s="2" t="n">
        <x:v>1</x:v>
      </x:c>
      <x:c r="G19" s="20"/>
      <x:c r="H19" s="2" t="str">
        <x:v>accepted output</x:v>
      </x:c>
      <x:c r="I19" s="20" t="str">
        <x:v>Ready</x:v>
      </x:c>
      <x:c r="J19" s="2" t="str">
        <x:v>16:45</x:v>
      </x:c>
      <x:c r="K19" s="28" t="str"/>
      <x:c r="L19" s="28" t="str"/>
      <x:c r="M19" s="20" t="str"/>
      <x:c r="N19" s="33"/>
      <x:c r="O19" s="20" t="str"/>
      <x:c r="P19" s="33"/>
      <x:c r="Q19" s="2" t="n">
        <x:f>IF(AND(AE19=1),1,0)</x:f>
        <x:v>0</x:v>
      </x:c>
      <x:c r="R19" s="2" t="str">
        <x:f>IF(AND(Q19=1,P19&lt;='Dashboard'!$B$5),IF(P19&gt;B19,"Accepted late","Accepted"),IF(B19&lt;'Dashboard'!$B$5,"Overdue",IF(I19="Blocked","Blocked",IF(B19='Dashboard'!$B$5,"Due today","Planned"))))</x:f>
        <x:v>Planned</x:v>
      </x:c>
      <x:c r="S19" s="26" t="str">
        <x:f>IF(I19="Accepted",IF(K19="","Add evidence",IF(O19="","Add reviewer",IF(P19="","Add accepted date",IF(AND(ISNUMBER(F19),COUNT(G19)=0),"Add actual quantity",IF(Q19=0,"Review target / date / dependencies","Complete"))))),IF(OR(I19="Blocked",I19="Deferred"),IF(L19="","Record blocker / reason",IF(M19="","Assign rescue owner",IF(N19="","Set recovery date","Recovery assigned"))),IF(B19&lt;'Dashboard'!$B$5,"Escalate and record recovery","Work to acceptance standard")))</x:f>
        <x:v>Work to acceptance standard</x:v>
      </x:c>
      <x:c r="T19" s="26" t="str"/>
      <x:c r="U19" s="26" t="str">
        <x:v>Coverage 8 am–5 pm PT, break backup and escalation route confirmed before launch.</x:v>
      </x:c>
      <x:c r="V19" s="31" t="n">
        <x:v>4</x:v>
      </x:c>
      <x:c r="W19" s="26" t="str"/>
      <x:c r="X19" s="26" t="str">
        <x:v>DSI Reset PDF: lane responsibilities and dated runbook; dated allocation proposed for this tracker.</x:v>
      </x:c>
      <x:c r="Y19" s="30" t="n">
        <x:f>B19-WEEKDAY(B19,2)+1</x:f>
        <x:v>46314</x:v>
      </x:c>
      <x:c r="Z19" s="2" t="str">
        <x:v>checklist</x:v>
      </x:c>
      <x:c r="AA19" s="2" t="n">
        <x:f>IF(Q19=1,IF(P19&gt;B19,1,0),0)</x:f>
        <x:v>0</x:v>
      </x:c>
      <x:c r="AB19" s="2" t="n">
        <x:f>IF(AND(Q19=1,P19&lt;='Dashboard'!$B$5),0,MAX(0,'Dashboard'!$B$5-B19))</x:f>
        <x:v>0</x:v>
      </x:c>
      <x:c r="AC19" s="28" t="str"/>
      <x:c r="AD19" s="2" t="str">
        <x:f>IF(AND(ISNUMBER(F19),ISNUMBER(G19)),G19-F19,"")</x:f>
      </x:c>
      <x:c r="AE19" s="2" t="n">
        <x:f>IF(AND(I19="Accepted",K19&lt;&gt;"",O19&lt;&gt;"",ISNUMBER(P19),P19&gt;0,P19&lt;='Dashboard'!$B$5,IF(ISNUMBER(F19),ISNUMBER(G19),TRUE),IF(ISNUMBER(F19),G19&gt;=F19,TRUE)),1,0)</x:f>
        <x:v>0</x:v>
      </x:c>
    </x:row>
    <x:row r="20" ht="58" customHeight="1">
      <x:c r="A20" s="2" t="str">
        <x:v>T0014</x:v>
      </x:c>
      <x:c r="B20" s="30" t="n">
        <x:v>46318</x:v>
      </x:c>
      <x:c r="C20" s="2" t="str">
        <x:v>Emman</x:v>
      </x:c>
      <x:c r="D20" s="2" t="str">
        <x:v>AI Build Orchestrator</x:v>
      </x:c>
      <x:c r="E20" s="26" t="str">
        <x:v>One-page architecture plus test stub</x:v>
      </x:c>
      <x:c r="F20" s="2" t="n">
        <x:v>1</x:v>
      </x:c>
      <x:c r="G20" s="20"/>
      <x:c r="H20" s="2" t="str">
        <x:v>accepted output</x:v>
      </x:c>
      <x:c r="I20" s="20" t="str">
        <x:v>Ready</x:v>
      </x:c>
      <x:c r="J20" s="2" t="str">
        <x:v>16:45</x:v>
      </x:c>
      <x:c r="K20" s="28" t="str"/>
      <x:c r="L20" s="28" t="str"/>
      <x:c r="M20" s="20" t="str"/>
      <x:c r="N20" s="33"/>
      <x:c r="O20" s="20" t="str"/>
      <x:c r="P20" s="33"/>
      <x:c r="Q20" s="2" t="n">
        <x:f>IF(AND(AE20=1),1,0)</x:f>
        <x:v>0</x:v>
      </x:c>
      <x:c r="R20" s="2" t="str">
        <x:f>IF(AND(Q20=1,P20&lt;='Dashboard'!$B$5),IF(P20&gt;B20,"Accepted late","Accepted"),IF(B20&lt;'Dashboard'!$B$5,"Overdue",IF(I20="Blocked","Blocked",IF(B20='Dashboard'!$B$5,"Due today","Planned"))))</x:f>
        <x:v>Planned</x:v>
      </x:c>
      <x:c r="S20" s="26" t="str">
        <x:f>IF(I20="Accepted",IF(K20="","Add evidence",IF(O20="","Add reviewer",IF(P20="","Add accepted date",IF(AND(ISNUMBER(F20),COUNT(G20)=0),"Add actual quantity",IF(Q20=0,"Review target / date / dependencies","Complete"))))),IF(OR(I20="Blocked",I20="Deferred"),IF(L20="","Record blocker / reason",IF(M20="","Assign rescue owner",IF(N20="","Set recovery date","Recovery assigned"))),IF(B20&lt;'Dashboard'!$B$5,"Escalate and record recovery","Work to acceptance standard")))</x:f>
        <x:v>Work to acceptance standard</x:v>
      </x:c>
      <x:c r="T20" s="26" t="str"/>
      <x:c r="U20" s="26" t="str">
        <x:v>Webhook→classify/draft→CQL→alert; no agent send permission.</x:v>
      </x:c>
      <x:c r="V20" s="31" t="n">
        <x:v>4</x:v>
      </x:c>
      <x:c r="W20" s="26" t="str"/>
      <x:c r="X20" s="26" t="str">
        <x:v>DSI Reset PDF: lane responsibilities and dated runbook; dated allocation proposed for this tracker.</x:v>
      </x:c>
      <x:c r="Y20" s="30" t="n">
        <x:f>B20-WEEKDAY(B20,2)+1</x:f>
        <x:v>46314</x:v>
      </x:c>
      <x:c r="Z20" s="2" t="str">
        <x:v>checklist</x:v>
      </x:c>
      <x:c r="AA20" s="2" t="n">
        <x:f>IF(Q20=1,IF(P20&gt;B20,1,0),0)</x:f>
        <x:v>0</x:v>
      </x:c>
      <x:c r="AB20" s="2" t="n">
        <x:f>IF(AND(Q20=1,P20&lt;='Dashboard'!$B$5),0,MAX(0,'Dashboard'!$B$5-B20))</x:f>
        <x:v>0</x:v>
      </x:c>
      <x:c r="AC20" s="28" t="str"/>
      <x:c r="AD20" s="2" t="str">
        <x:f>IF(AND(ISNUMBER(F20),ISNUMBER(G20)),G20-F20,"")</x:f>
      </x:c>
      <x:c r="AE20" s="2" t="n">
        <x:f>IF(AND(I20="Accepted",K20&lt;&gt;"",O20&lt;&gt;"",ISNUMBER(P20),P20&gt;0,P20&lt;='Dashboard'!$B$5,IF(ISNUMBER(F20),ISNUMBER(G20),TRUE),IF(ISNUMBER(F20),G20&gt;=F20,TRUE)),1,0)</x:f>
        <x:v>0</x:v>
      </x:c>
    </x:row>
    <x:row r="21" ht="58" customHeight="1">
      <x:c r="A21" s="2" t="str">
        <x:v>T0015</x:v>
      </x:c>
      <x:c r="B21" s="30" t="n">
        <x:v>46318</x:v>
      </x:c>
      <x:c r="C21" s="2" t="str">
        <x:v>Ludwig</x:v>
      </x:c>
      <x:c r="D21" s="2" t="str">
        <x:v>Integration Engineer</x:v>
      </x:c>
      <x:c r="E21" s="26" t="str">
        <x:v>Receiver with request verification/logs</x:v>
      </x:c>
      <x:c r="F21" s="2" t="n">
        <x:v>1</x:v>
      </x:c>
      <x:c r="G21" s="20"/>
      <x:c r="H21" s="2" t="str">
        <x:v>accepted output</x:v>
      </x:c>
      <x:c r="I21" s="20" t="str">
        <x:v>Ready</x:v>
      </x:c>
      <x:c r="J21" s="2" t="str">
        <x:v>16:45</x:v>
      </x:c>
      <x:c r="K21" s="28" t="str"/>
      <x:c r="L21" s="28" t="str"/>
      <x:c r="M21" s="20" t="str"/>
      <x:c r="N21" s="33"/>
      <x:c r="O21" s="20" t="str"/>
      <x:c r="P21" s="33"/>
      <x:c r="Q21" s="2" t="n">
        <x:f>IF(AND(AE21=1),1,0)</x:f>
        <x:v>0</x:v>
      </x:c>
      <x:c r="R21" s="2" t="str">
        <x:f>IF(AND(Q21=1,P21&lt;='Dashboard'!$B$5),IF(P21&gt;B21,"Accepted late","Accepted"),IF(B21&lt;'Dashboard'!$B$5,"Overdue",IF(I21="Blocked","Blocked",IF(B21='Dashboard'!$B$5,"Due today","Planned"))))</x:f>
        <x:v>Planned</x:v>
      </x:c>
      <x:c r="S21" s="26" t="str">
        <x:f>IF(I21="Accepted",IF(K21="","Add evidence",IF(O21="","Add reviewer",IF(P21="","Add accepted date",IF(AND(ISNUMBER(F21),COUNT(G21)=0),"Add actual quantity",IF(Q21=0,"Review target / date / dependencies","Complete"))))),IF(OR(I21="Blocked",I21="Deferred"),IF(L21="","Record blocker / reason",IF(M21="","Assign rescue owner",IF(N21="","Set recovery date","Recovery assigned"))),IF(B21&lt;'Dashboard'!$B$5,"Escalate and record recovery","Work to acceptance standard")))</x:f>
        <x:v>Work to acceptance standard</x:v>
      </x:c>
      <x:c r="T21" s="26" t="str"/>
      <x:c r="U21" s="26" t="str">
        <x:v>Test event captured with unique id and replay protection design.</x:v>
      </x:c>
      <x:c r="V21" s="31" t="n">
        <x:v>1.5</x:v>
      </x:c>
      <x:c r="W21" s="26" t="str"/>
      <x:c r="X21" s="26" t="str">
        <x:v>DSI Reset PDF: lane responsibilities and dated runbook; dated allocation proposed for this tracker.</x:v>
      </x:c>
      <x:c r="Y21" s="30" t="n">
        <x:f>B21-WEEKDAY(B21,2)+1</x:f>
        <x:v>46314</x:v>
      </x:c>
      <x:c r="Z21" s="2" t="str">
        <x:v>checklist</x:v>
      </x:c>
      <x:c r="AA21" s="2" t="n">
        <x:f>IF(Q21=1,IF(P21&gt;B21,1,0),0)</x:f>
        <x:v>0</x:v>
      </x:c>
      <x:c r="AB21" s="2" t="n">
        <x:f>IF(AND(Q21=1,P21&lt;='Dashboard'!$B$5),0,MAX(0,'Dashboard'!$B$5-B21))</x:f>
        <x:v>0</x:v>
      </x:c>
      <x:c r="AC21" s="28" t="str"/>
      <x:c r="AD21" s="2" t="str">
        <x:f>IF(AND(ISNUMBER(F21),ISNUMBER(G21)),G21-F21,"")</x:f>
      </x:c>
      <x:c r="AE21" s="2" t="n">
        <x:f>IF(AND(I21="Accepted",K21&lt;&gt;"",O21&lt;&gt;"",ISNUMBER(P21),P21&gt;0,P21&lt;='Dashboard'!$B$5,IF(ISNUMBER(F21),ISNUMBER(G21),TRUE),IF(ISNUMBER(F21),G21&gt;=F21,TRUE)),1,0)</x:f>
        <x:v>0</x:v>
      </x:c>
    </x:row>
    <x:row r="22" ht="58" customHeight="1">
      <x:c r="A22" s="2" t="str">
        <x:v>T0016</x:v>
      </x:c>
      <x:c r="B22" s="30" t="n">
        <x:v>46318</x:v>
      </x:c>
      <x:c r="C22" s="2" t="str">
        <x:v>Alvin</x:v>
      </x:c>
      <x:c r="D22" s="2" t="str">
        <x:v>CQL/GHL Implementation</x:v>
      </x:c>
      <x:c r="E22" s="26" t="str">
        <x:v>Stage skeleton; calendar; reminder stubs</x:v>
      </x:c>
      <x:c r="F22" s="2" t="n">
        <x:v>1</x:v>
      </x:c>
      <x:c r="G22" s="20"/>
      <x:c r="H22" s="2" t="str">
        <x:v>accepted output</x:v>
      </x:c>
      <x:c r="I22" s="20" t="str">
        <x:v>Ready</x:v>
      </x:c>
      <x:c r="J22" s="2" t="str">
        <x:v>16:45</x:v>
      </x:c>
      <x:c r="K22" s="28" t="str"/>
      <x:c r="L22" s="28" t="str"/>
      <x:c r="M22" s="20" t="str"/>
      <x:c r="N22" s="33"/>
      <x:c r="O22" s="20" t="str"/>
      <x:c r="P22" s="33"/>
      <x:c r="Q22" s="2" t="n">
        <x:f>IF(AND(AE22=1),1,0)</x:f>
        <x:v>0</x:v>
      </x:c>
      <x:c r="R22" s="2" t="str">
        <x:f>IF(AND(Q22=1,P22&lt;='Dashboard'!$B$5),IF(P22&gt;B22,"Accepted late","Accepted"),IF(B22&lt;'Dashboard'!$B$5,"Overdue",IF(I22="Blocked","Blocked",IF(B22='Dashboard'!$B$5,"Due today","Planned"))))</x:f>
        <x:v>Planned</x:v>
      </x:c>
      <x:c r="S22" s="26" t="str">
        <x:f>IF(I22="Accepted",IF(K22="","Add evidence",IF(O22="","Add reviewer",IF(P22="","Add accepted date",IF(AND(ISNUMBER(F22),COUNT(G22)=0),"Add actual quantity",IF(Q22=0,"Review target / date / dependencies","Complete"))))),IF(OR(I22="Blocked",I22="Deferred"),IF(L22="","Record blocker / reason",IF(M22="","Assign rescue owner",IF(N22="","Set recovery date","Recovery assigned"))),IF(B22&lt;'Dashboard'!$B$5,"Escalate and record recovery","Work to acceptance standard")))</x:f>
        <x:v>Work to acceptance standard</x:v>
      </x:c>
      <x:c r="T22" s="26" t="str"/>
      <x:c r="U22" s="26" t="str">
        <x:v>Nova accepts stage names and mandatory next-step/source fields.</x:v>
      </x:c>
      <x:c r="V22" s="31" t="n">
        <x:v>2</x:v>
      </x:c>
      <x:c r="W22" s="26" t="str"/>
      <x:c r="X22" s="26" t="str">
        <x:v>DSI Reset PDF: lane responsibilities and dated runbook; dated allocation proposed for this tracker.</x:v>
      </x:c>
      <x:c r="Y22" s="30" t="n">
        <x:f>B22-WEEKDAY(B22,2)+1</x:f>
        <x:v>46314</x:v>
      </x:c>
      <x:c r="Z22" s="2" t="str">
        <x:v>checklist</x:v>
      </x:c>
      <x:c r="AA22" s="2" t="n">
        <x:f>IF(Q22=1,IF(P22&gt;B22,1,0),0)</x:f>
        <x:v>0</x:v>
      </x:c>
      <x:c r="AB22" s="2" t="n">
        <x:f>IF(AND(Q22=1,P22&lt;='Dashboard'!$B$5),0,MAX(0,'Dashboard'!$B$5-B22))</x:f>
        <x:v>0</x:v>
      </x:c>
      <x:c r="AC22" s="28" t="str"/>
      <x:c r="AD22" s="2" t="str">
        <x:f>IF(AND(ISNUMBER(F22),ISNUMBER(G22)),G22-F22,"")</x:f>
      </x:c>
      <x:c r="AE22" s="2" t="n">
        <x:f>IF(AND(I22="Accepted",K22&lt;&gt;"",O22&lt;&gt;"",ISNUMBER(P22),P22&gt;0,P22&lt;='Dashboard'!$B$5,IF(ISNUMBER(F22),ISNUMBER(G22),TRUE),IF(ISNUMBER(F22),G22&gt;=F22,TRUE)),1,0)</x:f>
        <x:v>0</x:v>
      </x:c>
    </x:row>
    <x:row r="23" ht="58" customHeight="1">
      <x:c r="A23" s="2" t="str">
        <x:v>T0017</x:v>
      </x:c>
      <x:c r="B23" s="30" t="n">
        <x:v>46318</x:v>
      </x:c>
      <x:c r="C23" s="2" t="str">
        <x:v>Brian</x:v>
      </x:c>
      <x:c r="D23" s="2" t="str">
        <x:v>Web and Tracking</x:v>
      </x:c>
      <x:c r="E23" s="26" t="str">
        <x:v>Working staging page and form scaffold</x:v>
      </x:c>
      <x:c r="F23" s="2" t="n">
        <x:v>1</x:v>
      </x:c>
      <x:c r="G23" s="20"/>
      <x:c r="H23" s="2" t="str">
        <x:v>accepted output</x:v>
      </x:c>
      <x:c r="I23" s="20" t="str">
        <x:v>Ready</x:v>
      </x:c>
      <x:c r="J23" s="2" t="str">
        <x:v>16:45</x:v>
      </x:c>
      <x:c r="K23" s="28" t="str"/>
      <x:c r="L23" s="28" t="str"/>
      <x:c r="M23" s="20" t="str"/>
      <x:c r="N23" s="33"/>
      <x:c r="O23" s="20" t="str"/>
      <x:c r="P23" s="33"/>
      <x:c r="Q23" s="2" t="n">
        <x:f>IF(AND(AE23=1),1,0)</x:f>
        <x:v>0</x:v>
      </x:c>
      <x:c r="R23" s="2" t="str">
        <x:f>IF(AND(Q23=1,P23&lt;='Dashboard'!$B$5),IF(P23&gt;B23,"Accepted late","Accepted"),IF(B23&lt;'Dashboard'!$B$5,"Overdue",IF(I23="Blocked","Blocked",IF(B23='Dashboard'!$B$5,"Due today","Planned"))))</x:f>
        <x:v>Planned</x:v>
      </x:c>
      <x:c r="S23" s="26" t="str">
        <x:f>IF(I23="Accepted",IF(K23="","Add evidence",IF(O23="","Add reviewer",IF(P23="","Add accepted date",IF(AND(ISNUMBER(F23),COUNT(G23)=0),"Add actual quantity",IF(Q23=0,"Review target / date / dependencies","Complete"))))),IF(OR(I23="Blocked",I23="Deferred"),IF(L23="","Record blocker / reason",IF(M23="","Assign rescue owner",IF(N23="","Set recovery date","Recovery assigned"))),IF(B23&lt;'Dashboard'!$B$5,"Escalate and record recovery","Work to acceptance standard")))</x:f>
        <x:v>Work to acceptance standard</x:v>
      </x:c>
      <x:c r="T23" s="26" t="str"/>
      <x:c r="U23" s="26" t="str">
        <x:v>No public unapproved offer; access dependency visible.</x:v>
      </x:c>
      <x:c r="V23" s="31" t="n">
        <x:v>2</x:v>
      </x:c>
      <x:c r="W23" s="26" t="str"/>
      <x:c r="X23" s="26" t="str">
        <x:v>DSI Reset PDF: lane responsibilities and dated runbook; dated allocation proposed for this tracker.</x:v>
      </x:c>
      <x:c r="Y23" s="30" t="n">
        <x:f>B23-WEEKDAY(B23,2)+1</x:f>
        <x:v>46314</x:v>
      </x:c>
      <x:c r="Z23" s="2" t="str">
        <x:v>checklist</x:v>
      </x:c>
      <x:c r="AA23" s="2" t="n">
        <x:f>IF(Q23=1,IF(P23&gt;B23,1,0),0)</x:f>
        <x:v>0</x:v>
      </x:c>
      <x:c r="AB23" s="2" t="n">
        <x:f>IF(AND(Q23=1,P23&lt;='Dashboard'!$B$5),0,MAX(0,'Dashboard'!$B$5-B23))</x:f>
        <x:v>0</x:v>
      </x:c>
      <x:c r="AC23" s="28" t="str"/>
      <x:c r="AD23" s="2" t="str">
        <x:f>IF(AND(ISNUMBER(F23),ISNUMBER(G23)),G23-F23,"")</x:f>
      </x:c>
      <x:c r="AE23" s="2" t="n">
        <x:f>IF(AND(I23="Accepted",K23&lt;&gt;"",O23&lt;&gt;"",ISNUMBER(P23),P23&gt;0,P23&lt;='Dashboard'!$B$5,IF(ISNUMBER(F23),ISNUMBER(G23),TRUE),IF(ISNUMBER(F23),G23&gt;=F23,TRUE)),1,0)</x:f>
        <x:v>0</x:v>
      </x:c>
    </x:row>
    <x:row r="24" ht="58" customHeight="1">
      <x:c r="A24" s="2" t="str">
        <x:v>T0018</x:v>
      </x:c>
      <x:c r="B24" s="30" t="n">
        <x:v>46318</x:v>
      </x:c>
      <x:c r="C24" s="2" t="str">
        <x:v>Dexter</x:v>
      </x:c>
      <x:c r="D24" s="2" t="str">
        <x:v>LinkedIn Execution</x:v>
      </x:c>
      <x:c r="E24" s="26" t="str">
        <x:v>Eligible candidate activity-check batch and CQL logs</x:v>
      </x:c>
      <x:c r="F24" s="2" t="n">
        <x:v>1</x:v>
      </x:c>
      <x:c r="G24" s="20"/>
      <x:c r="H24" s="2" t="str">
        <x:v>accepted output</x:v>
      </x:c>
      <x:c r="I24" s="20" t="str">
        <x:v>Ready</x:v>
      </x:c>
      <x:c r="J24" s="2" t="str">
        <x:v>16:45</x:v>
      </x:c>
      <x:c r="K24" s="28" t="str"/>
      <x:c r="L24" s="28" t="str"/>
      <x:c r="M24" s="20" t="str"/>
      <x:c r="N24" s="33"/>
      <x:c r="O24" s="20" t="str"/>
      <x:c r="P24" s="33"/>
      <x:c r="Q24" s="2" t="n">
        <x:f>IF(AND(AE24=1),1,0)</x:f>
        <x:v>0</x:v>
      </x:c>
      <x:c r="R24" s="2" t="str">
        <x:f>IF(AND(Q24=1,P24&lt;='Dashboard'!$B$5),IF(P24&gt;B24,"Accepted late","Accepted"),IF(B24&lt;'Dashboard'!$B$5,"Overdue",IF(I24="Blocked","Blocked",IF(B24='Dashboard'!$B$5,"Due today","Planned"))))</x:f>
        <x:v>Planned</x:v>
      </x:c>
      <x:c r="S24" s="26" t="str">
        <x:f>IF(I24="Accepted",IF(K24="","Add evidence",IF(O24="","Add reviewer",IF(P24="","Add accepted date",IF(AND(ISNUMBER(F24),COUNT(G24)=0),"Add actual quantity",IF(Q24=0,"Review target / date / dependencies","Complete"))))),IF(OR(I24="Blocked",I24="Deferred"),IF(L24="","Record blocker / reason",IF(M24="","Assign rescue owner",IF(N24="","Set recovery date","Recovery assigned"))),IF(B24&lt;'Dashboard'!$B$5,"Escalate and record recovery","Work to acceptance standard")))</x:f>
        <x:v>Work to acceptance standard</x:v>
      </x:c>
      <x:c r="T24" s="26" t="str"/>
      <x:c r="U24" s="26" t="str">
        <x:v>Only Scout-passed contacts enter outreach; earlier 165 are candidates until reverified.</x:v>
      </x:c>
      <x:c r="V24" s="31" t="n">
        <x:v>2.5</x:v>
      </x:c>
      <x:c r="W24" s="26" t="str"/>
      <x:c r="X24" s="26" t="str">
        <x:v>DSI Reset PDF: lane responsibilities and dated runbook; dated allocation proposed for this tracker.</x:v>
      </x:c>
      <x:c r="Y24" s="30" t="n">
        <x:f>B24-WEEKDAY(B24,2)+1</x:f>
        <x:v>46314</x:v>
      </x:c>
      <x:c r="Z24" s="2" t="str">
        <x:v>checklist</x:v>
      </x:c>
      <x:c r="AA24" s="2" t="n">
        <x:f>IF(Q24=1,IF(P24&gt;B24,1,0),0)</x:f>
        <x:v>0</x:v>
      </x:c>
      <x:c r="AB24" s="2" t="n">
        <x:f>IF(AND(Q24=1,P24&lt;='Dashboard'!$B$5),0,MAX(0,'Dashboard'!$B$5-B24))</x:f>
        <x:v>0</x:v>
      </x:c>
      <x:c r="AC24" s="28" t="str"/>
      <x:c r="AD24" s="2" t="str">
        <x:f>IF(AND(ISNUMBER(F24),ISNUMBER(G24)),G24-F24,"")</x:f>
      </x:c>
      <x:c r="AE24" s="2" t="n">
        <x:f>IF(AND(I24="Accepted",K24&lt;&gt;"",O24&lt;&gt;"",ISNUMBER(P24),P24&gt;0,P24&lt;='Dashboard'!$B$5,IF(ISNUMBER(F24),ISNUMBER(G24),TRUE),IF(ISNUMBER(F24),G24&gt;=F24,TRUE)),1,0)</x:f>
        <x:v>0</x:v>
      </x:c>
    </x:row>
    <x:row r="25" ht="58" customHeight="1">
      <x:c r="A25" s="2" t="str">
        <x:v>T0019</x:v>
      </x:c>
      <x:c r="B25" s="30" t="n">
        <x:v>46321</x:v>
      </x:c>
      <x:c r="C25" s="2" t="str">
        <x:v>Wyline</x:v>
      </x:c>
      <x:c r="D25" s="2" t="str">
        <x:v>Program Director</x:v>
      </x:c>
      <x:c r="E25" s="26" t="str">
        <x:v>QA-passed one-page reset brief and first scoreboard</x:v>
      </x:c>
      <x:c r="F25" s="2" t="n">
        <x:v>1</x:v>
      </x:c>
      <x:c r="G25" s="20"/>
      <x:c r="H25" s="2" t="str">
        <x:v>accepted output</x:v>
      </x:c>
      <x:c r="I25" s="20" t="str">
        <x:v>Ready</x:v>
      </x:c>
      <x:c r="J25" s="2" t="str">
        <x:v>16:45</x:v>
      </x:c>
      <x:c r="K25" s="28" t="str"/>
      <x:c r="L25" s="28" t="str"/>
      <x:c r="M25" s="20" t="str"/>
      <x:c r="N25" s="33"/>
      <x:c r="O25" s="20" t="str"/>
      <x:c r="P25" s="33"/>
      <x:c r="Q25" s="2" t="n">
        <x:f>IF(AND(AE25=1),1,0)</x:f>
        <x:v>0</x:v>
      </x:c>
      <x:c r="R25" s="2" t="str">
        <x:f>IF(AND(Q25=1,P25&lt;='Dashboard'!$B$5),IF(P25&gt;B25,"Accepted late","Accepted"),IF(B25&lt;'Dashboard'!$B$5,"Overdue",IF(I25="Blocked","Blocked",IF(B25='Dashboard'!$B$5,"Due today","Planned"))))</x:f>
        <x:v>Planned</x:v>
      </x:c>
      <x:c r="S25" s="26" t="str">
        <x:f>IF(I25="Accepted",IF(K25="","Add evidence",IF(O25="","Add reviewer",IF(P25="","Add accepted date",IF(AND(ISNUMBER(F25),COUNT(G25)=0),"Add actual quantity",IF(Q25=0,"Review target / date / dependencies","Complete"))))),IF(OR(I25="Blocked",I25="Deferred"),IF(L25="","Record blocker / reason",IF(M25="","Assign rescue owner",IF(N25="","Set recovery date","Recovery assigned"))),IF(B25&lt;'Dashboard'!$B$5,"Escalate and record recovery","Work to acceptance standard")))</x:f>
        <x:v>Work to acceptance standard</x:v>
      </x:c>
      <x:c r="T25" s="26" t="str"/>
      <x:c r="U25" s="26" t="str">
        <x:v>9 am standup 15 min; no placeholders; baseline 0 positive/0 bookings identified as historical.</x:v>
      </x:c>
      <x:c r="V25" s="31" t="n">
        <x:v>3</x:v>
      </x:c>
      <x:c r="W25" s="26" t="str"/>
      <x:c r="X25" s="26" t="str">
        <x:v>DSI Reset PDF: lane responsibilities and dated runbook; dated allocation proposed for this tracker.</x:v>
      </x:c>
      <x:c r="Y25" s="30" t="n">
        <x:f>B25-WEEKDAY(B25,2)+1</x:f>
        <x:v>46321</x:v>
      </x:c>
      <x:c r="Z25" s="2" t="str">
        <x:v>checklist</x:v>
      </x:c>
      <x:c r="AA25" s="2" t="n">
        <x:f>IF(Q25=1,IF(P25&gt;B25,1,0),0)</x:f>
        <x:v>0</x:v>
      </x:c>
      <x:c r="AB25" s="2" t="n">
        <x:f>IF(AND(Q25=1,P25&lt;='Dashboard'!$B$5),0,MAX(0,'Dashboard'!$B$5-B25))</x:f>
        <x:v>0</x:v>
      </x:c>
      <x:c r="AC25" s="28" t="str"/>
      <x:c r="AD25" s="2" t="str">
        <x:f>IF(AND(ISNUMBER(F25),ISNUMBER(G25)),G25-F25,"")</x:f>
      </x:c>
      <x:c r="AE25" s="2" t="n">
        <x:f>IF(AND(I25="Accepted",K25&lt;&gt;"",O25&lt;&gt;"",ISNUMBER(P25),P25&gt;0,P25&lt;='Dashboard'!$B$5,IF(ISNUMBER(F25),ISNUMBER(G25),TRUE),IF(ISNUMBER(F25),G25&gt;=F25,TRUE)),1,0)</x:f>
        <x:v>0</x:v>
      </x:c>
    </x:row>
    <x:row r="26" ht="58" customHeight="1">
      <x:c r="A26" s="2" t="str">
        <x:v>T0020</x:v>
      </x:c>
      <x:c r="B26" s="30" t="n">
        <x:v>46321</x:v>
      </x:c>
      <x:c r="C26" s="2" t="str">
        <x:v>Kenneth</x:v>
      </x:c>
      <x:c r="D26" s="2" t="str">
        <x:v>Message Orchestrator</x:v>
      </x:c>
      <x:c r="E26" s="26" t="str">
        <x:v>Connection note/5-touch outline; phone opener/voicemail; reply library draft</x:v>
      </x:c>
      <x:c r="F26" s="2" t="n">
        <x:v>1</x:v>
      </x:c>
      <x:c r="G26" s="20"/>
      <x:c r="H26" s="2" t="str">
        <x:v>accepted output</x:v>
      </x:c>
      <x:c r="I26" s="20" t="str">
        <x:v>Ready</x:v>
      </x:c>
      <x:c r="J26" s="2" t="str">
        <x:v>16:45</x:v>
      </x:c>
      <x:c r="K26" s="28" t="str"/>
      <x:c r="L26" s="28" t="str"/>
      <x:c r="M26" s="20" t="str"/>
      <x:c r="N26" s="33"/>
      <x:c r="O26" s="20" t="str"/>
      <x:c r="P26" s="33"/>
      <x:c r="Q26" s="2" t="n">
        <x:f>IF(AND(AE26=1),1,0)</x:f>
        <x:v>0</x:v>
      </x:c>
      <x:c r="R26" s="2" t="str">
        <x:f>IF(AND(Q26=1,P26&lt;='Dashboard'!$B$5),IF(P26&gt;B26,"Accepted late","Accepted"),IF(B26&lt;'Dashboard'!$B$5,"Overdue",IF(I26="Blocked","Blocked",IF(B26='Dashboard'!$B$5,"Due today","Planned"))))</x:f>
        <x:v>Planned</x:v>
      </x:c>
      <x:c r="S26" s="26" t="str">
        <x:f>IF(I26="Accepted",IF(K26="","Add evidence",IF(O26="","Add reviewer",IF(P26="","Add accepted date",IF(AND(ISNUMBER(F26),COUNT(G26)=0),"Add actual quantity",IF(Q26=0,"Review target / date / dependencies","Complete"))))),IF(OR(I26="Blocked",I26="Deferred"),IF(L26="","Record blocker / reason",IF(M26="","Assign rescue owner",IF(N26="","Set recovery date","Recovery assigned"))),IF(B26&lt;'Dashboard'!$B$5,"Escalate and record recovery","Work to acceptance standard")))</x:f>
        <x:v>Work to acceptance standard</x:v>
      </x:c>
      <x:c r="T26" s="26" t="str"/>
      <x:c r="U26" s="26" t="str">
        <x:v>Every touch uses same approved positioning; clinical/price unknowns escalated.</x:v>
      </x:c>
      <x:c r="V26" s="31" t="n">
        <x:v>2.5</x:v>
      </x:c>
      <x:c r="W26" s="26" t="str"/>
      <x:c r="X26" s="26" t="str">
        <x:v>DSI Reset PDF: lane responsibilities and dated runbook; dated allocation proposed for this tracker.</x:v>
      </x:c>
      <x:c r="Y26" s="30" t="n">
        <x:f>B26-WEEKDAY(B26,2)+1</x:f>
        <x:v>46321</x:v>
      </x:c>
      <x:c r="Z26" s="2" t="str">
        <x:v>checklist</x:v>
      </x:c>
      <x:c r="AA26" s="2" t="n">
        <x:f>IF(Q26=1,IF(P26&gt;B26,1,0),0)</x:f>
        <x:v>0</x:v>
      </x:c>
      <x:c r="AB26" s="2" t="n">
        <x:f>IF(AND(Q26=1,P26&lt;='Dashboard'!$B$5),0,MAX(0,'Dashboard'!$B$5-B26))</x:f>
        <x:v>0</x:v>
      </x:c>
      <x:c r="AC26" s="28" t="str"/>
      <x:c r="AD26" s="2" t="str">
        <x:f>IF(AND(ISNUMBER(F26),ISNUMBER(G26)),G26-F26,"")</x:f>
      </x:c>
      <x:c r="AE26" s="2" t="n">
        <x:f>IF(AND(I26="Accepted",K26&lt;&gt;"",O26&lt;&gt;"",ISNUMBER(P26),P26&gt;0,P26&lt;='Dashboard'!$B$5,IF(ISNUMBER(F26),ISNUMBER(G26),TRUE),IF(ISNUMBER(F26),G26&gt;=F26,TRUE)),1,0)</x:f>
        <x:v>0</x:v>
      </x:c>
    </x:row>
    <x:row r="27" ht="58" customHeight="1">
      <x:c r="A27" s="2" t="str">
        <x:v>T0021</x:v>
      </x:c>
      <x:c r="B27" s="30" t="n">
        <x:v>46321</x:v>
      </x:c>
      <x:c r="C27" s="2" t="str">
        <x:v>Joey</x:v>
      </x:c>
      <x:c r="D27" s="2" t="str">
        <x:v>Data Orchestrator</x:v>
      </x:c>
      <x:c r="E27" s="26" t="str">
        <x:v>100 verified rows and 25-row early QA sample. Planned list output today: 100 new verified contacts; cumulative ready pool 100.</x:v>
      </x:c>
      <x:c r="F27" s="2" t="n">
        <x:v>100</x:v>
      </x:c>
      <x:c r="G27" s="20"/>
      <x:c r="H27" s="2" t="str">
        <x:v>new verified contacts; proposed daily pace</x:v>
      </x:c>
      <x:c r="I27" s="20" t="str">
        <x:v>Ready</x:v>
      </x:c>
      <x:c r="J27" s="2" t="str">
        <x:v>16:45</x:v>
      </x:c>
      <x:c r="K27" s="28" t="str"/>
      <x:c r="L27" s="28" t="str"/>
      <x:c r="M27" s="20" t="str"/>
      <x:c r="N27" s="33"/>
      <x:c r="O27" s="20" t="str"/>
      <x:c r="P27" s="33"/>
      <x:c r="Q27" s="2" t="n">
        <x:f>IF(AND(AE27=1),1,0)</x:f>
        <x:v>0</x:v>
      </x:c>
      <x:c r="R27" s="2" t="str">
        <x:f>IF(AND(Q27=1,P27&lt;='Dashboard'!$B$5),IF(P27&gt;B27,"Accepted late","Accepted"),IF(B27&lt;'Dashboard'!$B$5,"Overdue",IF(I27="Blocked","Blocked",IF(B27='Dashboard'!$B$5,"Due today","Planned"))))</x:f>
        <x:v>Planned</x:v>
      </x:c>
      <x:c r="S27" s="26" t="str">
        <x:f>IF(I27="Accepted",IF(K27="","Add evidence",IF(O27="","Add reviewer",IF(P27="","Add accepted date",IF(AND(ISNUMBER(F27),COUNT(G27)=0),"Add actual quantity",IF(Q27=0,"Review target / date / dependencies","Complete"))))),IF(OR(I27="Blocked",I27="Deferred"),IF(L27="","Record blocker / reason",IF(M27="","Assign rescue owner",IF(N27="","Set recovery date","Recovery assigned"))),IF(B27&lt;'Dashboard'!$B$5,"Escalate and record recovery","Work to acceptance standard")))</x:f>
        <x:v>Work to acceptance standard</x:v>
      </x:c>
      <x:c r="T27" s="26" t="str"/>
      <x:c r="U27" s="26" t="str">
        <x:v>Evidence fields populated; correct failed gate before scaling.</x:v>
      </x:c>
      <x:c r="V27" s="31" t="n">
        <x:v>3</x:v>
      </x:c>
      <x:c r="W27" s="26" t="str"/>
      <x:c r="X27" s="26" t="str">
        <x:v>DSI Reset PDF: lane responsibilities and dated runbook; dated allocation proposed for this tracker.</x:v>
      </x:c>
      <x:c r="Y27" s="30" t="n">
        <x:f>B27-WEEKDAY(B27,2)+1</x:f>
        <x:v>46321</x:v>
      </x:c>
      <x:c r="Z27" s="2" t="str">
        <x:v>goal</x:v>
      </x:c>
      <x:c r="AA27" s="2" t="n">
        <x:f>IF(Q27=1,IF(P27&gt;B27,1,0),0)</x:f>
        <x:v>0</x:v>
      </x:c>
      <x:c r="AB27" s="2" t="n">
        <x:f>IF(AND(Q27=1,P27&lt;='Dashboard'!$B$5),0,MAX(0,'Dashboard'!$B$5-B27))</x:f>
        <x:v>0</x:v>
      </x:c>
      <x:c r="AC27" s="28" t="str"/>
      <x:c r="AD27" s="2" t="str">
        <x:f>IF(AND(ISNUMBER(F27),ISNUMBER(G27)),G27-F27,"")</x:f>
      </x:c>
      <x:c r="AE27" s="2" t="n">
        <x:f>IF(AND(I27="Accepted",K27&lt;&gt;"",O27&lt;&gt;"",ISNUMBER(P27),P27&gt;0,P27&lt;='Dashboard'!$B$5,IF(ISNUMBER(F27),ISNUMBER(G27),TRUE),IF(ISNUMBER(F27),G27&gt;=F27,TRUE)),1,0)</x:f>
        <x:v>0</x:v>
      </x:c>
    </x:row>
    <x:row r="28" ht="58" customHeight="1">
      <x:c r="A28" s="2" t="str">
        <x:v>T0022</x:v>
      </x:c>
      <x:c r="B28" s="30" t="n">
        <x:v>46321</x:v>
      </x:c>
      <x:c r="C28" s="2" t="str">
        <x:v>Nova</x:v>
      </x:c>
      <x:c r="D28" s="2" t="str">
        <x:v>Conversion Orchestrator</x:v>
      </x:c>
      <x:c r="E28" s="26" t="str">
        <x:v>Setter script v 1; call blocks; outcome fields to Alvin</x:v>
      </x:c>
      <x:c r="F28" s="2" t="n">
        <x:v>1</x:v>
      </x:c>
      <x:c r="G28" s="20"/>
      <x:c r="H28" s="2" t="str">
        <x:v>accepted output</x:v>
      </x:c>
      <x:c r="I28" s="20" t="str">
        <x:v>Ready</x:v>
      </x:c>
      <x:c r="J28" s="2" t="str">
        <x:v>16:45</x:v>
      </x:c>
      <x:c r="K28" s="28" t="str"/>
      <x:c r="L28" s="28" t="str"/>
      <x:c r="M28" s="20" t="str"/>
      <x:c r="N28" s="33"/>
      <x:c r="O28" s="20" t="str"/>
      <x:c r="P28" s="33"/>
      <x:c r="Q28" s="2" t="n">
        <x:f>IF(AND(AE28=1),1,0)</x:f>
        <x:v>0</x:v>
      </x:c>
      <x:c r="R28" s="2" t="str">
        <x:f>IF(AND(Q28=1,P28&lt;='Dashboard'!$B$5),IF(P28&gt;B28,"Accepted late","Accepted"),IF(B28&lt;'Dashboard'!$B$5,"Overdue",IF(I28="Blocked","Blocked",IF(B28='Dashboard'!$B$5,"Due today","Planned"))))</x:f>
        <x:v>Planned</x:v>
      </x:c>
      <x:c r="S28" s="26" t="str">
        <x:f>IF(I28="Accepted",IF(K28="","Add evidence",IF(O28="","Add reviewer",IF(P28="","Add accepted date",IF(AND(ISNUMBER(F28),COUNT(G28)=0),"Add actual quantity",IF(Q28=0,"Review target / date / dependencies","Complete"))))),IF(OR(I28="Blocked",I28="Deferred"),IF(L28="","Record blocker / reason",IF(M28="","Assign rescue owner",IF(N28="","Set recovery date","Recovery assigned"))),IF(B28&lt;'Dashboard'!$B$5,"Escalate and record recovery","Work to acceptance standard")))</x:f>
        <x:v>Work to acceptance standard</x:v>
      </x:c>
      <x:c r="T28" s="26" t="str"/>
      <x:c r="U28" s="26" t="str">
        <x:v>Reply/call SLA clocks and booking handoff agreed.</x:v>
      </x:c>
      <x:c r="V28" s="31" t="n">
        <x:v>4</x:v>
      </x:c>
      <x:c r="W28" s="26" t="str"/>
      <x:c r="X28" s="26" t="str">
        <x:v>DSI Reset PDF: lane responsibilities and dated runbook; dated allocation proposed for this tracker.</x:v>
      </x:c>
      <x:c r="Y28" s="30" t="n">
        <x:f>B28-WEEKDAY(B28,2)+1</x:f>
        <x:v>46321</x:v>
      </x:c>
      <x:c r="Z28" s="2" t="str">
        <x:v>checklist</x:v>
      </x:c>
      <x:c r="AA28" s="2" t="n">
        <x:f>IF(Q28=1,IF(P28&gt;B28,1,0),0)</x:f>
        <x:v>0</x:v>
      </x:c>
      <x:c r="AB28" s="2" t="n">
        <x:f>IF(AND(Q28=1,P28&lt;='Dashboard'!$B$5),0,MAX(0,'Dashboard'!$B$5-B28))</x:f>
        <x:v>0</x:v>
      </x:c>
      <x:c r="AC28" s="28" t="str"/>
      <x:c r="AD28" s="2" t="str">
        <x:f>IF(AND(ISNUMBER(F28),ISNUMBER(G28)),G28-F28,"")</x:f>
      </x:c>
      <x:c r="AE28" s="2" t="n">
        <x:f>IF(AND(I28="Accepted",K28&lt;&gt;"",O28&lt;&gt;"",ISNUMBER(P28),P28&gt;0,P28&lt;='Dashboard'!$B$5,IF(ISNUMBER(F28),ISNUMBER(G28),TRUE),IF(ISNUMBER(F28),G28&gt;=F28,TRUE)),1,0)</x:f>
        <x:v>0</x:v>
      </x:c>
    </x:row>
    <x:row r="29" ht="58" customHeight="1">
      <x:c r="A29" s="2" t="str">
        <x:v>T0023</x:v>
      </x:c>
      <x:c r="B29" s="30" t="n">
        <x:v>46321</x:v>
      </x:c>
      <x:c r="C29" s="2" t="str">
        <x:v>Emman</x:v>
      </x:c>
      <x:c r="D29" s="2" t="str">
        <x:v>AI Build Orchestrator</x:v>
      </x:c>
      <x:c r="E29" s="26" t="str">
        <x:v>One actual test reply processed to CQL and alert</x:v>
      </x:c>
      <x:c r="F29" s="2" t="n">
        <x:v>1</x:v>
      </x:c>
      <x:c r="G29" s="20"/>
      <x:c r="H29" s="2" t="str">
        <x:v>accepted output</x:v>
      </x:c>
      <x:c r="I29" s="20" t="str">
        <x:v>Ready</x:v>
      </x:c>
      <x:c r="J29" s="2" t="str">
        <x:v>16:45</x:v>
      </x:c>
      <x:c r="K29" s="28" t="str"/>
      <x:c r="L29" s="28" t="str"/>
      <x:c r="M29" s="20" t="str"/>
      <x:c r="N29" s="33"/>
      <x:c r="O29" s="20" t="str"/>
      <x:c r="P29" s="33"/>
      <x:c r="Q29" s="2" t="n">
        <x:f>IF(AND(AE29=1),1,0)</x:f>
        <x:v>0</x:v>
      </x:c>
      <x:c r="R29" s="2" t="str">
        <x:f>IF(AND(Q29=1,P29&lt;='Dashboard'!$B$5),IF(P29&gt;B29,"Accepted late","Accepted"),IF(B29&lt;'Dashboard'!$B$5,"Overdue",IF(I29="Blocked","Blocked",IF(B29='Dashboard'!$B$5,"Due today","Planned"))))</x:f>
        <x:v>Planned</x:v>
      </x:c>
      <x:c r="S29" s="26" t="str">
        <x:f>IF(I29="Accepted",IF(K29="","Add evidence",IF(O29="","Add reviewer",IF(P29="","Add accepted date",IF(AND(ISNUMBER(F29),COUNT(G29)=0),"Add actual quantity",IF(Q29=0,"Review target / date / dependencies","Complete"))))),IF(OR(I29="Blocked",I29="Deferred"),IF(L29="","Record blocker / reason",IF(M29="","Assign rescue owner",IF(N29="","Set recovery date","Recovery assigned"))),IF(B29&lt;'Dashboard'!$B$5,"Escalate and record recovery","Work to acceptance standard")))</x:f>
        <x:v>Work to acceptance standard</x:v>
      </x:c>
      <x:c r="T29" s="26" t="str"/>
      <x:c r="U29" s="26" t="str">
        <x:v>Original message retained; classification/draft human reviewed.</x:v>
      </x:c>
      <x:c r="V29" s="31" t="n">
        <x:v>4</x:v>
      </x:c>
      <x:c r="W29" s="26" t="str"/>
      <x:c r="X29" s="26" t="str">
        <x:v>DSI Reset PDF: lane responsibilities and dated runbook; dated allocation proposed for this tracker.</x:v>
      </x:c>
      <x:c r="Y29" s="30" t="n">
        <x:f>B29-WEEKDAY(B29,2)+1</x:f>
        <x:v>46321</x:v>
      </x:c>
      <x:c r="Z29" s="2" t="str">
        <x:v>checklist</x:v>
      </x:c>
      <x:c r="AA29" s="2" t="n">
        <x:f>IF(Q29=1,IF(P29&gt;B29,1,0),0)</x:f>
        <x:v>0</x:v>
      </x:c>
      <x:c r="AB29" s="2" t="n">
        <x:f>IF(AND(Q29=1,P29&lt;='Dashboard'!$B$5),0,MAX(0,'Dashboard'!$B$5-B29))</x:f>
        <x:v>0</x:v>
      </x:c>
      <x:c r="AC29" s="28" t="str"/>
      <x:c r="AD29" s="2" t="str">
        <x:f>IF(AND(ISNUMBER(F29),ISNUMBER(G29)),G29-F29,"")</x:f>
      </x:c>
      <x:c r="AE29" s="2" t="n">
        <x:f>IF(AND(I29="Accepted",K29&lt;&gt;"",O29&lt;&gt;"",ISNUMBER(P29),P29&gt;0,P29&lt;='Dashboard'!$B$5,IF(ISNUMBER(F29),ISNUMBER(G29),TRUE),IF(ISNUMBER(F29),G29&gt;=F29,TRUE)),1,0)</x:f>
        <x:v>0</x:v>
      </x:c>
    </x:row>
    <x:row r="30" ht="58" customHeight="1">
      <x:c r="A30" s="2" t="str">
        <x:v>T0024</x:v>
      </x:c>
      <x:c r="B30" s="30" t="n">
        <x:v>46321</x:v>
      </x:c>
      <x:c r="C30" s="2" t="str">
        <x:v>Ludwig</x:v>
      </x:c>
      <x:c r="D30" s="2" t="str">
        <x:v>Integration Engineer</x:v>
      </x:c>
      <x:c r="E30" s="26" t="str">
        <x:v>Test endpoint, retry/dead-letter test log</x:v>
      </x:c>
      <x:c r="F30" s="2" t="n">
        <x:v>1</x:v>
      </x:c>
      <x:c r="G30" s="20"/>
      <x:c r="H30" s="2" t="str">
        <x:v>accepted output</x:v>
      </x:c>
      <x:c r="I30" s="20" t="str">
        <x:v>Ready</x:v>
      </x:c>
      <x:c r="J30" s="2" t="str">
        <x:v>16:45</x:v>
      </x:c>
      <x:c r="K30" s="28" t="str"/>
      <x:c r="L30" s="28" t="str"/>
      <x:c r="M30" s="20" t="str"/>
      <x:c r="N30" s="33"/>
      <x:c r="O30" s="20" t="str"/>
      <x:c r="P30" s="33"/>
      <x:c r="Q30" s="2" t="n">
        <x:f>IF(AND(AE30=1),1,0)</x:f>
        <x:v>0</x:v>
      </x:c>
      <x:c r="R30" s="2" t="str">
        <x:f>IF(AND(Q30=1,P30&lt;='Dashboard'!$B$5),IF(P30&gt;B30,"Accepted late","Accepted"),IF(B30&lt;'Dashboard'!$B$5,"Overdue",IF(I30="Blocked","Blocked",IF(B30='Dashboard'!$B$5,"Due today","Planned"))))</x:f>
        <x:v>Planned</x:v>
      </x:c>
      <x:c r="S30" s="26" t="str">
        <x:f>IF(I30="Accepted",IF(K30="","Add evidence",IF(O30="","Add reviewer",IF(P30="","Add accepted date",IF(AND(ISNUMBER(F30),COUNT(G30)=0),"Add actual quantity",IF(Q30=0,"Review target / date / dependencies","Complete"))))),IF(OR(I30="Blocked",I30="Deferred"),IF(L30="","Record blocker / reason",IF(M30="","Assign rescue owner",IF(N30="","Set recovery date","Recovery assigned"))),IF(B30&lt;'Dashboard'!$B$5,"Escalate and record recovery","Work to acceptance standard")))</x:f>
        <x:v>Work to acceptance standard</x:v>
      </x:c>
      <x:c r="T30" s="26" t="str"/>
      <x:c r="U30" s="26" t="str">
        <x:v>No dropped test event; handoff runbook to Emman.</x:v>
      </x:c>
      <x:c r="V30" s="31" t="n">
        <x:v>1.5</x:v>
      </x:c>
      <x:c r="W30" s="26" t="str"/>
      <x:c r="X30" s="26" t="str">
        <x:v>DSI Reset PDF: lane responsibilities and dated runbook; dated allocation proposed for this tracker.</x:v>
      </x:c>
      <x:c r="Y30" s="30" t="n">
        <x:f>B30-WEEKDAY(B30,2)+1</x:f>
        <x:v>46321</x:v>
      </x:c>
      <x:c r="Z30" s="2" t="str">
        <x:v>checklist</x:v>
      </x:c>
      <x:c r="AA30" s="2" t="n">
        <x:f>IF(Q30=1,IF(P30&gt;B30,1,0),0)</x:f>
        <x:v>0</x:v>
      </x:c>
      <x:c r="AB30" s="2" t="n">
        <x:f>IF(AND(Q30=1,P30&lt;='Dashboard'!$B$5),0,MAX(0,'Dashboard'!$B$5-B30))</x:f>
        <x:v>0</x:v>
      </x:c>
      <x:c r="AC30" s="28" t="str"/>
      <x:c r="AD30" s="2" t="str">
        <x:f>IF(AND(ISNUMBER(F30),ISNUMBER(G30)),G30-F30,"")</x:f>
      </x:c>
      <x:c r="AE30" s="2" t="n">
        <x:f>IF(AND(I30="Accepted",K30&lt;&gt;"",O30&lt;&gt;"",ISNUMBER(P30),P30&gt;0,P30&lt;='Dashboard'!$B$5,IF(ISNUMBER(F30),ISNUMBER(G30),TRUE),IF(ISNUMBER(F30),G30&gt;=F30,TRUE)),1,0)</x:f>
        <x:v>0</x:v>
      </x:c>
    </x:row>
    <x:row r="31" ht="58" customHeight="1">
      <x:c r="A31" s="2" t="str">
        <x:v>T0025</x:v>
      </x:c>
      <x:c r="B31" s="30" t="n">
        <x:v>46321</x:v>
      </x:c>
      <x:c r="C31" s="2" t="str">
        <x:v>Alvin</x:v>
      </x:c>
      <x:c r="D31" s="2" t="str">
        <x:v>CQL/GHL Implementation</x:v>
      </x:c>
      <x:c r="E31" s="26" t="str">
        <x:v>24 h/2 h reminders; rebook workflow; dashboard stubs</x:v>
      </x:c>
      <x:c r="F31" s="2" t="n">
        <x:v>1</x:v>
      </x:c>
      <x:c r="G31" s="20"/>
      <x:c r="H31" s="2" t="str">
        <x:v>accepted output</x:v>
      </x:c>
      <x:c r="I31" s="20" t="str">
        <x:v>Ready</x:v>
      </x:c>
      <x:c r="J31" s="2" t="str">
        <x:v>16:45</x:v>
      </x:c>
      <x:c r="K31" s="28" t="str"/>
      <x:c r="L31" s="28" t="str"/>
      <x:c r="M31" s="20" t="str"/>
      <x:c r="N31" s="33"/>
      <x:c r="O31" s="20" t="str"/>
      <x:c r="P31" s="33"/>
      <x:c r="Q31" s="2" t="n">
        <x:f>IF(AND(AE31=1),1,0)</x:f>
        <x:v>0</x:v>
      </x:c>
      <x:c r="R31" s="2" t="str">
        <x:f>IF(AND(Q31=1,P31&lt;='Dashboard'!$B$5),IF(P31&gt;B31,"Accepted late","Accepted"),IF(B31&lt;'Dashboard'!$B$5,"Overdue",IF(I31="Blocked","Blocked",IF(B31='Dashboard'!$B$5,"Due today","Planned"))))</x:f>
        <x:v>Planned</x:v>
      </x:c>
      <x:c r="S31" s="26" t="str">
        <x:f>IF(I31="Accepted",IF(K31="","Add evidence",IF(O31="","Add reviewer",IF(P31="","Add accepted date",IF(AND(ISNUMBER(F31),COUNT(G31)=0),"Add actual quantity",IF(Q31=0,"Review target / date / dependencies","Complete"))))),IF(OR(I31="Blocked",I31="Deferred"),IF(L31="","Record blocker / reason",IF(M31="","Assign rescue owner",IF(N31="","Set recovery date","Recovery assigned"))),IF(B31&lt;'Dashboard'!$B$5,"Escalate and record recovery","Work to acceptance standard")))</x:f>
        <x:v>Work to acceptance standard</x:v>
      </x:c>
      <x:c r="T31" s="26" t="str"/>
      <x:c r="U31" s="26" t="str">
        <x:v>Approved templates only; next-step dates and suppression logic reviewed.</x:v>
      </x:c>
      <x:c r="V31" s="31" t="n">
        <x:v>2</x:v>
      </x:c>
      <x:c r="W31" s="26" t="str"/>
      <x:c r="X31" s="26" t="str">
        <x:v>DSI Reset PDF: lane responsibilities and dated runbook; dated allocation proposed for this tracker.</x:v>
      </x:c>
      <x:c r="Y31" s="30" t="n">
        <x:f>B31-WEEKDAY(B31,2)+1</x:f>
        <x:v>46321</x:v>
      </x:c>
      <x:c r="Z31" s="2" t="str">
        <x:v>checklist</x:v>
      </x:c>
      <x:c r="AA31" s="2" t="n">
        <x:f>IF(Q31=1,IF(P31&gt;B31,1,0),0)</x:f>
        <x:v>0</x:v>
      </x:c>
      <x:c r="AB31" s="2" t="n">
        <x:f>IF(AND(Q31=1,P31&lt;='Dashboard'!$B$5),0,MAX(0,'Dashboard'!$B$5-B31))</x:f>
        <x:v>0</x:v>
      </x:c>
      <x:c r="AC31" s="28" t="str"/>
      <x:c r="AD31" s="2" t="str">
        <x:f>IF(AND(ISNUMBER(F31),ISNUMBER(G31)),G31-F31,"")</x:f>
      </x:c>
      <x:c r="AE31" s="2" t="n">
        <x:f>IF(AND(I31="Accepted",K31&lt;&gt;"",O31&lt;&gt;"",ISNUMBER(P31),P31&gt;0,P31&lt;='Dashboard'!$B$5,IF(ISNUMBER(F31),ISNUMBER(G31),TRUE),IF(ISNUMBER(F31),G31&gt;=F31,TRUE)),1,0)</x:f>
        <x:v>0</x:v>
      </x:c>
    </x:row>
    <x:row r="32" ht="58" customHeight="1">
      <x:c r="A32" s="2" t="str">
        <x:v>T0026</x:v>
      </x:c>
      <x:c r="B32" s="30" t="n">
        <x:v>46321</x:v>
      </x:c>
      <x:c r="C32" s="2" t="str">
        <x:v>Brian</x:v>
      </x:c>
      <x:c r="D32" s="2" t="str">
        <x:v>Web and Tracking</x:v>
      </x:c>
      <x:c r="E32" s="26" t="str">
        <x:v>Test submission with source and UTM</x:v>
      </x:c>
      <x:c r="F32" s="2" t="n">
        <x:v>1</x:v>
      </x:c>
      <x:c r="G32" s="20"/>
      <x:c r="H32" s="2" t="str">
        <x:v>accepted output</x:v>
      </x:c>
      <x:c r="I32" s="20" t="str">
        <x:v>Ready</x:v>
      </x:c>
      <x:c r="J32" s="2" t="str">
        <x:v>16:45</x:v>
      </x:c>
      <x:c r="K32" s="28" t="str"/>
      <x:c r="L32" s="28" t="str"/>
      <x:c r="M32" s="20" t="str"/>
      <x:c r="N32" s="33"/>
      <x:c r="O32" s="20" t="str"/>
      <x:c r="P32" s="33"/>
      <x:c r="Q32" s="2" t="n">
        <x:f>IF(AND(AE32=1),1,0)</x:f>
        <x:v>0</x:v>
      </x:c>
      <x:c r="R32" s="2" t="str">
        <x:f>IF(AND(Q32=1,P32&lt;='Dashboard'!$B$5),IF(P32&gt;B32,"Accepted late","Accepted"),IF(B32&lt;'Dashboard'!$B$5,"Overdue",IF(I32="Blocked","Blocked",IF(B32='Dashboard'!$B$5,"Due today","Planned"))))</x:f>
        <x:v>Planned</x:v>
      </x:c>
      <x:c r="S32" s="26" t="str">
        <x:f>IF(I32="Accepted",IF(K32="","Add evidence",IF(O32="","Add reviewer",IF(P32="","Add accepted date",IF(AND(ISNUMBER(F32),COUNT(G32)=0),"Add actual quantity",IF(Q32=0,"Review target / date / dependencies","Complete"))))),IF(OR(I32="Blocked",I32="Deferred"),IF(L32="","Record blocker / reason",IF(M32="","Assign rescue owner",IF(N32="","Set recovery date","Recovery assigned"))),IF(B32&lt;'Dashboard'!$B$5,"Escalate and record recovery","Work to acceptance standard")))</x:f>
        <x:v>Work to acceptance standard</x:v>
      </x:c>
      <x:c r="T32" s="26" t="str"/>
      <x:c r="U32" s="26" t="str">
        <x:v>CQL record within 1 min; test data labeled and removed per procedure.</x:v>
      </x:c>
      <x:c r="V32" s="31" t="n">
        <x:v>2</x:v>
      </x:c>
      <x:c r="W32" s="26" t="str"/>
      <x:c r="X32" s="26" t="str">
        <x:v>DSI Reset PDF: lane responsibilities and dated runbook; dated allocation proposed for this tracker.</x:v>
      </x:c>
      <x:c r="Y32" s="30" t="n">
        <x:f>B32-WEEKDAY(B32,2)+1</x:f>
        <x:v>46321</x:v>
      </x:c>
      <x:c r="Z32" s="2" t="str">
        <x:v>checklist</x:v>
      </x:c>
      <x:c r="AA32" s="2" t="n">
        <x:f>IF(Q32=1,IF(P32&gt;B32,1,0),0)</x:f>
        <x:v>0</x:v>
      </x:c>
      <x:c r="AB32" s="2" t="n">
        <x:f>IF(AND(Q32=1,P32&lt;='Dashboard'!$B$5),0,MAX(0,'Dashboard'!$B$5-B32))</x:f>
        <x:v>0</x:v>
      </x:c>
      <x:c r="AC32" s="28" t="str"/>
      <x:c r="AD32" s="2" t="str">
        <x:f>IF(AND(ISNUMBER(F32),ISNUMBER(G32)),G32-F32,"")</x:f>
      </x:c>
      <x:c r="AE32" s="2" t="n">
        <x:f>IF(AND(I32="Accepted",K32&lt;&gt;"",O32&lt;&gt;"",ISNUMBER(P32),P32&gt;0,P32&lt;='Dashboard'!$B$5,IF(ISNUMBER(F32),ISNUMBER(G32),TRUE),IF(ISNUMBER(F32),G32&gt;=F32,TRUE)),1,0)</x:f>
        <x:v>0</x:v>
      </x:c>
    </x:row>
    <x:row r="33" ht="58" customHeight="1">
      <x:c r="A33" s="2" t="str">
        <x:v>T0027</x:v>
      </x:c>
      <x:c r="B33" s="30" t="n">
        <x:v>46321</x:v>
      </x:c>
      <x:c r="C33" s="2" t="str">
        <x:v>Dexter</x:v>
      </x:c>
      <x:c r="D33" s="2" t="str">
        <x:v>LinkedIn Execution</x:v>
      </x:c>
      <x:c r="E33" s="26" t="str">
        <x:v>Manual sequence/stage map and eligible profile batch</x:v>
      </x:c>
      <x:c r="F33" s="2" t="n">
        <x:v>1</x:v>
      </x:c>
      <x:c r="G33" s="20"/>
      <x:c r="H33" s="2" t="str">
        <x:v>accepted output</x:v>
      </x:c>
      <x:c r="I33" s="20" t="str">
        <x:v>Ready</x:v>
      </x:c>
      <x:c r="J33" s="2" t="str">
        <x:v>16:45</x:v>
      </x:c>
      <x:c r="K33" s="28" t="str"/>
      <x:c r="L33" s="28" t="str"/>
      <x:c r="M33" s="20" t="str"/>
      <x:c r="N33" s="33"/>
      <x:c r="O33" s="20" t="str"/>
      <x:c r="P33" s="33"/>
      <x:c r="Q33" s="2" t="n">
        <x:f>IF(AND(AE33=1),1,0)</x:f>
        <x:v>0</x:v>
      </x:c>
      <x:c r="R33" s="2" t="str">
        <x:f>IF(AND(Q33=1,P33&lt;='Dashboard'!$B$5),IF(P33&gt;B33,"Accepted late","Accepted"),IF(B33&lt;'Dashboard'!$B$5,"Overdue",IF(I33="Blocked","Blocked",IF(B33='Dashboard'!$B$5,"Due today","Planned"))))</x:f>
        <x:v>Planned</x:v>
      </x:c>
      <x:c r="S33" s="26" t="str">
        <x:f>IF(I33="Accepted",IF(K33="","Add evidence",IF(O33="","Add reviewer",IF(P33="","Add accepted date",IF(AND(ISNUMBER(F33),COUNT(G33)=0),"Add actual quantity",IF(Q33=0,"Review target / date / dependencies","Complete"))))),IF(OR(I33="Blocked",I33="Deferred"),IF(L33="","Record blocker / reason",IF(M33="","Assign rescue owner",IF(N33="","Set recovery date","Recovery assigned"))),IF(B33&lt;'Dashboard'!$B$5,"Escalate and record recovery","Work to acceptance standard")))</x:f>
        <x:v>Work to acceptance standard</x:v>
      </x:c>
      <x:c r="T33" s="26" t="str"/>
      <x:c r="U33" s="26" t="str">
        <x:v>Map to same CQL pipeline; no separate second pipeline.</x:v>
      </x:c>
      <x:c r="V33" s="31" t="n">
        <x:v>3</x:v>
      </x:c>
      <x:c r="W33" s="26" t="str"/>
      <x:c r="X33" s="26" t="str">
        <x:v>DSI Reset PDF: lane responsibilities and dated runbook; dated allocation proposed for this tracker.</x:v>
      </x:c>
      <x:c r="Y33" s="30" t="n">
        <x:f>B33-WEEKDAY(B33,2)+1</x:f>
        <x:v>46321</x:v>
      </x:c>
      <x:c r="Z33" s="2" t="str">
        <x:v>checklist</x:v>
      </x:c>
      <x:c r="AA33" s="2" t="n">
        <x:f>IF(Q33=1,IF(P33&gt;B33,1,0),0)</x:f>
        <x:v>0</x:v>
      </x:c>
      <x:c r="AB33" s="2" t="n">
        <x:f>IF(AND(Q33=1,P33&lt;='Dashboard'!$B$5),0,MAX(0,'Dashboard'!$B$5-B33))</x:f>
        <x:v>0</x:v>
      </x:c>
      <x:c r="AC33" s="28" t="str"/>
      <x:c r="AD33" s="2" t="str">
        <x:f>IF(AND(ISNUMBER(F33),ISNUMBER(G33)),G33-F33,"")</x:f>
      </x:c>
      <x:c r="AE33" s="2" t="n">
        <x:f>IF(AND(I33="Accepted",K33&lt;&gt;"",O33&lt;&gt;"",ISNUMBER(P33),P33&gt;0,P33&lt;='Dashboard'!$B$5,IF(ISNUMBER(F33),ISNUMBER(G33),TRUE),IF(ISNUMBER(F33),G33&gt;=F33,TRUE)),1,0)</x:f>
        <x:v>0</x:v>
      </x:c>
    </x:row>
    <x:row r="34" ht="58" customHeight="1">
      <x:c r="A34" s="2" t="str">
        <x:v>T0028</x:v>
      </x:c>
      <x:c r="B34" s="30" t="n">
        <x:v>46322</x:v>
      </x:c>
      <x:c r="C34" s="2" t="str">
        <x:v>Wyline</x:v>
      </x:c>
      <x:c r="D34" s="2" t="str">
        <x:v>Program Director</x:v>
      </x:c>
      <x:c r="E34" s="26" t="str">
        <x:v>30 min reset minutes plus approval register. Confirm internally funded recovery capacity and any separate client spending approval.</x:v>
      </x:c>
      <x:c r="F34" s="2" t="n">
        <x:v>1</x:v>
      </x:c>
      <x:c r="G34" s="20"/>
      <x:c r="H34" s="2" t="str">
        <x:v>accepted output</x:v>
      </x:c>
      <x:c r="I34" s="20" t="str">
        <x:v>Ready</x:v>
      </x:c>
      <x:c r="J34" s="2" t="str">
        <x:v>16:45</x:v>
      </x:c>
      <x:c r="K34" s="28" t="str"/>
      <x:c r="L34" s="28" t="str"/>
      <x:c r="M34" s="20" t="str"/>
      <x:c r="N34" s="33"/>
      <x:c r="O34" s="20" t="str"/>
      <x:c r="P34" s="33"/>
      <x:c r="Q34" s="2" t="n">
        <x:f>IF(AND(AE34=1),1,0)</x:f>
        <x:v>0</x:v>
      </x:c>
      <x:c r="R34" s="2" t="str">
        <x:f>IF(AND(Q34=1,P34&lt;='Dashboard'!$B$5),IF(P34&gt;B34,"Accepted late","Accepted"),IF(B34&lt;'Dashboard'!$B$5,"Overdue",IF(I34="Blocked","Blocked",IF(B34='Dashboard'!$B$5,"Due today","Planned"))))</x:f>
        <x:v>Planned</x:v>
      </x:c>
      <x:c r="S34" s="26" t="str">
        <x:f>IF(I34="Accepted",IF(K34="","Add evidence",IF(O34="","Add reviewer",IF(P34="","Add accepted date",IF(AND(ISNUMBER(F34),COUNT(G34)=0),"Add actual quantity",IF(Q34=0,"Review target / date / dependencies","Complete"))))),IF(OR(I34="Blocked",I34="Deferred"),IF(L34="","Record blocker / reason",IF(M34="","Assign rescue owner",IF(N34="","Set recovery date","Recovery assigned"))),IF(B34&lt;'Dashboard'!$B$5,"Escalate and record recovery","Work to acceptance standard")))</x:f>
        <x:v>Work to acceptance standard</x:v>
      </x:c>
      <x:c r="T34" s="26" t="str"/>
      <x:c r="U34" s="26" t="str">
        <x:v>Both sender consents; terms; calendar; trial capacity; proof; referrals; ads yes/no; page access; each missing item held.</x:v>
      </x:c>
      <x:c r="V34" s="31" t="n">
        <x:v>3</x:v>
      </x:c>
      <x:c r="W34" s="26" t="str"/>
      <x:c r="X34" s="26" t="str">
        <x:v>DSI Reset PDF: lane responsibilities and dated runbook; dated allocation proposed for this tracker.</x:v>
      </x:c>
      <x:c r="Y34" s="30" t="n">
        <x:f>B34-WEEKDAY(B34,2)+1</x:f>
        <x:v>46321</x:v>
      </x:c>
      <x:c r="Z34" s="2" t="str">
        <x:v>checklist</x:v>
      </x:c>
      <x:c r="AA34" s="2" t="n">
        <x:f>IF(Q34=1,IF(P34&gt;B34,1,0),0)</x:f>
        <x:v>0</x:v>
      </x:c>
      <x:c r="AB34" s="2" t="n">
        <x:f>IF(AND(Q34=1,P34&lt;='Dashboard'!$B$5),0,MAX(0,'Dashboard'!$B$5-B34))</x:f>
        <x:v>0</x:v>
      </x:c>
      <x:c r="AC34" s="28" t="str"/>
      <x:c r="AD34" s="2" t="str">
        <x:f>IF(AND(ISNUMBER(F34),ISNUMBER(G34)),G34-F34,"")</x:f>
      </x:c>
      <x:c r="AE34" s="2" t="n">
        <x:f>IF(AND(I34="Accepted",K34&lt;&gt;"",O34&lt;&gt;"",ISNUMBER(P34),P34&gt;0,P34&lt;='Dashboard'!$B$5,IF(ISNUMBER(F34),ISNUMBER(G34),TRUE),IF(ISNUMBER(F34),G34&gt;=F34,TRUE)),1,0)</x:f>
        <x:v>0</x:v>
      </x:c>
    </x:row>
    <x:row r="35" ht="58" customHeight="1">
      <x:c r="A35" s="2" t="str">
        <x:v>T0029</x:v>
      </x:c>
      <x:c r="B35" s="30" t="n">
        <x:v>46322</x:v>
      </x:c>
      <x:c r="C35" s="2" t="str">
        <x:v>Kenneth</x:v>
      </x:c>
      <x:c r="D35" s="2" t="str">
        <x:v>Message Orchestrator</x:v>
      </x:c>
      <x:c r="E35" s="26" t="str">
        <x:v>Updated voice; 10 replies; 8 objections; proof request</x:v>
      </x:c>
      <x:c r="F35" s="2" t="n">
        <x:v>1</x:v>
      </x:c>
      <x:c r="G35" s="20"/>
      <x:c r="H35" s="2" t="str">
        <x:v>accepted output</x:v>
      </x:c>
      <x:c r="I35" s="20" t="str">
        <x:v>Ready</x:v>
      </x:c>
      <x:c r="J35" s="2" t="str">
        <x:v>16:45</x:v>
      </x:c>
      <x:c r="K35" s="28" t="str"/>
      <x:c r="L35" s="28" t="str"/>
      <x:c r="M35" s="20" t="str"/>
      <x:c r="N35" s="33"/>
      <x:c r="O35" s="20" t="str"/>
      <x:c r="P35" s="33"/>
      <x:c r="Q35" s="2" t="n">
        <x:f>IF(AND(AE35=1),1,0)</x:f>
        <x:v>0</x:v>
      </x:c>
      <x:c r="R35" s="2" t="str">
        <x:f>IF(AND(Q35=1,P35&lt;='Dashboard'!$B$5),IF(P35&gt;B35,"Accepted late","Accepted"),IF(B35&lt;'Dashboard'!$B$5,"Overdue",IF(I35="Blocked","Blocked",IF(B35='Dashboard'!$B$5,"Due today","Planned"))))</x:f>
        <x:v>Planned</x:v>
      </x:c>
      <x:c r="S35" s="26" t="str">
        <x:f>IF(I35="Accepted",IF(K35="","Add evidence",IF(O35="","Add reviewer",IF(P35="","Add accepted date",IF(AND(ISNUMBER(F35),COUNT(G35)=0),"Add actual quantity",IF(Q35=0,"Review target / date / dependencies","Complete"))))),IF(OR(I35="Blocked",I35="Deferred"),IF(L35="","Record blocker / reason",IF(M35="","Assign rescue owner",IF(N35="","Set recovery date","Recovery assigned"))),IF(B35&lt;'Dashboard'!$B$5,"Escalate and record recovery","Work to acceptance standard")))</x:f>
        <x:v>Work to acceptance standard</x:v>
      </x:c>
      <x:c r="T35" s="26" t="str"/>
      <x:c r="U35" s="26" t="str">
        <x:v>Replies&lt;80 words; authentic Nic voice; no unsupported promises.</x:v>
      </x:c>
      <x:c r="V35" s="31" t="n">
        <x:v>2.5</x:v>
      </x:c>
      <x:c r="W35" s="26" t="str"/>
      <x:c r="X35" s="26" t="str">
        <x:v>DSI Reset PDF: lane responsibilities and dated runbook; dated allocation proposed for this tracker.</x:v>
      </x:c>
      <x:c r="Y35" s="30" t="n">
        <x:f>B35-WEEKDAY(B35,2)+1</x:f>
        <x:v>46321</x:v>
      </x:c>
      <x:c r="Z35" s="2" t="str">
        <x:v>checklist</x:v>
      </x:c>
      <x:c r="AA35" s="2" t="n">
        <x:f>IF(Q35=1,IF(P35&gt;B35,1,0),0)</x:f>
        <x:v>0</x:v>
      </x:c>
      <x:c r="AB35" s="2" t="n">
        <x:f>IF(AND(Q35=1,P35&lt;='Dashboard'!$B$5),0,MAX(0,'Dashboard'!$B$5-B35))</x:f>
        <x:v>0</x:v>
      </x:c>
      <x:c r="AC35" s="28" t="str"/>
      <x:c r="AD35" s="2" t="str">
        <x:f>IF(AND(ISNUMBER(F35),ISNUMBER(G35)),G35-F35,"")</x:f>
      </x:c>
      <x:c r="AE35" s="2" t="n">
        <x:f>IF(AND(I35="Accepted",K35&lt;&gt;"",O35&lt;&gt;"",ISNUMBER(P35),P35&gt;0,P35&lt;='Dashboard'!$B$5,IF(ISNUMBER(F35),ISNUMBER(G35),TRUE),IF(ISNUMBER(F35),G35&gt;=F35,TRUE)),1,0)</x:f>
        <x:v>0</x:v>
      </x:c>
    </x:row>
    <x:row r="36" ht="58" customHeight="1">
      <x:c r="A36" s="2" t="str">
        <x:v>T0030</x:v>
      </x:c>
      <x:c r="B36" s="30" t="n">
        <x:v>46322</x:v>
      </x:c>
      <x:c r="C36" s="2" t="str">
        <x:v>Joey</x:v>
      </x:c>
      <x:c r="D36" s="2" t="str">
        <x:v>Data Orchestrator</x:v>
      </x:c>
      <x:c r="E36" s="26" t="str">
        <x:v>5 Nic+5 Maseeha signatures and domain redirects. Planned list output today: 50 new verified contacts; cumulative ready pool 150.</x:v>
      </x:c>
      <x:c r="F36" s="2" t="n">
        <x:v>50</x:v>
      </x:c>
      <x:c r="G36" s="20"/>
      <x:c r="H36" s="2" t="str">
        <x:v>new verified contacts; proposed daily pace</x:v>
      </x:c>
      <x:c r="I36" s="20" t="str">
        <x:v>Ready</x:v>
      </x:c>
      <x:c r="J36" s="2" t="str">
        <x:v>16:45</x:v>
      </x:c>
      <x:c r="K36" s="28" t="str"/>
      <x:c r="L36" s="28" t="str"/>
      <x:c r="M36" s="20" t="str"/>
      <x:c r="N36" s="33"/>
      <x:c r="O36" s="20" t="str"/>
      <x:c r="P36" s="33"/>
      <x:c r="Q36" s="2" t="n">
        <x:f>IF(AND(AE36=1),1,0)</x:f>
        <x:v>0</x:v>
      </x:c>
      <x:c r="R36" s="2" t="str">
        <x:f>IF(AND(Q36=1,P36&lt;='Dashboard'!$B$5),IF(P36&gt;B36,"Accepted late","Accepted"),IF(B36&lt;'Dashboard'!$B$5,"Overdue",IF(I36="Blocked","Blocked",IF(B36='Dashboard'!$B$5,"Due today","Planned"))))</x:f>
        <x:v>Planned</x:v>
      </x:c>
      <x:c r="S36" s="26" t="str">
        <x:f>IF(I36="Accepted",IF(K36="","Add evidence",IF(O36="","Add reviewer",IF(P36="","Add accepted date",IF(AND(ISNUMBER(F36),COUNT(G36)=0),"Add actual quantity",IF(Q36=0,"Review target / date / dependencies","Complete"))))),IF(OR(I36="Blocked",I36="Deferred"),IF(L36="","Record blocker / reason",IF(M36="","Assign rescue owner",IF(N36="","Set recovery date","Recovery assigned"))),IF(B36&lt;'Dashboard'!$B$5,"Escalate and record recovery","Work to acceptance standard")))</x:f>
        <x:v>Work to acceptance standard</x:v>
      </x:c>
      <x:c r="T36" s="26" t="str"/>
      <x:c r="U36" s="26" t="str">
        <x:v>Only after respective consent; all 10 identities genuine; 15/mailbox/day ceiling and warm-up unchanged.</x:v>
      </x:c>
      <x:c r="V36" s="31" t="n">
        <x:v>3</x:v>
      </x:c>
      <x:c r="W36" s="26" t="str"/>
      <x:c r="X36" s="26" t="str">
        <x:v>DSI Reset PDF: lane responsibilities and dated runbook; dated allocation proposed for this tracker.</x:v>
      </x:c>
      <x:c r="Y36" s="30" t="n">
        <x:f>B36-WEEKDAY(B36,2)+1</x:f>
        <x:v>46321</x:v>
      </x:c>
      <x:c r="Z36" s="2" t="str">
        <x:v>goal</x:v>
      </x:c>
      <x:c r="AA36" s="2" t="n">
        <x:f>IF(Q36=1,IF(P36&gt;B36,1,0),0)</x:f>
        <x:v>0</x:v>
      </x:c>
      <x:c r="AB36" s="2" t="n">
        <x:f>IF(AND(Q36=1,P36&lt;='Dashboard'!$B$5),0,MAX(0,'Dashboard'!$B$5-B36))</x:f>
        <x:v>0</x:v>
      </x:c>
      <x:c r="AC36" s="28" t="str"/>
      <x:c r="AD36" s="2" t="str">
        <x:f>IF(AND(ISNUMBER(F36),ISNUMBER(G36)),G36-F36,"")</x:f>
      </x:c>
      <x:c r="AE36" s="2" t="n">
        <x:f>IF(AND(I36="Accepted",K36&lt;&gt;"",O36&lt;&gt;"",ISNUMBER(P36),P36&gt;0,P36&lt;='Dashboard'!$B$5,IF(ISNUMBER(F36),ISNUMBER(G36),TRUE),IF(ISNUMBER(F36),G36&gt;=F36,TRUE)),1,0)</x:f>
        <x:v>0</x:v>
      </x:c>
    </x:row>
    <x:row r="37" ht="58" customHeight="1">
      <x:c r="A37" s="2" t="str">
        <x:v>T0031</x:v>
      </x:c>
      <x:c r="B37" s="30" t="n">
        <x:v>46322</x:v>
      </x:c>
      <x:c r="C37" s="2" t="str">
        <x:v>Nova</x:v>
      </x:c>
      <x:c r="D37" s="2" t="str">
        <x:v>Conversion Orchestrator</x:v>
      </x:c>
      <x:c r="E37" s="26" t="str">
        <x:v>3 role-plays per setter plus coaching log</x:v>
      </x:c>
      <x:c r="F37" s="2" t="n">
        <x:v>1</x:v>
      </x:c>
      <x:c r="G37" s="20"/>
      <x:c r="H37" s="2" t="str">
        <x:v>accepted output</x:v>
      </x:c>
      <x:c r="I37" s="20" t="str">
        <x:v>Ready</x:v>
      </x:c>
      <x:c r="J37" s="2" t="str">
        <x:v>16:45</x:v>
      </x:c>
      <x:c r="K37" s="28" t="str"/>
      <x:c r="L37" s="28" t="str"/>
      <x:c r="M37" s="20" t="str"/>
      <x:c r="N37" s="33"/>
      <x:c r="O37" s="20" t="str"/>
      <x:c r="P37" s="33"/>
      <x:c r="Q37" s="2" t="n">
        <x:f>IF(AND(AE37=1),1,0)</x:f>
        <x:v>0</x:v>
      </x:c>
      <x:c r="R37" s="2" t="str">
        <x:f>IF(AND(Q37=1,P37&lt;='Dashboard'!$B$5),IF(P37&gt;B37,"Accepted late","Accepted"),IF(B37&lt;'Dashboard'!$B$5,"Overdue",IF(I37="Blocked","Blocked",IF(B37='Dashboard'!$B$5,"Due today","Planned"))))</x:f>
        <x:v>Planned</x:v>
      </x:c>
      <x:c r="S37" s="26" t="str">
        <x:f>IF(I37="Accepted",IF(K37="","Add evidence",IF(O37="","Add reviewer",IF(P37="","Add accepted date",IF(AND(ISNUMBER(F37),COUNT(G37)=0),"Add actual quantity",IF(Q37=0,"Review target / date / dependencies","Complete"))))),IF(OR(I37="Blocked",I37="Deferred"),IF(L37="","Record blocker / reason",IF(M37="","Assign rescue owner",IF(N37="","Set recovery date","Recovery assigned"))),IF(B37&lt;'Dashboard'!$B$5,"Escalate and record recovery","Work to acceptance standard")))</x:f>
        <x:v>Work to acceptance standard</x:v>
      </x:c>
      <x:c r="T37" s="26" t="str"/>
      <x:c r="U37" s="26" t="str">
        <x:v>Both pass booking, objection and escalation; gap receives repeat test.</x:v>
      </x:c>
      <x:c r="V37" s="31" t="n">
        <x:v>4</x:v>
      </x:c>
      <x:c r="W37" s="26" t="str"/>
      <x:c r="X37" s="26" t="str">
        <x:v>DSI Reset PDF: lane responsibilities and dated runbook; dated allocation proposed for this tracker.</x:v>
      </x:c>
      <x:c r="Y37" s="30" t="n">
        <x:f>B37-WEEKDAY(B37,2)+1</x:f>
        <x:v>46321</x:v>
      </x:c>
      <x:c r="Z37" s="2" t="str">
        <x:v>checklist</x:v>
      </x:c>
      <x:c r="AA37" s="2" t="n">
        <x:f>IF(Q37=1,IF(P37&gt;B37,1,0),0)</x:f>
        <x:v>0</x:v>
      </x:c>
      <x:c r="AB37" s="2" t="n">
        <x:f>IF(AND(Q37=1,P37&lt;='Dashboard'!$B$5),0,MAX(0,'Dashboard'!$B$5-B37))</x:f>
        <x:v>0</x:v>
      </x:c>
      <x:c r="AC37" s="28" t="str"/>
      <x:c r="AD37" s="2" t="str">
        <x:f>IF(AND(ISNUMBER(F37),ISNUMBER(G37)),G37-F37,"")</x:f>
      </x:c>
      <x:c r="AE37" s="2" t="n">
        <x:f>IF(AND(I37="Accepted",K37&lt;&gt;"",O37&lt;&gt;"",ISNUMBER(P37),P37&gt;0,P37&lt;='Dashboard'!$B$5,IF(ISNUMBER(F37),ISNUMBER(G37),TRUE),IF(ISNUMBER(F37),G37&gt;=F37,TRUE)),1,0)</x:f>
        <x:v>0</x:v>
      </x:c>
    </x:row>
    <x:row r="38" ht="58" customHeight="1">
      <x:c r="A38" s="2" t="str">
        <x:v>T0032</x:v>
      </x:c>
      <x:c r="B38" s="30" t="n">
        <x:v>46322</x:v>
      </x:c>
      <x:c r="C38" s="2" t="str">
        <x:v>Emman</x:v>
      </x:c>
      <x:c r="D38" s="2" t="str">
        <x:v>AI Build Orchestrator</x:v>
      </x:c>
      <x:c r="E38" s="26" t="str">
        <x:v>8 real+30 synthetic replies across 8 categories</x:v>
      </x:c>
      <x:c r="F38" s="2" t="n">
        <x:v>1</x:v>
      </x:c>
      <x:c r="G38" s="20"/>
      <x:c r="H38" s="2" t="str">
        <x:v>accepted output</x:v>
      </x:c>
      <x:c r="I38" s="20" t="str">
        <x:v>Ready</x:v>
      </x:c>
      <x:c r="J38" s="2" t="str">
        <x:v>16:45</x:v>
      </x:c>
      <x:c r="K38" s="28" t="str"/>
      <x:c r="L38" s="28" t="str"/>
      <x:c r="M38" s="20" t="str"/>
      <x:c r="N38" s="33"/>
      <x:c r="O38" s="20" t="str"/>
      <x:c r="P38" s="33"/>
      <x:c r="Q38" s="2" t="n">
        <x:f>IF(AND(AE38=1),1,0)</x:f>
        <x:v>0</x:v>
      </x:c>
      <x:c r="R38" s="2" t="str">
        <x:f>IF(AND(Q38=1,P38&lt;='Dashboard'!$B$5),IF(P38&gt;B38,"Accepted late","Accepted"),IF(B38&lt;'Dashboard'!$B$5,"Overdue",IF(I38="Blocked","Blocked",IF(B38='Dashboard'!$B$5,"Due today","Planned"))))</x:f>
        <x:v>Planned</x:v>
      </x:c>
      <x:c r="S38" s="26" t="str">
        <x:f>IF(I38="Accepted",IF(K38="","Add evidence",IF(O38="","Add reviewer",IF(P38="","Add accepted date",IF(AND(ISNUMBER(F38),COUNT(G38)=0),"Add actual quantity",IF(Q38=0,"Review target / date / dependencies","Complete"))))),IF(OR(I38="Blocked",I38="Deferred"),IF(L38="","Record blocker / reason",IF(M38="","Assign rescue owner",IF(N38="","Set recovery date","Recovery assigned"))),IF(B38&lt;'Dashboard'!$B$5,"Escalate and record recovery","Work to acceptance standard")))</x:f>
        <x:v>Work to acceptance standard</x:v>
      </x:c>
      <x:c r="T38" s="26" t="str"/>
      <x:c r="U38" s="26" t="str">
        <x:v>Expected labels, escalation and no-send behavior explicit.</x:v>
      </x:c>
      <x:c r="V38" s="31" t="n">
        <x:v>4</x:v>
      </x:c>
      <x:c r="W38" s="26" t="str"/>
      <x:c r="X38" s="26" t="str">
        <x:v>DSI Reset PDF: lane responsibilities and dated runbook; dated allocation proposed for this tracker.</x:v>
      </x:c>
      <x:c r="Y38" s="30" t="n">
        <x:f>B38-WEEKDAY(B38,2)+1</x:f>
        <x:v>46321</x:v>
      </x:c>
      <x:c r="Z38" s="2" t="str">
        <x:v>checklist</x:v>
      </x:c>
      <x:c r="AA38" s="2" t="n">
        <x:f>IF(Q38=1,IF(P38&gt;B38,1,0),0)</x:f>
        <x:v>0</x:v>
      </x:c>
      <x:c r="AB38" s="2" t="n">
        <x:f>IF(AND(Q38=1,P38&lt;='Dashboard'!$B$5),0,MAX(0,'Dashboard'!$B$5-B38))</x:f>
        <x:v>0</x:v>
      </x:c>
      <x:c r="AC38" s="28" t="str"/>
      <x:c r="AD38" s="2" t="str">
        <x:f>IF(AND(ISNUMBER(F38),ISNUMBER(G38)),G38-F38,"")</x:f>
      </x:c>
      <x:c r="AE38" s="2" t="n">
        <x:f>IF(AND(I38="Accepted",K38&lt;&gt;"",O38&lt;&gt;"",ISNUMBER(P38),P38&gt;0,P38&lt;='Dashboard'!$B$5,IF(ISNUMBER(F38),ISNUMBER(G38),TRUE),IF(ISNUMBER(F38),G38&gt;=F38,TRUE)),1,0)</x:f>
        <x:v>0</x:v>
      </x:c>
    </x:row>
    <x:row r="39" ht="58" customHeight="1">
      <x:c r="A39" s="2" t="str">
        <x:v>T0033</x:v>
      </x:c>
      <x:c r="B39" s="30" t="n">
        <x:v>46322</x:v>
      </x:c>
      <x:c r="C39" s="2" t="str">
        <x:v>Ludwig</x:v>
      </x:c>
      <x:c r="D39" s="2" t="str">
        <x:v>Integration Engineer</x:v>
      </x:c>
      <x:c r="E39" s="26" t="str">
        <x:v>Tested endpoint and timeout/retry handling</x:v>
      </x:c>
      <x:c r="F39" s="2" t="n">
        <x:v>1</x:v>
      </x:c>
      <x:c r="G39" s="20"/>
      <x:c r="H39" s="2" t="str">
        <x:v>accepted output</x:v>
      </x:c>
      <x:c r="I39" s="20" t="str">
        <x:v>Ready</x:v>
      </x:c>
      <x:c r="J39" s="2" t="str">
        <x:v>16:45</x:v>
      </x:c>
      <x:c r="K39" s="28" t="str"/>
      <x:c r="L39" s="28" t="str"/>
      <x:c r="M39" s="20" t="str"/>
      <x:c r="N39" s="33"/>
      <x:c r="O39" s="20" t="str"/>
      <x:c r="P39" s="33"/>
      <x:c r="Q39" s="2" t="n">
        <x:f>IF(AND(AE39=1),1,0)</x:f>
        <x:v>0</x:v>
      </x:c>
      <x:c r="R39" s="2" t="str">
        <x:f>IF(AND(Q39=1,P39&lt;='Dashboard'!$B$5),IF(P39&gt;B39,"Accepted late","Accepted"),IF(B39&lt;'Dashboard'!$B$5,"Overdue",IF(I39="Blocked","Blocked",IF(B39='Dashboard'!$B$5,"Due today","Planned"))))</x:f>
        <x:v>Planned</x:v>
      </x:c>
      <x:c r="S39" s="26" t="str">
        <x:f>IF(I39="Accepted",IF(K39="","Add evidence",IF(O39="","Add reviewer",IF(P39="","Add accepted date",IF(AND(ISNUMBER(F39),COUNT(G39)=0),"Add actual quantity",IF(Q39=0,"Review target / date / dependencies","Complete"))))),IF(OR(I39="Blocked",I39="Deferred"),IF(L39="","Record blocker / reason",IF(M39="","Assign rescue owner",IF(N39="","Set recovery date","Recovery assigned"))),IF(B39&lt;'Dashboard'!$B$5,"Escalate and record recovery","Work to acceptance standard")))</x:f>
        <x:v>Work to acceptance standard</x:v>
      </x:c>
      <x:c r="T39" s="26" t="str"/>
      <x:c r="U39" s="26" t="str">
        <x:v>Under 10 sec expected endpoint; all 38 results auditable.</x:v>
      </x:c>
      <x:c r="V39" s="31" t="n">
        <x:v>2</x:v>
      </x:c>
      <x:c r="W39" s="26" t="str"/>
      <x:c r="X39" s="26" t="str">
        <x:v>DSI Reset PDF: lane responsibilities and dated runbook; dated allocation proposed for this tracker.</x:v>
      </x:c>
      <x:c r="Y39" s="30" t="n">
        <x:f>B39-WEEKDAY(B39,2)+1</x:f>
        <x:v>46321</x:v>
      </x:c>
      <x:c r="Z39" s="2" t="str">
        <x:v>checklist</x:v>
      </x:c>
      <x:c r="AA39" s="2" t="n">
        <x:f>IF(Q39=1,IF(P39&gt;B39,1,0),0)</x:f>
        <x:v>0</x:v>
      </x:c>
      <x:c r="AB39" s="2" t="n">
        <x:f>IF(AND(Q39=1,P39&lt;='Dashboard'!$B$5),0,MAX(0,'Dashboard'!$B$5-B39))</x:f>
        <x:v>0</x:v>
      </x:c>
      <x:c r="AC39" s="28" t="str"/>
      <x:c r="AD39" s="2" t="str">
        <x:f>IF(AND(ISNUMBER(F39),ISNUMBER(G39)),G39-F39,"")</x:f>
      </x:c>
      <x:c r="AE39" s="2" t="n">
        <x:f>IF(AND(I39="Accepted",K39&lt;&gt;"",O39&lt;&gt;"",ISNUMBER(P39),P39&gt;0,P39&lt;='Dashboard'!$B$5,IF(ISNUMBER(F39),ISNUMBER(G39),TRUE),IF(ISNUMBER(F39),G39&gt;=F39,TRUE)),1,0)</x:f>
        <x:v>0</x:v>
      </x:c>
    </x:row>
    <x:row r="40" ht="58" customHeight="1">
      <x:c r="A40" s="2" t="str">
        <x:v>T0034</x:v>
      </x:c>
      <x:c r="B40" s="30" t="n">
        <x:v>46322</x:v>
      </x:c>
      <x:c r="C40" s="2" t="str">
        <x:v>Alvin</x:v>
      </x:c>
      <x:c r="D40" s="2" t="str">
        <x:v>CQL/GHL Implementation</x:v>
      </x:c>
      <x:c r="E40" s="26" t="str">
        <x:v>Nic-approved slots; Maseeha trial contact; source/referrer fields</x:v>
      </x:c>
      <x:c r="F40" s="2" t="n">
        <x:v>1</x:v>
      </x:c>
      <x:c r="G40" s="20"/>
      <x:c r="H40" s="2" t="str">
        <x:v>accepted output</x:v>
      </x:c>
      <x:c r="I40" s="20" t="str">
        <x:v>Ready</x:v>
      </x:c>
      <x:c r="J40" s="2" t="str">
        <x:v>16:45</x:v>
      </x:c>
      <x:c r="K40" s="28" t="str"/>
      <x:c r="L40" s="28" t="str"/>
      <x:c r="M40" s="20" t="str"/>
      <x:c r="N40" s="33"/>
      <x:c r="O40" s="20" t="str"/>
      <x:c r="P40" s="33"/>
      <x:c r="Q40" s="2" t="n">
        <x:f>IF(AND(AE40=1),1,0)</x:f>
        <x:v>0</x:v>
      </x:c>
      <x:c r="R40" s="2" t="str">
        <x:f>IF(AND(Q40=1,P40&lt;='Dashboard'!$B$5),IF(P40&gt;B40,"Accepted late","Accepted"),IF(B40&lt;'Dashboard'!$B$5,"Overdue",IF(I40="Blocked","Blocked",IF(B40='Dashboard'!$B$5,"Due today","Planned"))))</x:f>
        <x:v>Planned</x:v>
      </x:c>
      <x:c r="S40" s="26" t="str">
        <x:f>IF(I40="Accepted",IF(K40="","Add evidence",IF(O40="","Add reviewer",IF(P40="","Add accepted date",IF(AND(ISNUMBER(F40),COUNT(G40)=0),"Add actual quantity",IF(Q40=0,"Review target / date / dependencies","Complete"))))),IF(OR(I40="Blocked",I40="Deferred"),IF(L40="","Record blocker / reason",IF(M40="","Assign rescue owner",IF(N40="","Set recovery date","Recovery assigned"))),IF(B40&lt;'Dashboard'!$B$5,"Escalate and record recovery","Work to acceptance standard")))</x:f>
        <x:v>Work to acceptance standard</x:v>
      </x:c>
      <x:c r="T40" s="26" t="str"/>
      <x:c r="U40" s="26" t="str">
        <x:v>No double booking; intro length approved; calendar test in CQL.</x:v>
      </x:c>
      <x:c r="V40" s="31" t="n">
        <x:v>2</x:v>
      </x:c>
      <x:c r="W40" s="26" t="str"/>
      <x:c r="X40" s="26" t="str">
        <x:v>DSI Reset PDF: lane responsibilities and dated runbook; dated allocation proposed for this tracker.</x:v>
      </x:c>
      <x:c r="Y40" s="30" t="n">
        <x:f>B40-WEEKDAY(B40,2)+1</x:f>
        <x:v>46321</x:v>
      </x:c>
      <x:c r="Z40" s="2" t="str">
        <x:v>checklist</x:v>
      </x:c>
      <x:c r="AA40" s="2" t="n">
        <x:f>IF(Q40=1,IF(P40&gt;B40,1,0),0)</x:f>
        <x:v>0</x:v>
      </x:c>
      <x:c r="AB40" s="2" t="n">
        <x:f>IF(AND(Q40=1,P40&lt;='Dashboard'!$B$5),0,MAX(0,'Dashboard'!$B$5-B40))</x:f>
        <x:v>0</x:v>
      </x:c>
      <x:c r="AC40" s="28" t="str"/>
      <x:c r="AD40" s="2" t="str">
        <x:f>IF(AND(ISNUMBER(F40),ISNUMBER(G40)),G40-F40,"")</x:f>
      </x:c>
      <x:c r="AE40" s="2" t="n">
        <x:f>IF(AND(I40="Accepted",K40&lt;&gt;"",O40&lt;&gt;"",ISNUMBER(P40),P40&gt;0,P40&lt;='Dashboard'!$B$5,IF(ISNUMBER(F40),ISNUMBER(G40),TRUE),IF(ISNUMBER(F40),G40&gt;=F40,TRUE)),1,0)</x:f>
        <x:v>0</x:v>
      </x:c>
    </x:row>
    <x:row r="41" ht="58" customHeight="1">
      <x:c r="A41" s="2" t="str">
        <x:v>T0035</x:v>
      </x:c>
      <x:c r="B41" s="30" t="n">
        <x:v>46322</x:v>
      </x:c>
      <x:c r="C41" s="2" t="str">
        <x:v>Brian</x:v>
      </x:c>
      <x:c r="D41" s="2" t="str">
        <x:v>Web and Tracking</x:v>
      </x:c>
      <x:c r="E41" s="26" t="str">
        <x:v>Access confirmed or explicit blocker; 3 proof positions</x:v>
      </x:c>
      <x:c r="F41" s="2" t="n">
        <x:v>1</x:v>
      </x:c>
      <x:c r="G41" s="20"/>
      <x:c r="H41" s="2" t="str">
        <x:v>accepted output</x:v>
      </x:c>
      <x:c r="I41" s="20" t="str">
        <x:v>Ready</x:v>
      </x:c>
      <x:c r="J41" s="2" t="str">
        <x:v>16:45</x:v>
      </x:c>
      <x:c r="K41" s="28" t="str"/>
      <x:c r="L41" s="28" t="str"/>
      <x:c r="M41" s="20" t="str"/>
      <x:c r="N41" s="33"/>
      <x:c r="O41" s="20" t="str"/>
      <x:c r="P41" s="33"/>
      <x:c r="Q41" s="2" t="n">
        <x:f>IF(AND(AE41=1),1,0)</x:f>
        <x:v>0</x:v>
      </x:c>
      <x:c r="R41" s="2" t="str">
        <x:f>IF(AND(Q41=1,P41&lt;='Dashboard'!$B$5),IF(P41&gt;B41,"Accepted late","Accepted"),IF(B41&lt;'Dashboard'!$B$5,"Overdue",IF(I41="Blocked","Blocked",IF(B41='Dashboard'!$B$5,"Due today","Planned"))))</x:f>
        <x:v>Planned</x:v>
      </x:c>
      <x:c r="S41" s="26" t="str">
        <x:f>IF(I41="Accepted",IF(K41="","Add evidence",IF(O41="","Add reviewer",IF(P41="","Add accepted date",IF(AND(ISNUMBER(F41),COUNT(G41)=0),"Add actual quantity",IF(Q41=0,"Review target / date / dependencies","Complete"))))),IF(OR(I41="Blocked",I41="Deferred"),IF(L41="","Record blocker / reason",IF(M41="","Assign rescue owner",IF(N41="","Set recovery date","Recovery assigned"))),IF(B41&lt;'Dashboard'!$B$5,"Escalate and record recovery","Work to acceptance standard")))</x:f>
        <x:v>Work to acceptance standard</x:v>
      </x:c>
      <x:c r="T41" s="26" t="str"/>
      <x:c r="U41" s="26" t="str">
        <x:v>Production remains unpublished until approved copy and source evidence.</x:v>
      </x:c>
      <x:c r="V41" s="31" t="n">
        <x:v>2</x:v>
      </x:c>
      <x:c r="W41" s="26" t="str"/>
      <x:c r="X41" s="26" t="str">
        <x:v>DSI Reset PDF: lane responsibilities and dated runbook; dated allocation proposed for this tracker.</x:v>
      </x:c>
      <x:c r="Y41" s="30" t="n">
        <x:f>B41-WEEKDAY(B41,2)+1</x:f>
        <x:v>46321</x:v>
      </x:c>
      <x:c r="Z41" s="2" t="str">
        <x:v>checklist</x:v>
      </x:c>
      <x:c r="AA41" s="2" t="n">
        <x:f>IF(Q41=1,IF(P41&gt;B41,1,0),0)</x:f>
        <x:v>0</x:v>
      </x:c>
      <x:c r="AB41" s="2" t="n">
        <x:f>IF(AND(Q41=1,P41&lt;='Dashboard'!$B$5),0,MAX(0,'Dashboard'!$B$5-B41))</x:f>
        <x:v>0</x:v>
      </x:c>
      <x:c r="AC41" s="28" t="str"/>
      <x:c r="AD41" s="2" t="str">
        <x:f>IF(AND(ISNUMBER(F41),ISNUMBER(G41)),G41-F41,"")</x:f>
      </x:c>
      <x:c r="AE41" s="2" t="n">
        <x:f>IF(AND(I41="Accepted",K41&lt;&gt;"",O41&lt;&gt;"",ISNUMBER(P41),P41&gt;0,P41&lt;='Dashboard'!$B$5,IF(ISNUMBER(F41),ISNUMBER(G41),TRUE),IF(ISNUMBER(F41),G41&gt;=F41,TRUE)),1,0)</x:f>
        <x:v>0</x:v>
      </x:c>
    </x:row>
    <x:row r="42" ht="58" customHeight="1">
      <x:c r="A42" s="2" t="str">
        <x:v>T0036</x:v>
      </x:c>
      <x:c r="B42" s="30" t="n">
        <x:v>46322</x:v>
      </x:c>
      <x:c r="C42" s="2" t="str">
        <x:v>Dexter</x:v>
      </x:c>
      <x:c r="D42" s="2" t="str">
        <x:v>LinkedIn Execution</x:v>
      </x:c>
      <x:c r="E42" s="26" t="str">
        <x:v>DSI-LI-01 script/stage map with Kenneth/Alvin</x:v>
      </x:c>
      <x:c r="F42" s="2" t="n">
        <x:v>1</x:v>
      </x:c>
      <x:c r="G42" s="20"/>
      <x:c r="H42" s="2" t="str">
        <x:v>accepted output</x:v>
      </x:c>
      <x:c r="I42" s="20" t="str">
        <x:v>Ready</x:v>
      </x:c>
      <x:c r="J42" s="2" t="str">
        <x:v>16:45</x:v>
      </x:c>
      <x:c r="K42" s="28" t="str"/>
      <x:c r="L42" s="28" t="str"/>
      <x:c r="M42" s="20" t="str"/>
      <x:c r="N42" s="33"/>
      <x:c r="O42" s="20" t="str"/>
      <x:c r="P42" s="33"/>
      <x:c r="Q42" s="2" t="n">
        <x:f>IF(AND(AE42=1),1,0)</x:f>
        <x:v>0</x:v>
      </x:c>
      <x:c r="R42" s="2" t="str">
        <x:f>IF(AND(Q42=1,P42&lt;='Dashboard'!$B$5),IF(P42&gt;B42,"Accepted late","Accepted"),IF(B42&lt;'Dashboard'!$B$5,"Overdue",IF(I42="Blocked","Blocked",IF(B42='Dashboard'!$B$5,"Due today","Planned"))))</x:f>
        <x:v>Planned</x:v>
      </x:c>
      <x:c r="S42" s="26" t="str">
        <x:f>IF(I42="Accepted",IF(K42="","Add evidence",IF(O42="","Add reviewer",IF(P42="","Add accepted date",IF(AND(ISNUMBER(F42),COUNT(G42)=0),"Add actual quantity",IF(Q42=0,"Review target / date / dependencies","Complete"))))),IF(OR(I42="Blocked",I42="Deferred"),IF(L42="","Record blocker / reason",IF(M42="","Assign rescue owner",IF(N42="","Set recovery date","Recovery assigned"))),IF(B42&lt;'Dashboard'!$B$5,"Escalate and record recovery","Work to acceptance standard")))</x:f>
        <x:v>Work to acceptance standard</x:v>
      </x:c>
      <x:c r="T42" s="26" t="str"/>
      <x:c r="U42" s="26" t="str">
        <x:v>All 18 SOP statuses mapped to CQL; stop/decline/replied suppression noted.</x:v>
      </x:c>
      <x:c r="V42" s="31" t="n">
        <x:v>3</x:v>
      </x:c>
      <x:c r="W42" s="26" t="str"/>
      <x:c r="X42" s="26" t="str">
        <x:v>DSI Reset PDF: lane responsibilities and dated runbook; dated allocation proposed for this tracker.</x:v>
      </x:c>
      <x:c r="Y42" s="30" t="n">
        <x:f>B42-WEEKDAY(B42,2)+1</x:f>
        <x:v>46321</x:v>
      </x:c>
      <x:c r="Z42" s="2" t="str">
        <x:v>checklist</x:v>
      </x:c>
      <x:c r="AA42" s="2" t="n">
        <x:f>IF(Q42=1,IF(P42&gt;B42,1,0),0)</x:f>
        <x:v>0</x:v>
      </x:c>
      <x:c r="AB42" s="2" t="n">
        <x:f>IF(AND(Q42=1,P42&lt;='Dashboard'!$B$5),0,MAX(0,'Dashboard'!$B$5-B42))</x:f>
        <x:v>0</x:v>
      </x:c>
      <x:c r="AC42" s="28" t="str"/>
      <x:c r="AD42" s="2" t="str">
        <x:f>IF(AND(ISNUMBER(F42),ISNUMBER(G42)),G42-F42,"")</x:f>
      </x:c>
      <x:c r="AE42" s="2" t="n">
        <x:f>IF(AND(I42="Accepted",K42&lt;&gt;"",O42&lt;&gt;"",ISNUMBER(P42),P42&gt;0,P42&lt;='Dashboard'!$B$5,IF(ISNUMBER(F42),ISNUMBER(G42),TRUE),IF(ISNUMBER(F42),G42&gt;=F42,TRUE)),1,0)</x:f>
        <x:v>0</x:v>
      </x:c>
    </x:row>
    <x:row r="43" ht="58" customHeight="1">
      <x:c r="A43" s="2" t="str">
        <x:v>T0427</x:v>
      </x:c>
      <x:c r="B43" s="30" t="n">
        <x:v>46322</x:v>
      </x:c>
      <x:c r="C43" s="2" t="str">
        <x:v>Nic</x:v>
      </x:c>
      <x:c r="D43" s="2" t="str">
        <x:v>Client dependency</x:v>
      </x:c>
      <x:c r="E43" s="26" t="str">
        <x:v>Written decisions on sender/LI consent; guarantee terms; slots; spend cap; proof; trial capacity</x:v>
      </x:c>
      <x:c r="F43" s="2" t="n">
        <x:v>1</x:v>
      </x:c>
      <x:c r="G43" s="20"/>
      <x:c r="H43" s="2" t="str">
        <x:v>accepted output</x:v>
      </x:c>
      <x:c r="I43" s="20" t="str">
        <x:v>Ready</x:v>
      </x:c>
      <x:c r="J43" s="2" t="str">
        <x:v>16:45</x:v>
      </x:c>
      <x:c r="K43" s="28" t="str"/>
      <x:c r="L43" s="28" t="str"/>
      <x:c r="M43" s="20" t="str"/>
      <x:c r="N43" s="33"/>
      <x:c r="O43" s="20" t="str"/>
      <x:c r="P43" s="33"/>
      <x:c r="Q43" s="2" t="n">
        <x:f>IF(AND(AE43=1),1,0)</x:f>
        <x:v>0</x:v>
      </x:c>
      <x:c r="R43" s="2" t="str">
        <x:f>IF(AND(Q43=1,P43&lt;='Dashboard'!$B$5),IF(P43&gt;B43,"Accepted late","Accepted"),IF(B43&lt;'Dashboard'!$B$5,"Overdue",IF(I43="Blocked","Blocked",IF(B43='Dashboard'!$B$5,"Due today","Planned"))))</x:f>
        <x:v>Planned</x:v>
      </x:c>
      <x:c r="S43" s="26" t="str">
        <x:f>IF(I43="Accepted",IF(K43="","Add evidence",IF(O43="","Add reviewer",IF(P43="","Add accepted date",IF(AND(ISNUMBER(F43),COUNT(G43)=0),"Add actual quantity",IF(Q43=0,"Review target / date / dependencies","Complete"))))),IF(OR(I43="Blocked",I43="Deferred"),IF(L43="","Record blocker / reason",IF(M43="","Assign rescue owner",IF(N43="","Set recovery date","Recovery assigned"))),IF(B43&lt;'Dashboard'!$B$5,"Escalate and record recovery","Work to acceptance standard")))</x:f>
        <x:v>Work to acceptance standard</x:v>
      </x:c>
      <x:c r="T43" s="26" t="str"/>
      <x:c r="U43" s="26" t="str">
        <x:v>No clinical/financial commitment published without written approval.</x:v>
      </x:c>
      <x:c r="V43" s="31" t="n">
        <x:v>1</x:v>
      </x:c>
      <x:c r="W43" s="26" t="str"/>
      <x:c r="X43" s="26" t="str">
        <x:v>DSI Reset PDF: lane responsibilities and dated runbook; dated allocation proposed for this tracker.</x:v>
      </x:c>
      <x:c r="Y43" s="30" t="n">
        <x:f>B43-WEEKDAY(B43,2)+1</x:f>
        <x:v>46321</x:v>
      </x:c>
      <x:c r="Z43" s="2" t="str">
        <x:v>checklist</x:v>
      </x:c>
      <x:c r="AA43" s="2" t="n">
        <x:f>IF(Q43=1,IF(P43&gt;B43,1,0),0)</x:f>
        <x:v>0</x:v>
      </x:c>
      <x:c r="AB43" s="2" t="n">
        <x:f>IF(AND(Q43=1,P43&lt;='Dashboard'!$B$5),0,MAX(0,'Dashboard'!$B$5-B43))</x:f>
        <x:v>0</x:v>
      </x:c>
      <x:c r="AC43" s="28" t="str"/>
      <x:c r="AD43" s="2" t="str">
        <x:f>IF(AND(ISNUMBER(F43),ISNUMBER(G43)),G43-F43,"")</x:f>
      </x:c>
      <x:c r="AE43" s="2" t="n">
        <x:f>IF(AND(I43="Accepted",K43&lt;&gt;"",O43&lt;&gt;"",ISNUMBER(P43),P43&gt;0,P43&lt;='Dashboard'!$B$5,IF(ISNUMBER(F43),ISNUMBER(G43),TRUE),IF(ISNUMBER(F43),G43&gt;=F43,TRUE)),1,0)</x:f>
        <x:v>0</x:v>
      </x:c>
    </x:row>
    <x:row r="44" ht="58" customHeight="1">
      <x:c r="A44" s="2" t="str">
        <x:v>T0428</x:v>
      </x:c>
      <x:c r="B44" s="30" t="n">
        <x:v>46322</x:v>
      </x:c>
      <x:c r="C44" s="2" t="str">
        <x:v>Maseeha</x:v>
      </x:c>
      <x:c r="D44" s="2" t="str">
        <x:v>Client dependency</x:v>
      </x:c>
      <x:c r="E44" s="26" t="str">
        <x:v>Sender consent; trial coordination capacity; referral terms/account list.</x:v>
      </x:c>
      <x:c r="F44" s="2" t="n">
        <x:v>1</x:v>
      </x:c>
      <x:c r="G44" s="20"/>
      <x:c r="H44" s="2" t="str">
        <x:v>accepted output</x:v>
      </x:c>
      <x:c r="I44" s="20" t="str">
        <x:v>Ready</x:v>
      </x:c>
      <x:c r="J44" s="2" t="str">
        <x:v>16:45</x:v>
      </x:c>
      <x:c r="K44" s="28" t="str"/>
      <x:c r="L44" s="28" t="str"/>
      <x:c r="M44" s="20" t="str"/>
      <x:c r="N44" s="33"/>
      <x:c r="O44" s="20" t="str"/>
      <x:c r="P44" s="33"/>
      <x:c r="Q44" s="2" t="n">
        <x:f>IF(AND(AE44=1),1,0)</x:f>
        <x:v>0</x:v>
      </x:c>
      <x:c r="R44" s="2" t="str">
        <x:f>IF(AND(Q44=1,P44&lt;='Dashboard'!$B$5),IF(P44&gt;B44,"Accepted late","Accepted"),IF(B44&lt;'Dashboard'!$B$5,"Overdue",IF(I44="Blocked","Blocked",IF(B44='Dashboard'!$B$5,"Due today","Planned"))))</x:f>
        <x:v>Planned</x:v>
      </x:c>
      <x:c r="S44" s="26" t="str">
        <x:f>IF(I44="Accepted",IF(K44="","Add evidence",IF(O44="","Add reviewer",IF(P44="","Add accepted date",IF(AND(ISNUMBER(F44),COUNT(G44)=0),"Add actual quantity",IF(Q44=0,"Review target / date / dependencies","Complete"))))),IF(OR(I44="Blocked",I44="Deferred"),IF(L44="","Record blocker / reason",IF(M44="","Assign rescue owner",IF(N44="","Set recovery date","Recovery assigned"))),IF(B44&lt;'Dashboard'!$B$5,"Escalate and record recovery","Work to acceptance standard")))</x:f>
        <x:v>Work to acceptance standard</x:v>
      </x:c>
      <x:c r="T44" s="26" t="str"/>
      <x:c r="U44" s="26" t="str">
        <x:v>25 A/B+16 C roster confirmed; capacity and credit conditions recorded.</x:v>
      </x:c>
      <x:c r="V44" s="31" t="n">
        <x:v>1</x:v>
      </x:c>
      <x:c r="W44" s="26" t="str"/>
      <x:c r="X44" s="26" t="str">
        <x:v>DSI Reset PDF: lane responsibilities and dated runbook; dated allocation proposed for this tracker.</x:v>
      </x:c>
      <x:c r="Y44" s="30" t="n">
        <x:f>B44-WEEKDAY(B44,2)+1</x:f>
        <x:v>46321</x:v>
      </x:c>
      <x:c r="Z44" s="2" t="str">
        <x:v>checklist</x:v>
      </x:c>
      <x:c r="AA44" s="2" t="n">
        <x:f>IF(Q44=1,IF(P44&gt;B44,1,0),0)</x:f>
        <x:v>0</x:v>
      </x:c>
      <x:c r="AB44" s="2" t="n">
        <x:f>IF(AND(Q44=1,P44&lt;='Dashboard'!$B$5),0,MAX(0,'Dashboard'!$B$5-B44))</x:f>
        <x:v>0</x:v>
      </x:c>
      <x:c r="AC44" s="28" t="str"/>
      <x:c r="AD44" s="2" t="str">
        <x:f>IF(AND(ISNUMBER(F44),ISNUMBER(G44)),G44-F44,"")</x:f>
      </x:c>
      <x:c r="AE44" s="2" t="n">
        <x:f>IF(AND(I44="Accepted",K44&lt;&gt;"",O44&lt;&gt;"",ISNUMBER(P44),P44&gt;0,P44&lt;='Dashboard'!$B$5,IF(ISNUMBER(F44),ISNUMBER(G44),TRUE),IF(ISNUMBER(F44),G44&gt;=F44,TRUE)),1,0)</x:f>
        <x:v>0</x:v>
      </x:c>
    </x:row>
    <x:row r="45" ht="58" customHeight="1">
      <x:c r="A45" s="2" t="str">
        <x:v>T0037</x:v>
      </x:c>
      <x:c r="B45" s="30" t="n">
        <x:v>46323</x:v>
      </x:c>
      <x:c r="C45" s="2" t="str">
        <x:v>Wyline</x:v>
      </x:c>
      <x:c r="D45" s="2" t="str">
        <x:v>Program Director</x:v>
      </x:c>
      <x:c r="E45" s="26" t="str">
        <x:v>DSI-QA-01; 50-row signed list audit</x:v>
      </x:c>
      <x:c r="F45" s="2" t="n">
        <x:v>1</x:v>
      </x:c>
      <x:c r="G45" s="20"/>
      <x:c r="H45" s="2" t="str">
        <x:v>accepted output</x:v>
      </x:c>
      <x:c r="I45" s="20" t="str">
        <x:v>Ready</x:v>
      </x:c>
      <x:c r="J45" s="2" t="str">
        <x:v>16:45</x:v>
      </x:c>
      <x:c r="K45" s="28" t="str"/>
      <x:c r="L45" s="28" t="str"/>
      <x:c r="M45" s="20" t="str"/>
      <x:c r="N45" s="33"/>
      <x:c r="O45" s="20" t="str"/>
      <x:c r="P45" s="33"/>
      <x:c r="Q45" s="2" t="n">
        <x:f>IF(AND(AE45=1),1,0)</x:f>
        <x:v>0</x:v>
      </x:c>
      <x:c r="R45" s="2" t="str">
        <x:f>IF(AND(Q45=1,P45&lt;='Dashboard'!$B$5),IF(P45&gt;B45,"Accepted late","Accepted"),IF(B45&lt;'Dashboard'!$B$5,"Overdue",IF(I45="Blocked","Blocked",IF(B45='Dashboard'!$B$5,"Due today","Planned"))))</x:f>
        <x:v>Planned</x:v>
      </x:c>
      <x:c r="S45" s="26" t="str">
        <x:f>IF(I45="Accepted",IF(K45="","Add evidence",IF(O45="","Add reviewer",IF(P45="","Add accepted date",IF(AND(ISNUMBER(F45),COUNT(G45)=0),"Add actual quantity",IF(Q45=0,"Review target / date / dependencies","Complete"))))),IF(OR(I45="Blocked",I45="Deferred"),IF(L45="","Record blocker / reason",IF(M45="","Assign rescue owner",IF(N45="","Set recovery date","Recovery assigned"))),IF(B45&lt;'Dashboard'!$B$5,"Escalate and record recovery","Work to acceptance standard")))</x:f>
        <x:v>Work to acceptance standard</x:v>
      </x:c>
      <x:c r="T45" s="26" t="str"/>
      <x:c r="U45" s="26" t="str">
        <x:v>&gt;=95% dental/zone and 0 fatigued; failed batches returned same day.</x:v>
      </x:c>
      <x:c r="V45" s="31" t="n">
        <x:v>3</x:v>
      </x:c>
      <x:c r="W45" s="26" t="str"/>
      <x:c r="X45" s="26" t="str">
        <x:v>DSI Reset PDF: lane responsibilities and dated runbook; dated allocation proposed for this tracker.</x:v>
      </x:c>
      <x:c r="Y45" s="30" t="n">
        <x:f>B45-WEEKDAY(B45,2)+1</x:f>
        <x:v>46321</x:v>
      </x:c>
      <x:c r="Z45" s="2" t="str">
        <x:v>checklist</x:v>
      </x:c>
      <x:c r="AA45" s="2" t="n">
        <x:f>IF(Q45=1,IF(P45&gt;B45,1,0),0)</x:f>
        <x:v>0</x:v>
      </x:c>
      <x:c r="AB45" s="2" t="n">
        <x:f>IF(AND(Q45=1,P45&lt;='Dashboard'!$B$5),0,MAX(0,'Dashboard'!$B$5-B45))</x:f>
        <x:v>0</x:v>
      </x:c>
      <x:c r="AC45" s="28" t="str"/>
      <x:c r="AD45" s="2" t="str">
        <x:f>IF(AND(ISNUMBER(F45),ISNUMBER(G45)),G45-F45,"")</x:f>
      </x:c>
      <x:c r="AE45" s="2" t="n">
        <x:f>IF(AND(I45="Accepted",K45&lt;&gt;"",O45&lt;&gt;"",ISNUMBER(P45),P45&gt;0,P45&lt;='Dashboard'!$B$5,IF(ISNUMBER(F45),ISNUMBER(G45),TRUE),IF(ISNUMBER(F45),G45&gt;=F45,TRUE)),1,0)</x:f>
        <x:v>0</x:v>
      </x:c>
    </x:row>
    <x:row r="46" ht="58" customHeight="1">
      <x:c r="A46" s="2" t="str">
        <x:v>T0038</x:v>
      </x:c>
      <x:c r="B46" s="30" t="n">
        <x:v>46323</x:v>
      </x:c>
      <x:c r="C46" s="2" t="str">
        <x:v>Kenneth</x:v>
      </x:c>
      <x:c r="D46" s="2" t="str">
        <x:v>Message Orchestrator</x:v>
      </x:c>
      <x:c r="E46" s="26" t="str">
        <x:v>Copy v 2; landing text; intake/evidence register; referral scripts</x:v>
      </x:c>
      <x:c r="F46" s="2" t="n">
        <x:v>1</x:v>
      </x:c>
      <x:c r="G46" s="20"/>
      <x:c r="H46" s="2" t="str">
        <x:v>accepted output</x:v>
      </x:c>
      <x:c r="I46" s="20" t="str">
        <x:v>Ready</x:v>
      </x:c>
      <x:c r="J46" s="2" t="str">
        <x:v>16:45</x:v>
      </x:c>
      <x:c r="K46" s="28" t="str"/>
      <x:c r="L46" s="28" t="str"/>
      <x:c r="M46" s="20" t="str"/>
      <x:c r="N46" s="33"/>
      <x:c r="O46" s="20" t="str"/>
      <x:c r="P46" s="33"/>
      <x:c r="Q46" s="2" t="n">
        <x:f>IF(AND(AE46=1),1,0)</x:f>
        <x:v>0</x:v>
      </x:c>
      <x:c r="R46" s="2" t="str">
        <x:f>IF(AND(Q46=1,P46&lt;='Dashboard'!$B$5),IF(P46&gt;B46,"Accepted late","Accepted"),IF(B46&lt;'Dashboard'!$B$5,"Overdue",IF(I46="Blocked","Blocked",IF(B46='Dashboard'!$B$5,"Due today","Planned"))))</x:f>
        <x:v>Planned</x:v>
      </x:c>
      <x:c r="S46" s="26" t="str">
        <x:f>IF(I46="Accepted",IF(K46="","Add evidence",IF(O46="","Add reviewer",IF(P46="","Add accepted date",IF(AND(ISNUMBER(F46),COUNT(G46)=0),"Add actual quantity",IF(Q46=0,"Review target / date / dependencies","Complete"))))),IF(OR(I46="Blocked",I46="Deferred"),IF(L46="","Record blocker / reason",IF(M46="","Assign rescue owner",IF(N46="","Set recovery date","Recovery assigned"))),IF(B46&lt;'Dashboard'!$B$5,"Escalate and record recovery","Work to acceptance standard")))</x:f>
        <x:v>Work to acceptance standard</x:v>
      </x:c>
      <x:c r="T46" s="26" t="str"/>
      <x:c r="U46" s="26" t="str">
        <x:v>5 proof assets requested with permission/scope; first 3 posts 2 Engage+1 Educate.</x:v>
      </x:c>
      <x:c r="V46" s="31" t="n">
        <x:v>2.5</x:v>
      </x:c>
      <x:c r="W46" s="26" t="str"/>
      <x:c r="X46" s="26" t="str">
        <x:v>DSI Reset PDF: lane responsibilities and dated runbook; dated allocation proposed for this tracker.</x:v>
      </x:c>
      <x:c r="Y46" s="30" t="n">
        <x:f>B46-WEEKDAY(B46,2)+1</x:f>
        <x:v>46321</x:v>
      </x:c>
      <x:c r="Z46" s="2" t="str">
        <x:v>checklist</x:v>
      </x:c>
      <x:c r="AA46" s="2" t="n">
        <x:f>IF(Q46=1,IF(P46&gt;B46,1,0),0)</x:f>
        <x:v>0</x:v>
      </x:c>
      <x:c r="AB46" s="2" t="n">
        <x:f>IF(AND(Q46=1,P46&lt;='Dashboard'!$B$5),0,MAX(0,'Dashboard'!$B$5-B46))</x:f>
        <x:v>0</x:v>
      </x:c>
      <x:c r="AC46" s="28" t="str"/>
      <x:c r="AD46" s="2" t="str">
        <x:f>IF(AND(ISNUMBER(F46),ISNUMBER(G46)),G46-F46,"")</x:f>
      </x:c>
      <x:c r="AE46" s="2" t="n">
        <x:f>IF(AND(I46="Accepted",K46&lt;&gt;"",O46&lt;&gt;"",ISNUMBER(P46),P46&gt;0,P46&lt;='Dashboard'!$B$5,IF(ISNUMBER(F46),ISNUMBER(G46),TRUE),IF(ISNUMBER(F46),G46&gt;=F46,TRUE)),1,0)</x:f>
        <x:v>0</x:v>
      </x:c>
    </x:row>
    <x:row r="47" ht="58" customHeight="1">
      <x:c r="A47" s="2" t="str">
        <x:v>T0039</x:v>
      </x:c>
      <x:c r="B47" s="30" t="n">
        <x:v>46323</x:v>
      </x:c>
      <x:c r="C47" s="2" t="str">
        <x:v>Joey</x:v>
      </x:c>
      <x:c r="D47" s="2" t="str">
        <x:v>Data Orchestrator</x:v>
      </x:c>
      <x:c r="E47" s="26" t="str">
        <x:v>250 records plus 50 random sample. Planned list output today: 100 new verified contacts; cumulative ready pool 250.</x:v>
      </x:c>
      <x:c r="F47" s="2" t="n">
        <x:v>100</x:v>
      </x:c>
      <x:c r="G47" s="20"/>
      <x:c r="H47" s="2" t="str">
        <x:v>new verified contacts; proposed daily pace</x:v>
      </x:c>
      <x:c r="I47" s="20" t="str">
        <x:v>Ready</x:v>
      </x:c>
      <x:c r="J47" s="2" t="str">
        <x:v>16:45</x:v>
      </x:c>
      <x:c r="K47" s="28" t="str"/>
      <x:c r="L47" s="28" t="str"/>
      <x:c r="M47" s="20" t="str"/>
      <x:c r="N47" s="33"/>
      <x:c r="O47" s="20" t="str"/>
      <x:c r="P47" s="33"/>
      <x:c r="Q47" s="2" t="n">
        <x:f>IF(AND(AE47=1),1,0)</x:f>
        <x:v>0</x:v>
      </x:c>
      <x:c r="R47" s="2" t="str">
        <x:f>IF(AND(Q47=1,P47&lt;='Dashboard'!$B$5),IF(P47&gt;B47,"Accepted late","Accepted"),IF(B47&lt;'Dashboard'!$B$5,"Overdue",IF(I47="Blocked","Blocked",IF(B47='Dashboard'!$B$5,"Due today","Planned"))))</x:f>
        <x:v>Planned</x:v>
      </x:c>
      <x:c r="S47" s="26" t="str">
        <x:f>IF(I47="Accepted",IF(K47="","Add evidence",IF(O47="","Add reviewer",IF(P47="","Add accepted date",IF(AND(ISNUMBER(F47),COUNT(G47)=0),"Add actual quantity",IF(Q47=0,"Review target / date / dependencies","Complete"))))),IF(OR(I47="Blocked",I47="Deferred"),IF(L47="","Record blocker / reason",IF(M47="","Assign rescue owner",IF(N47="","Set recovery date","Recovery assigned"))),IF(B47&lt;'Dashboard'!$B$5,"Escalate and record recovery","Work to acceptance standard")))</x:f>
        <x:v>Work to acceptance standard</x:v>
      </x:c>
      <x:c r="T47" s="26" t="str"/>
      <x:c r="U47" s="26" t="str">
        <x:v>All row gates pass; evidence and suppression recorded; no invalid rows added to hit quota.</x:v>
      </x:c>
      <x:c r="V47" s="31" t="n">
        <x:v>3</x:v>
      </x:c>
      <x:c r="W47" s="26" t="str"/>
      <x:c r="X47" s="26" t="str">
        <x:v>DSI Reset PDF: lane responsibilities and dated runbook; dated allocation proposed for this tracker.</x:v>
      </x:c>
      <x:c r="Y47" s="30" t="n">
        <x:f>B47-WEEKDAY(B47,2)+1</x:f>
        <x:v>46321</x:v>
      </x:c>
      <x:c r="Z47" s="2" t="str">
        <x:v>goal</x:v>
      </x:c>
      <x:c r="AA47" s="2" t="n">
        <x:f>IF(Q47=1,IF(P47&gt;B47,1,0),0)</x:f>
        <x:v>0</x:v>
      </x:c>
      <x:c r="AB47" s="2" t="n">
        <x:f>IF(AND(Q47=1,P47&lt;='Dashboard'!$B$5),0,MAX(0,'Dashboard'!$B$5-B47))</x:f>
        <x:v>0</x:v>
      </x:c>
      <x:c r="AC47" s="28" t="str"/>
      <x:c r="AD47" s="2" t="str">
        <x:f>IF(AND(ISNUMBER(F47),ISNUMBER(G47)),G47-F47,"")</x:f>
      </x:c>
      <x:c r="AE47" s="2" t="n">
        <x:f>IF(AND(I47="Accepted",K47&lt;&gt;"",O47&lt;&gt;"",ISNUMBER(P47),P47&gt;0,P47&lt;='Dashboard'!$B$5,IF(ISNUMBER(F47),ISNUMBER(G47),TRUE),IF(ISNUMBER(F47),G47&gt;=F47,TRUE)),1,0)</x:f>
        <x:v>0</x:v>
      </x:c>
    </x:row>
    <x:row r="48" ht="58" customHeight="1">
      <x:c r="A48" s="2" t="str">
        <x:v>T0040</x:v>
      </x:c>
      <x:c r="B48" s="30" t="n">
        <x:v>46323</x:v>
      </x:c>
      <x:c r="C48" s="2" t="str">
        <x:v>Nova</x:v>
      </x:c>
      <x:c r="D48" s="2" t="str">
        <x:v>Conversion Orchestrator</x:v>
      </x:c>
      <x:c r="E48" s="26" t="str">
        <x:v>DSI-REPLY-01/PHONE-01 v 0.9</x:v>
      </x:c>
      <x:c r="F48" s="2" t="n">
        <x:v>1</x:v>
      </x:c>
      <x:c r="G48" s="20"/>
      <x:c r="H48" s="2" t="str">
        <x:v>accepted output</x:v>
      </x:c>
      <x:c r="I48" s="20" t="str">
        <x:v>Ready</x:v>
      </x:c>
      <x:c r="J48" s="2" t="str">
        <x:v>16:45</x:v>
      </x:c>
      <x:c r="K48" s="28" t="str"/>
      <x:c r="L48" s="28" t="str"/>
      <x:c r="M48" s="20" t="str"/>
      <x:c r="N48" s="33"/>
      <x:c r="O48" s="20" t="str"/>
      <x:c r="P48" s="33"/>
      <x:c r="Q48" s="2" t="n">
        <x:f>IF(AND(AE48=1),1,0)</x:f>
        <x:v>0</x:v>
      </x:c>
      <x:c r="R48" s="2" t="str">
        <x:f>IF(AND(Q48=1,P48&lt;='Dashboard'!$B$5),IF(P48&gt;B48,"Accepted late","Accepted"),IF(B48&lt;'Dashboard'!$B$5,"Overdue",IF(I48="Blocked","Blocked",IF(B48='Dashboard'!$B$5,"Due today","Planned"))))</x:f>
        <x:v>Planned</x:v>
      </x:c>
      <x:c r="S48" s="26" t="str">
        <x:f>IF(I48="Accepted",IF(K48="","Add evidence",IF(O48="","Add reviewer",IF(P48="","Add accepted date",IF(AND(ISNUMBER(F48),COUNT(G48)=0),"Add actual quantity",IF(Q48=0,"Review target / date / dependencies","Complete"))))),IF(OR(I48="Blocked",I48="Deferred"),IF(L48="","Record blocker / reason",IF(M48="","Assign rescue owner",IF(N48="","Set recovery date","Recovery assigned"))),IF(B48&lt;'Dashboard'!$B$5,"Escalate and record recovery","Work to acceptance standard")))</x:f>
        <x:v>Work to acceptance standard</x:v>
      </x:c>
      <x:c r="T48" s="26" t="str"/>
      <x:c r="U48" s="26" t="str">
        <x:v>Triggers, response clocks, escalation, booking and definition of done explicit.</x:v>
      </x:c>
      <x:c r="V48" s="31" t="n">
        <x:v>4</x:v>
      </x:c>
      <x:c r="W48" s="26" t="str"/>
      <x:c r="X48" s="26" t="str">
        <x:v>DSI Reset PDF: lane responsibilities and dated runbook; dated allocation proposed for this tracker.</x:v>
      </x:c>
      <x:c r="Y48" s="30" t="n">
        <x:f>B48-WEEKDAY(B48,2)+1</x:f>
        <x:v>46321</x:v>
      </x:c>
      <x:c r="Z48" s="2" t="str">
        <x:v>checklist</x:v>
      </x:c>
      <x:c r="AA48" s="2" t="n">
        <x:f>IF(Q48=1,IF(P48&gt;B48,1,0),0)</x:f>
        <x:v>0</x:v>
      </x:c>
      <x:c r="AB48" s="2" t="n">
        <x:f>IF(AND(Q48=1,P48&lt;='Dashboard'!$B$5),0,MAX(0,'Dashboard'!$B$5-B48))</x:f>
        <x:v>0</x:v>
      </x:c>
      <x:c r="AC48" s="28" t="str"/>
      <x:c r="AD48" s="2" t="str">
        <x:f>IF(AND(ISNUMBER(F48),ISNUMBER(G48)),G48-F48,"")</x:f>
      </x:c>
      <x:c r="AE48" s="2" t="n">
        <x:f>IF(AND(I48="Accepted",K48&lt;&gt;"",O48&lt;&gt;"",ISNUMBER(P48),P48&gt;0,P48&lt;='Dashboard'!$B$5,IF(ISNUMBER(F48),ISNUMBER(G48),TRUE),IF(ISNUMBER(F48),G48&gt;=F48,TRUE)),1,0)</x:f>
        <x:v>0</x:v>
      </x:c>
    </x:row>
    <x:row r="49" ht="58" customHeight="1">
      <x:c r="A49" s="2" t="str">
        <x:v>T0041</x:v>
      </x:c>
      <x:c r="B49" s="30" t="n">
        <x:v>46323</x:v>
      </x:c>
      <x:c r="C49" s="2" t="str">
        <x:v>Emman</x:v>
      </x:c>
      <x:c r="D49" s="2" t="str">
        <x:v>AI Build Orchestrator</x:v>
      </x:c>
      <x:c r="E49" s="26" t="str">
        <x:v>38-reply results and defect list</x:v>
      </x:c>
      <x:c r="F49" s="2" t="n">
        <x:v>1</x:v>
      </x:c>
      <x:c r="G49" s="20"/>
      <x:c r="H49" s="2" t="str">
        <x:v>accepted output</x:v>
      </x:c>
      <x:c r="I49" s="20" t="str">
        <x:v>Ready</x:v>
      </x:c>
      <x:c r="J49" s="2" t="str">
        <x:v>16:45</x:v>
      </x:c>
      <x:c r="K49" s="28" t="str"/>
      <x:c r="L49" s="28" t="str"/>
      <x:c r="M49" s="20" t="str"/>
      <x:c r="N49" s="33"/>
      <x:c r="O49" s="20" t="str"/>
      <x:c r="P49" s="33"/>
      <x:c r="Q49" s="2" t="n">
        <x:f>IF(AND(AE49=1),1,0)</x:f>
        <x:v>0</x:v>
      </x:c>
      <x:c r="R49" s="2" t="str">
        <x:f>IF(AND(Q49=1,P49&lt;='Dashboard'!$B$5),IF(P49&gt;B49,"Accepted late","Accepted"),IF(B49&lt;'Dashboard'!$B$5,"Overdue",IF(I49="Blocked","Blocked",IF(B49='Dashboard'!$B$5,"Due today","Planned"))))</x:f>
        <x:v>Planned</x:v>
      </x:c>
      <x:c r="S49" s="26" t="str">
        <x:f>IF(I49="Accepted",IF(K49="","Add evidence",IF(O49="","Add reviewer",IF(P49="","Add accepted date",IF(AND(ISNUMBER(F49),COUNT(G49)=0),"Add actual quantity",IF(Q49=0,"Review target / date / dependencies","Complete"))))),IF(OR(I49="Blocked",I49="Deferred"),IF(L49="","Record blocker / reason",IF(M49="","Assign rescue owner",IF(N49="","Set recovery date","Recovery assigned"))),IF(B49&lt;'Dashboard'!$B$5,"Escalate and record recovery","Work to acceptance standard")))</x:f>
        <x:v>Work to acceptance standard</x:v>
      </x:c>
      <x:c r="T49" s="26" t="str"/>
      <x:c r="U49" s="26" t="str">
        <x:v>&gt;=90% classify;&gt;=60% draft; alert&lt;60 sec target; critical misroutes resolved.</x:v>
      </x:c>
      <x:c r="V49" s="31" t="n">
        <x:v>4</x:v>
      </x:c>
      <x:c r="W49" s="26" t="str"/>
      <x:c r="X49" s="26" t="str">
        <x:v>DSI Reset PDF: lane responsibilities and dated runbook; dated allocation proposed for this tracker.</x:v>
      </x:c>
      <x:c r="Y49" s="30" t="n">
        <x:f>B49-WEEKDAY(B49,2)+1</x:f>
        <x:v>46321</x:v>
      </x:c>
      <x:c r="Z49" s="2" t="str">
        <x:v>checklist</x:v>
      </x:c>
      <x:c r="AA49" s="2" t="n">
        <x:f>IF(Q49=1,IF(P49&gt;B49,1,0),0)</x:f>
        <x:v>0</x:v>
      </x:c>
      <x:c r="AB49" s="2" t="n">
        <x:f>IF(AND(Q49=1,P49&lt;='Dashboard'!$B$5),0,MAX(0,'Dashboard'!$B$5-B49))</x:f>
        <x:v>0</x:v>
      </x:c>
      <x:c r="AC49" s="28" t="str"/>
      <x:c r="AD49" s="2" t="str">
        <x:f>IF(AND(ISNUMBER(F49),ISNUMBER(G49)),G49-F49,"")</x:f>
      </x:c>
      <x:c r="AE49" s="2" t="n">
        <x:f>IF(AND(I49="Accepted",K49&lt;&gt;"",O49&lt;&gt;"",ISNUMBER(P49),P49&gt;0,P49&lt;='Dashboard'!$B$5,IF(ISNUMBER(F49),ISNUMBER(G49),TRUE),IF(ISNUMBER(F49),G49&gt;=F49,TRUE)),1,0)</x:f>
        <x:v>0</x:v>
      </x:c>
    </x:row>
    <x:row r="50" ht="58" customHeight="1">
      <x:c r="A50" s="2" t="str">
        <x:v>T0042</x:v>
      </x:c>
      <x:c r="B50" s="30" t="n">
        <x:v>46323</x:v>
      </x:c>
      <x:c r="C50" s="2" t="str">
        <x:v>Ludwig</x:v>
      </x:c>
      <x:c r="D50" s="2" t="str">
        <x:v>Integration Engineer</x:v>
      </x:c>
      <x:c r="E50" s="26" t="str">
        <x:v>Duplicate, timeout, retry/dead-letter tests</x:v>
      </x:c>
      <x:c r="F50" s="2" t="n">
        <x:v>1</x:v>
      </x:c>
      <x:c r="G50" s="20"/>
      <x:c r="H50" s="2" t="str">
        <x:v>accepted output</x:v>
      </x:c>
      <x:c r="I50" s="20" t="str">
        <x:v>Ready</x:v>
      </x:c>
      <x:c r="J50" s="2" t="str">
        <x:v>16:45</x:v>
      </x:c>
      <x:c r="K50" s="28" t="str"/>
      <x:c r="L50" s="28" t="str"/>
      <x:c r="M50" s="20" t="str"/>
      <x:c r="N50" s="33"/>
      <x:c r="O50" s="20" t="str"/>
      <x:c r="P50" s="33"/>
      <x:c r="Q50" s="2" t="n">
        <x:f>IF(AND(AE50=1),1,0)</x:f>
        <x:v>0</x:v>
      </x:c>
      <x:c r="R50" s="2" t="str">
        <x:f>IF(AND(Q50=1,P50&lt;='Dashboard'!$B$5),IF(P50&gt;B50,"Accepted late","Accepted"),IF(B50&lt;'Dashboard'!$B$5,"Overdue",IF(I50="Blocked","Blocked",IF(B50='Dashboard'!$B$5,"Due today","Planned"))))</x:f>
        <x:v>Planned</x:v>
      </x:c>
      <x:c r="S50" s="26" t="str">
        <x:f>IF(I50="Accepted",IF(K50="","Add evidence",IF(O50="","Add reviewer",IF(P50="","Add accepted date",IF(AND(ISNUMBER(F50),COUNT(G50)=0),"Add actual quantity",IF(Q50=0,"Review target / date / dependencies","Complete"))))),IF(OR(I50="Blocked",I50="Deferred"),IF(L50="","Record blocker / reason",IF(M50="","Assign rescue owner",IF(N50="","Set recovery date","Recovery assigned"))),IF(B50&lt;'Dashboard'!$B$5,"Escalate and record recovery","Work to acceptance standard")))</x:f>
        <x:v>Work to acceptance standard</x:v>
      </x:c>
      <x:c r="T50" s="26" t="str"/>
      <x:c r="U50" s="26" t="str">
        <x:v>100% test reply capture; safe retries; no automated send.</x:v>
      </x:c>
      <x:c r="V50" s="31" t="n">
        <x:v>1.5</x:v>
      </x:c>
      <x:c r="W50" s="26" t="str"/>
      <x:c r="X50" s="26" t="str">
        <x:v>DSI Reset PDF: lane responsibilities and dated runbook; dated allocation proposed for this tracker.</x:v>
      </x:c>
      <x:c r="Y50" s="30" t="n">
        <x:f>B50-WEEKDAY(B50,2)+1</x:f>
        <x:v>46321</x:v>
      </x:c>
      <x:c r="Z50" s="2" t="str">
        <x:v>checklist</x:v>
      </x:c>
      <x:c r="AA50" s="2" t="n">
        <x:f>IF(Q50=1,IF(P50&gt;B50,1,0),0)</x:f>
        <x:v>0</x:v>
      </x:c>
      <x:c r="AB50" s="2" t="n">
        <x:f>IF(AND(Q50=1,P50&lt;='Dashboard'!$B$5),0,MAX(0,'Dashboard'!$B$5-B50))</x:f>
        <x:v>0</x:v>
      </x:c>
      <x:c r="AC50" s="28" t="str"/>
      <x:c r="AD50" s="2" t="str">
        <x:f>IF(AND(ISNUMBER(F50),ISNUMBER(G50)),G50-F50,"")</x:f>
      </x:c>
      <x:c r="AE50" s="2" t="n">
        <x:f>IF(AND(I50="Accepted",K50&lt;&gt;"",O50&lt;&gt;"",ISNUMBER(P50),P50&gt;0,P50&lt;='Dashboard'!$B$5,IF(ISNUMBER(F50),ISNUMBER(G50),TRUE),IF(ISNUMBER(F50),G50&gt;=F50,TRUE)),1,0)</x:f>
        <x:v>0</x:v>
      </x:c>
    </x:row>
    <x:row r="51" ht="58" customHeight="1">
      <x:c r="A51" s="2" t="str">
        <x:v>T0043</x:v>
      </x:c>
      <x:c r="B51" s="30" t="n">
        <x:v>46323</x:v>
      </x:c>
      <x:c r="C51" s="2" t="str">
        <x:v>Alvin</x:v>
      </x:c>
      <x:c r="D51" s="2" t="str">
        <x:v>CQL/GHL Implementation</x:v>
      </x:c>
      <x:c r="E51" s="26" t="str">
        <x:v>Phone Assist form; referral link/source/referrer/credit fields</x:v>
      </x:c>
      <x:c r="F51" s="2" t="n">
        <x:v>1</x:v>
      </x:c>
      <x:c r="G51" s="20"/>
      <x:c r="H51" s="2" t="str">
        <x:v>accepted output</x:v>
      </x:c>
      <x:c r="I51" s="20" t="str">
        <x:v>Ready</x:v>
      </x:c>
      <x:c r="J51" s="2" t="str">
        <x:v>16:45</x:v>
      </x:c>
      <x:c r="K51" s="28" t="str"/>
      <x:c r="L51" s="28" t="str"/>
      <x:c r="M51" s="20" t="str"/>
      <x:c r="N51" s="33"/>
      <x:c r="O51" s="20" t="str"/>
      <x:c r="P51" s="33"/>
      <x:c r="Q51" s="2" t="n">
        <x:f>IF(AND(AE51=1),1,0)</x:f>
        <x:v>0</x:v>
      </x:c>
      <x:c r="R51" s="2" t="str">
        <x:f>IF(AND(Q51=1,P51&lt;='Dashboard'!$B$5),IF(P51&gt;B51,"Accepted late","Accepted"),IF(B51&lt;'Dashboard'!$B$5,"Overdue",IF(I51="Blocked","Blocked",IF(B51='Dashboard'!$B$5,"Due today","Planned"))))</x:f>
        <x:v>Planned</x:v>
      </x:c>
      <x:c r="S51" s="26" t="str">
        <x:f>IF(I51="Accepted",IF(K51="","Add evidence",IF(O51="","Add reviewer",IF(P51="","Add accepted date",IF(AND(ISNUMBER(F51),COUNT(G51)=0),"Add actual quantity",IF(Q51=0,"Review target / date / dependencies","Complete"))))),IF(OR(I51="Blocked",I51="Deferred"),IF(L51="","Record blocker / reason",IF(M51="","Assign rescue owner",IF(N51="","Set recovery date","Recovery assigned"))),IF(B51&lt;'Dashboard'!$B$5,"Escalate and record recovery","Work to acceptance standard")))</x:f>
        <x:v>Work to acceptance standard</x:v>
      </x:c>
      <x:c r="T51" s="26" t="str"/>
      <x:c r="U51" s="26" t="str">
        <x:v>One CQL record; referral consent and paid-case credit trigger captured.</x:v>
      </x:c>
      <x:c r="V51" s="31" t="n">
        <x:v>2</x:v>
      </x:c>
      <x:c r="W51" s="26" t="str"/>
      <x:c r="X51" s="26" t="str">
        <x:v>DSI Reset PDF: lane responsibilities and dated runbook; dated allocation proposed for this tracker.</x:v>
      </x:c>
      <x:c r="Y51" s="30" t="n">
        <x:f>B51-WEEKDAY(B51,2)+1</x:f>
        <x:v>46321</x:v>
      </x:c>
      <x:c r="Z51" s="2" t="str">
        <x:v>checklist</x:v>
      </x:c>
      <x:c r="AA51" s="2" t="n">
        <x:f>IF(Q51=1,IF(P51&gt;B51,1,0),0)</x:f>
        <x:v>0</x:v>
      </x:c>
      <x:c r="AB51" s="2" t="n">
        <x:f>IF(AND(Q51=1,P51&lt;='Dashboard'!$B$5),0,MAX(0,'Dashboard'!$B$5-B51))</x:f>
        <x:v>0</x:v>
      </x:c>
      <x:c r="AC51" s="28" t="str"/>
      <x:c r="AD51" s="2" t="str">
        <x:f>IF(AND(ISNUMBER(F51),ISNUMBER(G51)),G51-F51,"")</x:f>
      </x:c>
      <x:c r="AE51" s="2" t="n">
        <x:f>IF(AND(I51="Accepted",K51&lt;&gt;"",O51&lt;&gt;"",ISNUMBER(P51),P51&gt;0,P51&lt;='Dashboard'!$B$5,IF(ISNUMBER(F51),ISNUMBER(G51),TRUE),IF(ISNUMBER(F51),G51&gt;=F51,TRUE)),1,0)</x:f>
        <x:v>0</x:v>
      </x:c>
    </x:row>
    <x:row r="52" ht="58" customHeight="1">
      <x:c r="A52" s="2" t="str">
        <x:v>T0044</x:v>
      </x:c>
      <x:c r="B52" s="30" t="n">
        <x:v>46323</x:v>
      </x:c>
      <x:c r="C52" s="2" t="str">
        <x:v>Brian</x:v>
      </x:c>
      <x:c r="D52" s="2" t="str">
        <x:v>Web and Tracking</x:v>
      </x:c>
      <x:c r="E52" s="26" t="str">
        <x:v>One-case functional draft</x:v>
      </x:c>
      <x:c r="F52" s="2" t="n">
        <x:v>1</x:v>
      </x:c>
      <x:c r="G52" s="20"/>
      <x:c r="H52" s="2" t="str">
        <x:v>accepted output</x:v>
      </x:c>
      <x:c r="I52" s="20" t="str">
        <x:v>Ready</x:v>
      </x:c>
      <x:c r="J52" s="2" t="str">
        <x:v>16:45</x:v>
      </x:c>
      <x:c r="K52" s="28" t="str"/>
      <x:c r="L52" s="28" t="str"/>
      <x:c r="M52" s="20" t="str"/>
      <x:c r="N52" s="33"/>
      <x:c r="O52" s="20" t="str"/>
      <x:c r="P52" s="33"/>
      <x:c r="Q52" s="2" t="n">
        <x:f>IF(AND(AE52=1),1,0)</x:f>
        <x:v>0</x:v>
      </x:c>
      <x:c r="R52" s="2" t="str">
        <x:f>IF(AND(Q52=1,P52&lt;='Dashboard'!$B$5),IF(P52&gt;B52,"Accepted late","Accepted"),IF(B52&lt;'Dashboard'!$B$5,"Overdue",IF(I52="Blocked","Blocked",IF(B52='Dashboard'!$B$5,"Due today","Planned"))))</x:f>
        <x:v>Planned</x:v>
      </x:c>
      <x:c r="S52" s="26" t="str">
        <x:f>IF(I52="Accepted",IF(K52="","Add evidence",IF(O52="","Add reviewer",IF(P52="","Add accepted date",IF(AND(ISNUMBER(F52),COUNT(G52)=0),"Add actual quantity",IF(Q52=0,"Review target / date / dependencies","Complete"))))),IF(OR(I52="Blocked",I52="Deferred"),IF(L52="","Record blocker / reason",IF(M52="","Assign rescue owner",IF(N52="","Set recovery date","Recovery assigned"))),IF(B52&lt;'Dashboard'!$B$5,"Escalate and record recovery","Work to acceptance standard")))</x:f>
        <x:v>Work to acceptance standard</x:v>
      </x:c>
      <x:c r="T52" s="26" t="str"/>
      <x:c r="U52" s="26" t="str">
        <x:v>Unsupported proof held; no placeholders exposed in production.</x:v>
      </x:c>
      <x:c r="V52" s="31" t="n">
        <x:v>2</x:v>
      </x:c>
      <x:c r="W52" s="26" t="str"/>
      <x:c r="X52" s="26" t="str">
        <x:v>DSI Reset PDF: lane responsibilities and dated runbook; dated allocation proposed for this tracker.</x:v>
      </x:c>
      <x:c r="Y52" s="30" t="n">
        <x:f>B52-WEEKDAY(B52,2)+1</x:f>
        <x:v>46321</x:v>
      </x:c>
      <x:c r="Z52" s="2" t="str">
        <x:v>checklist</x:v>
      </x:c>
      <x:c r="AA52" s="2" t="n">
        <x:f>IF(Q52=1,IF(P52&gt;B52,1,0),0)</x:f>
        <x:v>0</x:v>
      </x:c>
      <x:c r="AB52" s="2" t="n">
        <x:f>IF(AND(Q52=1,P52&lt;='Dashboard'!$B$5),0,MAX(0,'Dashboard'!$B$5-B52))</x:f>
        <x:v>0</x:v>
      </x:c>
      <x:c r="AC52" s="28" t="str"/>
      <x:c r="AD52" s="2" t="str">
        <x:f>IF(AND(ISNUMBER(F52),ISNUMBER(G52)),G52-F52,"")</x:f>
      </x:c>
      <x:c r="AE52" s="2" t="n">
        <x:f>IF(AND(I52="Accepted",K52&lt;&gt;"",O52&lt;&gt;"",ISNUMBER(P52),P52&gt;0,P52&lt;='Dashboard'!$B$5,IF(ISNUMBER(F52),ISNUMBER(G52),TRUE),IF(ISNUMBER(F52),G52&gt;=F52,TRUE)),1,0)</x:f>
        <x:v>0</x:v>
      </x:c>
    </x:row>
    <x:row r="53" ht="58" customHeight="1">
      <x:c r="A53" s="2" t="str">
        <x:v>T0045</x:v>
      </x:c>
      <x:c r="B53" s="30" t="n">
        <x:v>46323</x:v>
      </x:c>
      <x:c r="C53" s="2" t="str">
        <x:v>Dexter</x:v>
      </x:c>
      <x:c r="D53" s="2" t="str">
        <x:v>LinkedIn Execution</x:v>
      </x:c>
      <x:c r="E53" s="26" t="str">
        <x:v>Eligible Wave 1 list+DSI-LI-01 v 0.9</x:v>
      </x:c>
      <x:c r="F53" s="2" t="n">
        <x:v>1</x:v>
      </x:c>
      <x:c r="G53" s="20"/>
      <x:c r="H53" s="2" t="str">
        <x:v>accepted output</x:v>
      </x:c>
      <x:c r="I53" s="20" t="str">
        <x:v>Ready</x:v>
      </x:c>
      <x:c r="J53" s="2" t="str">
        <x:v>16:45</x:v>
      </x:c>
      <x:c r="K53" s="28" t="str"/>
      <x:c r="L53" s="28" t="str"/>
      <x:c r="M53" s="20" t="str"/>
      <x:c r="N53" s="33"/>
      <x:c r="O53" s="20" t="str"/>
      <x:c r="P53" s="33"/>
      <x:c r="Q53" s="2" t="n">
        <x:f>IF(AND(AE53=1),1,0)</x:f>
        <x:v>0</x:v>
      </x:c>
      <x:c r="R53" s="2" t="str">
        <x:f>IF(AND(Q53=1,P53&lt;='Dashboard'!$B$5),IF(P53&gt;B53,"Accepted late","Accepted"),IF(B53&lt;'Dashboard'!$B$5,"Overdue",IF(I53="Blocked","Blocked",IF(B53='Dashboard'!$B$5,"Due today","Planned"))))</x:f>
        <x:v>Planned</x:v>
      </x:c>
      <x:c r="S53" s="26" t="str">
        <x:f>IF(I53="Accepted",IF(K53="","Add evidence",IF(O53="","Add reviewer",IF(P53="","Add accepted date",IF(AND(ISNUMBER(F53),COUNT(G53)=0),"Add actual quantity",IF(Q53=0,"Review target / date / dependencies","Complete"))))),IF(OR(I53="Blocked",I53="Deferred"),IF(L53="","Record blocker / reason",IF(M53="","Assign rescue owner",IF(N53="","Set recovery date","Recovery assigned"))),IF(B53&lt;'Dashboard'!$B$5,"Escalate and record recovery","Work to acceptance standard")))</x:f>
        <x:v>Work to acceptance standard</x:v>
      </x:c>
      <x:c r="T53" s="26" t="str"/>
      <x:c r="U53" s="26" t="str">
        <x:v>Verified local profile; evidence/date logged; source 17 a 30 day filter where available.</x:v>
      </x:c>
      <x:c r="V53" s="31" t="n">
        <x:v>3</x:v>
      </x:c>
      <x:c r="W53" s="26" t="str"/>
      <x:c r="X53" s="26" t="str">
        <x:v>DSI Reset PDF: lane responsibilities and dated runbook; dated allocation proposed for this tracker.</x:v>
      </x:c>
      <x:c r="Y53" s="30" t="n">
        <x:f>B53-WEEKDAY(B53,2)+1</x:f>
        <x:v>46321</x:v>
      </x:c>
      <x:c r="Z53" s="2" t="str">
        <x:v>checklist</x:v>
      </x:c>
      <x:c r="AA53" s="2" t="n">
        <x:f>IF(Q53=1,IF(P53&gt;B53,1,0),0)</x:f>
        <x:v>0</x:v>
      </x:c>
      <x:c r="AB53" s="2" t="n">
        <x:f>IF(AND(Q53=1,P53&lt;='Dashboard'!$B$5),0,MAX(0,'Dashboard'!$B$5-B53))</x:f>
        <x:v>0</x:v>
      </x:c>
      <x:c r="AC53" s="28" t="str"/>
      <x:c r="AD53" s="2" t="str">
        <x:f>IF(AND(ISNUMBER(F53),ISNUMBER(G53)),G53-F53,"")</x:f>
      </x:c>
      <x:c r="AE53" s="2" t="n">
        <x:f>IF(AND(I53="Accepted",K53&lt;&gt;"",O53&lt;&gt;"",ISNUMBER(P53),P53&gt;0,P53&lt;='Dashboard'!$B$5,IF(ISNUMBER(F53),ISNUMBER(G53),TRUE),IF(ISNUMBER(F53),G53&gt;=F53,TRUE)),1,0)</x:f>
        <x:v>0</x:v>
      </x:c>
    </x:row>
    <x:row r="54" ht="58" customHeight="1">
      <x:c r="A54" s="2" t="str">
        <x:v>T0046</x:v>
      </x:c>
      <x:c r="B54" s="30" t="n">
        <x:v>46324</x:v>
      </x:c>
      <x:c r="C54" s="2" t="str">
        <x:v>Wyline</x:v>
      </x:c>
      <x:c r="D54" s="2" t="str">
        <x:v>Program Director</x:v>
      </x:c>
      <x:c r="E54" s="26" t="str">
        <x:v>Signed copy/first 3 social/ad script approval or return list</x:v>
      </x:c>
      <x:c r="F54" s="2" t="n">
        <x:v>1</x:v>
      </x:c>
      <x:c r="G54" s="20"/>
      <x:c r="H54" s="2" t="str">
        <x:v>accepted output</x:v>
      </x:c>
      <x:c r="I54" s="20" t="str">
        <x:v>Ready</x:v>
      </x:c>
      <x:c r="J54" s="2" t="str">
        <x:v>16:45</x:v>
      </x:c>
      <x:c r="K54" s="28" t="str"/>
      <x:c r="L54" s="28" t="str"/>
      <x:c r="M54" s="20" t="str"/>
      <x:c r="N54" s="33"/>
      <x:c r="O54" s="20" t="str"/>
      <x:c r="P54" s="33"/>
      <x:c r="Q54" s="2" t="n">
        <x:f>IF(AND(AE54=1),1,0)</x:f>
        <x:v>0</x:v>
      </x:c>
      <x:c r="R54" s="2" t="str">
        <x:f>IF(AND(Q54=1,P54&lt;='Dashboard'!$B$5),IF(P54&gt;B54,"Accepted late","Accepted"),IF(B54&lt;'Dashboard'!$B$5,"Overdue",IF(I54="Blocked","Blocked",IF(B54='Dashboard'!$B$5,"Due today","Planned"))))</x:f>
        <x:v>Planned</x:v>
      </x:c>
      <x:c r="S54" s="26" t="str">
        <x:f>IF(I54="Accepted",IF(K54="","Add evidence",IF(O54="","Add reviewer",IF(P54="","Add accepted date",IF(AND(ISNUMBER(F54),COUNT(G54)=0),"Add actual quantity",IF(Q54=0,"Review target / date / dependencies","Complete"))))),IF(OR(I54="Blocked",I54="Deferred"),IF(L54="","Record blocker / reason",IF(M54="","Assign rescue owner",IF(N54="","Set recovery date","Recovery assigned"))),IF(B54&lt;'Dashboard'!$B$5,"Escalate and record recovery","Work to acceptance standard")))</x:f>
        <x:v>Work to acceptance standard</x:v>
      </x:c>
      <x:c r="T54" s="26" t="str"/>
      <x:c r="U54" s="26" t="str">
        <x:v>Every outward claim sourced; posted version identical to approved.</x:v>
      </x:c>
      <x:c r="V54" s="31" t="n">
        <x:v>3</x:v>
      </x:c>
      <x:c r="W54" s="26" t="str"/>
      <x:c r="X54" s="26" t="str">
        <x:v>DSI Reset PDF: lane responsibilities and dated runbook; dated allocation proposed for this tracker.</x:v>
      </x:c>
      <x:c r="Y54" s="30" t="n">
        <x:f>B54-WEEKDAY(B54,2)+1</x:f>
        <x:v>46321</x:v>
      </x:c>
      <x:c r="Z54" s="2" t="str">
        <x:v>checklist</x:v>
      </x:c>
      <x:c r="AA54" s="2" t="n">
        <x:f>IF(Q54=1,IF(P54&gt;B54,1,0),0)</x:f>
        <x:v>0</x:v>
      </x:c>
      <x:c r="AB54" s="2" t="n">
        <x:f>IF(AND(Q54=1,P54&lt;='Dashboard'!$B$5),0,MAX(0,'Dashboard'!$B$5-B54))</x:f>
        <x:v>0</x:v>
      </x:c>
      <x:c r="AC54" s="28" t="str"/>
      <x:c r="AD54" s="2" t="str">
        <x:f>IF(AND(ISNUMBER(F54),ISNUMBER(G54)),G54-F54,"")</x:f>
      </x:c>
      <x:c r="AE54" s="2" t="n">
        <x:f>IF(AND(I54="Accepted",K54&lt;&gt;"",O54&lt;&gt;"",ISNUMBER(P54),P54&gt;0,P54&lt;='Dashboard'!$B$5,IF(ISNUMBER(F54),ISNUMBER(G54),TRUE),IF(ISNUMBER(F54),G54&gt;=F54,TRUE)),1,0)</x:f>
        <x:v>0</x:v>
      </x:c>
    </x:row>
    <x:row r="55" ht="58" customHeight="1">
      <x:c r="A55" s="2" t="str">
        <x:v>T0047</x:v>
      </x:c>
      <x:c r="B55" s="30" t="n">
        <x:v>46324</x:v>
      </x:c>
      <x:c r="C55" s="2" t="str">
        <x:v>Kenneth</x:v>
      </x:c>
      <x:c r="D55" s="2" t="str">
        <x:v>Message Orchestrator</x:v>
      </x:c>
      <x:c r="E55" s="26" t="str">
        <x:v>20-contact Writer test; complete copy pack; 3 posts; 30 second ad script</x:v>
      </x:c>
      <x:c r="F55" s="2" t="n">
        <x:v>1</x:v>
      </x:c>
      <x:c r="G55" s="20"/>
      <x:c r="H55" s="2" t="str">
        <x:v>accepted output</x:v>
      </x:c>
      <x:c r="I55" s="20" t="str">
        <x:v>Ready</x:v>
      </x:c>
      <x:c r="J55" s="2" t="str">
        <x:v>16:45</x:v>
      </x:c>
      <x:c r="K55" s="28" t="str"/>
      <x:c r="L55" s="28" t="str"/>
      <x:c r="M55" s="20" t="str"/>
      <x:c r="N55" s="33"/>
      <x:c r="O55" s="20" t="str"/>
      <x:c r="P55" s="33"/>
      <x:c r="Q55" s="2" t="n">
        <x:f>IF(AND(AE55=1),1,0)</x:f>
        <x:v>0</x:v>
      </x:c>
      <x:c r="R55" s="2" t="str">
        <x:f>IF(AND(Q55=1,P55&lt;='Dashboard'!$B$5),IF(P55&gt;B55,"Accepted late","Accepted"),IF(B55&lt;'Dashboard'!$B$5,"Overdue",IF(I55="Blocked","Blocked",IF(B55='Dashboard'!$B$5,"Due today","Planned"))))</x:f>
        <x:v>Planned</x:v>
      </x:c>
      <x:c r="S55" s="26" t="str">
        <x:f>IF(I55="Accepted",IF(K55="","Add evidence",IF(O55="","Add reviewer",IF(P55="","Add accepted date",IF(AND(ISNUMBER(F55),COUNT(G55)=0),"Add actual quantity",IF(Q55=0,"Review target / date / dependencies","Complete"))))),IF(OR(I55="Blocked",I55="Deferred"),IF(L55="","Record blocker / reason",IF(M55="","Assign rescue owner",IF(N55="","Set recovery date","Recovery assigned"))),IF(B55&lt;'Dashboard'!$B$5,"Escalate and record recovery","Work to acceptance standard")))</x:f>
        <x:v>Work to acceptance standard</x:v>
      </x:c>
      <x:c r="T55" s="26" t="str"/>
      <x:c r="U55" s="26" t="str">
        <x:v>&gt;=80% first lines approved unedited; zero invented claims; all words versioned.</x:v>
      </x:c>
      <x:c r="V55" s="31" t="n">
        <x:v>2.5</x:v>
      </x:c>
      <x:c r="W55" s="26" t="str"/>
      <x:c r="X55" s="26" t="str">
        <x:v>DSI Reset PDF: lane responsibilities and dated runbook; dated allocation proposed for this tracker.</x:v>
      </x:c>
      <x:c r="Y55" s="30" t="n">
        <x:f>B55-WEEKDAY(B55,2)+1</x:f>
        <x:v>46321</x:v>
      </x:c>
      <x:c r="Z55" s="2" t="str">
        <x:v>checklist</x:v>
      </x:c>
      <x:c r="AA55" s="2" t="n">
        <x:f>IF(Q55=1,IF(P55&gt;B55,1,0),0)</x:f>
        <x:v>0</x:v>
      </x:c>
      <x:c r="AB55" s="2" t="n">
        <x:f>IF(AND(Q55=1,P55&lt;='Dashboard'!$B$5),0,MAX(0,'Dashboard'!$B$5-B55))</x:f>
        <x:v>0</x:v>
      </x:c>
      <x:c r="AC55" s="28" t="str"/>
      <x:c r="AD55" s="2" t="str">
        <x:f>IF(AND(ISNUMBER(F55),ISNUMBER(G55)),G55-F55,"")</x:f>
      </x:c>
      <x:c r="AE55" s="2" t="n">
        <x:f>IF(AND(I55="Accepted",K55&lt;&gt;"",O55&lt;&gt;"",ISNUMBER(P55),P55&gt;0,P55&lt;='Dashboard'!$B$5,IF(ISNUMBER(F55),ISNUMBER(G55),TRUE),IF(ISNUMBER(F55),G55&gt;=F55,TRUE)),1,0)</x:f>
        <x:v>0</x:v>
      </x:c>
    </x:row>
    <x:row r="56" ht="58" customHeight="1">
      <x:c r="A56" s="2" t="str">
        <x:v>T0048</x:v>
      </x:c>
      <x:c r="B56" s="30" t="n">
        <x:v>46324</x:v>
      </x:c>
      <x:c r="C56" s="2" t="str">
        <x:v>Joey</x:v>
      </x:c>
      <x:c r="D56" s="2" t="str">
        <x:v>Data Orchestrator</x:v>
      </x:c>
      <x:c r="E56" s="26" t="str">
        <x:v>DSI One Case Wave 1 setup; 250 custom field rows</x:v>
      </x:c>
      <x:c r="F56" s="2" t="n">
        <x:v>1</x:v>
      </x:c>
      <x:c r="G56" s="20"/>
      <x:c r="H56" s="2" t="str">
        <x:v>accepted output</x:v>
      </x:c>
      <x:c r="I56" s="20" t="str">
        <x:v>Ready</x:v>
      </x:c>
      <x:c r="J56" s="2" t="str">
        <x:v>16:45</x:v>
      </x:c>
      <x:c r="K56" s="28" t="str"/>
      <x:c r="L56" s="28" t="str"/>
      <x:c r="M56" s="20" t="str"/>
      <x:c r="N56" s="33"/>
      <x:c r="O56" s="20" t="str"/>
      <x:c r="P56" s="33"/>
      <x:c r="Q56" s="2" t="n">
        <x:f>IF(AND(AE56=1),1,0)</x:f>
        <x:v>0</x:v>
      </x:c>
      <x:c r="R56" s="2" t="str">
        <x:f>IF(AND(Q56=1,P56&lt;='Dashboard'!$B$5),IF(P56&gt;B56,"Accepted late","Accepted"),IF(B56&lt;'Dashboard'!$B$5,"Overdue",IF(I56="Blocked","Blocked",IF(B56='Dashboard'!$B$5,"Due today","Planned"))))</x:f>
        <x:v>Planned</x:v>
      </x:c>
      <x:c r="S56" s="26" t="str">
        <x:f>IF(I56="Accepted",IF(K56="","Add evidence",IF(O56="","Add reviewer",IF(P56="","Add accepted date",IF(AND(ISNUMBER(F56),COUNT(G56)=0),"Add actual quantity",IF(Q56=0,"Review target / date / dependencies","Complete"))))),IF(OR(I56="Blocked",I56="Deferred"),IF(L56="","Record blocker / reason",IF(M56="","Assign rescue owner",IF(N56="","Set recovery date","Recovery assigned"))),IF(B56&lt;'Dashboard'!$B$5,"Escalate and record recovery","Work to acceptance standard")))</x:f>
        <x:v>Work to acceptance standard</x:v>
      </x:c>
      <x:c r="T56" s="26" t="str"/>
      <x:c r="U56" s="26" t="str">
        <x:v>Only real authorized senders; first lines approved; campaign awaits launch gate.</x:v>
      </x:c>
      <x:c r="V56" s="31" t="n">
        <x:v>3</x:v>
      </x:c>
      <x:c r="W56" s="26" t="str"/>
      <x:c r="X56" s="26" t="str">
        <x:v>DSI Reset PDF: lane responsibilities and dated runbook; dated allocation proposed for this tracker.</x:v>
      </x:c>
      <x:c r="Y56" s="30" t="n">
        <x:f>B56-WEEKDAY(B56,2)+1</x:f>
        <x:v>46321</x:v>
      </x:c>
      <x:c r="Z56" s="2" t="str">
        <x:v>checklist</x:v>
      </x:c>
      <x:c r="AA56" s="2" t="n">
        <x:f>IF(Q56=1,IF(P56&gt;B56,1,0),0)</x:f>
        <x:v>0</x:v>
      </x:c>
      <x:c r="AB56" s="2" t="n">
        <x:f>IF(AND(Q56=1,P56&lt;='Dashboard'!$B$5),0,MAX(0,'Dashboard'!$B$5-B56))</x:f>
        <x:v>0</x:v>
      </x:c>
      <x:c r="AC56" s="28" t="str"/>
      <x:c r="AD56" s="2" t="str">
        <x:f>IF(AND(ISNUMBER(F56),ISNUMBER(G56)),G56-F56,"")</x:f>
      </x:c>
      <x:c r="AE56" s="2" t="n">
        <x:f>IF(AND(I56="Accepted",K56&lt;&gt;"",O56&lt;&gt;"",ISNUMBER(P56),P56&gt;0,P56&lt;='Dashboard'!$B$5,IF(ISNUMBER(F56),ISNUMBER(G56),TRUE),IF(ISNUMBER(F56),G56&gt;=F56,TRUE)),1,0)</x:f>
        <x:v>0</x:v>
      </x:c>
    </x:row>
    <x:row r="57" ht="58" customHeight="1">
      <x:c r="A57" s="2" t="str">
        <x:v>T0049</x:v>
      </x:c>
      <x:c r="B57" s="30" t="n">
        <x:v>46324</x:v>
      </x:c>
      <x:c r="C57" s="2" t="str">
        <x:v>Nova</x:v>
      </x:c>
      <x:c r="D57" s="2" t="str">
        <x:v>Conversion Orchestrator</x:v>
      </x:c>
      <x:c r="E57" s="26" t="str">
        <x:v>Dummy lead through booking/reminders/no-show/trial/Day-30</x:v>
      </x:c>
      <x:c r="F57" s="2" t="n">
        <x:v>1</x:v>
      </x:c>
      <x:c r="G57" s="20"/>
      <x:c r="H57" s="2" t="str">
        <x:v>accepted output</x:v>
      </x:c>
      <x:c r="I57" s="20" t="str">
        <x:v>Ready</x:v>
      </x:c>
      <x:c r="J57" s="2" t="str">
        <x:v>16:45</x:v>
      </x:c>
      <x:c r="K57" s="28" t="str"/>
      <x:c r="L57" s="28" t="str"/>
      <x:c r="M57" s="20" t="str"/>
      <x:c r="N57" s="33"/>
      <x:c r="O57" s="20" t="str"/>
      <x:c r="P57" s="33"/>
      <x:c r="Q57" s="2" t="n">
        <x:f>IF(AND(AE57=1),1,0)</x:f>
        <x:v>0</x:v>
      </x:c>
      <x:c r="R57" s="2" t="str">
        <x:f>IF(AND(Q57=1,P57&lt;='Dashboard'!$B$5),IF(P57&gt;B57,"Accepted late","Accepted"),IF(B57&lt;'Dashboard'!$B$5,"Overdue",IF(I57="Blocked","Blocked",IF(B57='Dashboard'!$B$5,"Due today","Planned"))))</x:f>
        <x:v>Planned</x:v>
      </x:c>
      <x:c r="S57" s="26" t="str">
        <x:f>IF(I57="Accepted",IF(K57="","Add evidence",IF(O57="","Add reviewer",IF(P57="","Add accepted date",IF(AND(ISNUMBER(F57),COUNT(G57)=0),"Add actual quantity",IF(Q57=0,"Review target / date / dependencies","Complete"))))),IF(OR(I57="Blocked",I57="Deferred"),IF(L57="","Record blocker / reason",IF(M57="","Assign rescue owner",IF(N57="","Set recovery date","Recovery assigned"))),IF(B57&lt;'Dashboard'!$B$5,"Escalate and record recovery","Work to acceptance standard")))</x:f>
        <x:v>Work to acceptance standard</x:v>
      </x:c>
      <x:c r="T57" s="26" t="str"/>
      <x:c r="U57" s="26" t="str">
        <x:v>Each stage/notification correct; defects assigned for Oct 30.</x:v>
      </x:c>
      <x:c r="V57" s="31" t="n">
        <x:v>4</x:v>
      </x:c>
      <x:c r="W57" s="26" t="str"/>
      <x:c r="X57" s="26" t="str">
        <x:v>DSI Reset PDF: lane responsibilities and dated runbook; dated allocation proposed for this tracker.</x:v>
      </x:c>
      <x:c r="Y57" s="30" t="n">
        <x:f>B57-WEEKDAY(B57,2)+1</x:f>
        <x:v>46321</x:v>
      </x:c>
      <x:c r="Z57" s="2" t="str">
        <x:v>checklist</x:v>
      </x:c>
      <x:c r="AA57" s="2" t="n">
        <x:f>IF(Q57=1,IF(P57&gt;B57,1,0),0)</x:f>
        <x:v>0</x:v>
      </x:c>
      <x:c r="AB57" s="2" t="n">
        <x:f>IF(AND(Q57=1,P57&lt;='Dashboard'!$B$5),0,MAX(0,'Dashboard'!$B$5-B57))</x:f>
        <x:v>0</x:v>
      </x:c>
      <x:c r="AC57" s="28" t="str"/>
      <x:c r="AD57" s="2" t="str">
        <x:f>IF(AND(ISNUMBER(F57),ISNUMBER(G57)),G57-F57,"")</x:f>
      </x:c>
      <x:c r="AE57" s="2" t="n">
        <x:f>IF(AND(I57="Accepted",K57&lt;&gt;"",O57&lt;&gt;"",ISNUMBER(P57),P57&gt;0,P57&lt;='Dashboard'!$B$5,IF(ISNUMBER(F57),ISNUMBER(G57),TRUE),IF(ISNUMBER(F57),G57&gt;=F57,TRUE)),1,0)</x:f>
        <x:v>0</x:v>
      </x:c>
    </x:row>
    <x:row r="58" ht="58" customHeight="1">
      <x:c r="A58" s="2" t="str">
        <x:v>T0050</x:v>
      </x:c>
      <x:c r="B58" s="30" t="n">
        <x:v>46324</x:v>
      </x:c>
      <x:c r="C58" s="2" t="str">
        <x:v>Emman</x:v>
      </x:c>
      <x:c r="D58" s="2" t="str">
        <x:v>AI Build Orchestrator</x:v>
      </x:c>
      <x:c r="E58" s="26" t="str">
        <x:v>Signed 38-reply result and manual fallback runbook</x:v>
      </x:c>
      <x:c r="F58" s="2" t="n">
        <x:v>1</x:v>
      </x:c>
      <x:c r="G58" s="20"/>
      <x:c r="H58" s="2" t="str">
        <x:v>accepted output</x:v>
      </x:c>
      <x:c r="I58" s="20" t="str">
        <x:v>Ready</x:v>
      </x:c>
      <x:c r="J58" s="2" t="str">
        <x:v>16:45</x:v>
      </x:c>
      <x:c r="K58" s="28" t="str"/>
      <x:c r="L58" s="28" t="str"/>
      <x:c r="M58" s="20" t="str"/>
      <x:c r="N58" s="33"/>
      <x:c r="O58" s="20" t="str"/>
      <x:c r="P58" s="33"/>
      <x:c r="Q58" s="2" t="n">
        <x:f>IF(AND(AE58=1),1,0)</x:f>
        <x:v>0</x:v>
      </x:c>
      <x:c r="R58" s="2" t="str">
        <x:f>IF(AND(Q58=1,P58&lt;='Dashboard'!$B$5),IF(P58&gt;B58,"Accepted late","Accepted"),IF(B58&lt;'Dashboard'!$B$5,"Overdue",IF(I58="Blocked","Blocked",IF(B58='Dashboard'!$B$5,"Due today","Planned"))))</x:f>
        <x:v>Planned</x:v>
      </x:c>
      <x:c r="S58" s="26" t="str">
        <x:f>IF(I58="Accepted",IF(K58="","Add evidence",IF(O58="","Add reviewer",IF(P58="","Add accepted date",IF(AND(ISNUMBER(F58),COUNT(G58)=0),"Add actual quantity",IF(Q58=0,"Review target / date / dependencies","Complete"))))),IF(OR(I58="Blocked",I58="Deferred"),IF(L58="","Record blocker / reason",IF(M58="","Assign rescue owner",IF(N58="","Set recovery date","Recovery assigned"))),IF(B58&lt;'Dashboard'!$B$5,"Escalate and record recovery","Work to acceptance standard")))</x:f>
        <x:v>Work to acceptance standard</x:v>
      </x:c>
      <x:c r="T58" s="26" t="str"/>
      <x:c r="U58" s="26" t="str">
        <x:v>Critical misclassification or alert failure blocks automated drafting.</x:v>
      </x:c>
      <x:c r="V58" s="31" t="n">
        <x:v>4</x:v>
      </x:c>
      <x:c r="W58" s="26" t="str"/>
      <x:c r="X58" s="26" t="str">
        <x:v>DSI Reset PDF: lane responsibilities and dated runbook; dated allocation proposed for this tracker.</x:v>
      </x:c>
      <x:c r="Y58" s="30" t="n">
        <x:f>B58-WEEKDAY(B58,2)+1</x:f>
        <x:v>46321</x:v>
      </x:c>
      <x:c r="Z58" s="2" t="str">
        <x:v>checklist</x:v>
      </x:c>
      <x:c r="AA58" s="2" t="n">
        <x:f>IF(Q58=1,IF(P58&gt;B58,1,0),0)</x:f>
        <x:v>0</x:v>
      </x:c>
      <x:c r="AB58" s="2" t="n">
        <x:f>IF(AND(Q58=1,P58&lt;='Dashboard'!$B$5),0,MAX(0,'Dashboard'!$B$5-B58))</x:f>
        <x:v>0</x:v>
      </x:c>
      <x:c r="AC58" s="28" t="str"/>
      <x:c r="AD58" s="2" t="str">
        <x:f>IF(AND(ISNUMBER(F58),ISNUMBER(G58)),G58-F58,"")</x:f>
      </x:c>
      <x:c r="AE58" s="2" t="n">
        <x:f>IF(AND(I58="Accepted",K58&lt;&gt;"",O58&lt;&gt;"",ISNUMBER(P58),P58&gt;0,P58&lt;='Dashboard'!$B$5,IF(ISNUMBER(F58),ISNUMBER(G58),TRUE),IF(ISNUMBER(F58),G58&gt;=F58,TRUE)),1,0)</x:f>
        <x:v>0</x:v>
      </x:c>
    </x:row>
    <x:row r="59" ht="58" customHeight="1">
      <x:c r="A59" s="2" t="str">
        <x:v>T0051</x:v>
      </x:c>
      <x:c r="B59" s="30" t="n">
        <x:v>46324</x:v>
      </x:c>
      <x:c r="C59" s="2" t="str">
        <x:v>Ludwig</x:v>
      </x:c>
      <x:c r="D59" s="2" t="str">
        <x:v>Integration Engineer</x:v>
      </x:c>
      <x:c r="E59" s="26" t="str">
        <x:v>Fixed endpoints plus retry/error runbook</x:v>
      </x:c>
      <x:c r="F59" s="2" t="n">
        <x:v>1</x:v>
      </x:c>
      <x:c r="G59" s="20"/>
      <x:c r="H59" s="2" t="str">
        <x:v>accepted output</x:v>
      </x:c>
      <x:c r="I59" s="20" t="str">
        <x:v>Ready</x:v>
      </x:c>
      <x:c r="J59" s="2" t="str">
        <x:v>16:45</x:v>
      </x:c>
      <x:c r="K59" s="28" t="str"/>
      <x:c r="L59" s="28" t="str"/>
      <x:c r="M59" s="20" t="str"/>
      <x:c r="N59" s="33"/>
      <x:c r="O59" s="20" t="str"/>
      <x:c r="P59" s="33"/>
      <x:c r="Q59" s="2" t="n">
        <x:f>IF(AND(AE59=1),1,0)</x:f>
        <x:v>0</x:v>
      </x:c>
      <x:c r="R59" s="2" t="str">
        <x:f>IF(AND(Q59=1,P59&lt;='Dashboard'!$B$5),IF(P59&gt;B59,"Accepted late","Accepted"),IF(B59&lt;'Dashboard'!$B$5,"Overdue",IF(I59="Blocked","Blocked",IF(B59='Dashboard'!$B$5,"Due today","Planned"))))</x:f>
        <x:v>Planned</x:v>
      </x:c>
      <x:c r="S59" s="26" t="str">
        <x:f>IF(I59="Accepted",IF(K59="","Add evidence",IF(O59="","Add reviewer",IF(P59="","Add accepted date",IF(AND(ISNUMBER(F59),COUNT(G59)=0),"Add actual quantity",IF(Q59=0,"Review target / date / dependencies","Complete"))))),IF(OR(I59="Blocked",I59="Deferred"),IF(L59="","Record blocker / reason",IF(M59="","Assign rescue owner",IF(N59="","Set recovery date","Recovery assigned"))),IF(B59&lt;'Dashboard'!$B$5,"Escalate and record recovery","Work to acceptance standard")))</x:f>
        <x:v>Work to acceptance standard</x:v>
      </x:c>
      <x:c r="T59" s="26" t="str"/>
      <x:c r="U59" s="26" t="str">
        <x:v>Repeat failed test cases; 100% capture; traceable IDs.</x:v>
      </x:c>
      <x:c r="V59" s="31" t="n">
        <x:v>1.5</x:v>
      </x:c>
      <x:c r="W59" s="26" t="str"/>
      <x:c r="X59" s="26" t="str">
        <x:v>DSI Reset PDF: lane responsibilities and dated runbook; dated allocation proposed for this tracker.</x:v>
      </x:c>
      <x:c r="Y59" s="30" t="n">
        <x:f>B59-WEEKDAY(B59,2)+1</x:f>
        <x:v>46321</x:v>
      </x:c>
      <x:c r="Z59" s="2" t="str">
        <x:v>checklist</x:v>
      </x:c>
      <x:c r="AA59" s="2" t="n">
        <x:f>IF(Q59=1,IF(P59&gt;B59,1,0),0)</x:f>
        <x:v>0</x:v>
      </x:c>
      <x:c r="AB59" s="2" t="n">
        <x:f>IF(AND(Q59=1,P59&lt;='Dashboard'!$B$5),0,MAX(0,'Dashboard'!$B$5-B59))</x:f>
        <x:v>0</x:v>
      </x:c>
      <x:c r="AC59" s="28" t="str"/>
      <x:c r="AD59" s="2" t="str">
        <x:f>IF(AND(ISNUMBER(F59),ISNUMBER(G59)),G59-F59,"")</x:f>
      </x:c>
      <x:c r="AE59" s="2" t="n">
        <x:f>IF(AND(I59="Accepted",K59&lt;&gt;"",O59&lt;&gt;"",ISNUMBER(P59),P59&gt;0,P59&lt;='Dashboard'!$B$5,IF(ISNUMBER(F59),ISNUMBER(G59),TRUE),IF(ISNUMBER(F59),G59&gt;=F59,TRUE)),1,0)</x:f>
        <x:v>0</x:v>
      </x:c>
    </x:row>
    <x:row r="60" ht="58" customHeight="1">
      <x:c r="A60" s="2" t="str">
        <x:v>T0052</x:v>
      </x:c>
      <x:c r="B60" s="30" t="n">
        <x:v>46324</x:v>
      </x:c>
      <x:c r="C60" s="2" t="str">
        <x:v>Alvin</x:v>
      </x:c>
      <x:c r="D60" s="2" t="str">
        <x:v>CQL/GHL Implementation</x:v>
      </x:c>
      <x:c r="E60" s="26" t="str">
        <x:v>Signed CQL test; DSI LinkedIn/Facebook permissions; Instagram conditional</x:v>
      </x:c>
      <x:c r="F60" s="2" t="n">
        <x:v>1</x:v>
      </x:c>
      <x:c r="G60" s="20"/>
      <x:c r="H60" s="2" t="str">
        <x:v>accepted output</x:v>
      </x:c>
      <x:c r="I60" s="20" t="str">
        <x:v>Ready</x:v>
      </x:c>
      <x:c r="J60" s="2" t="str">
        <x:v>16:45</x:v>
      </x:c>
      <x:c r="K60" s="28" t="str"/>
      <x:c r="L60" s="28" t="str"/>
      <x:c r="M60" s="20" t="str"/>
      <x:c r="N60" s="33"/>
      <x:c r="O60" s="20" t="str"/>
      <x:c r="P60" s="33"/>
      <x:c r="Q60" s="2" t="n">
        <x:f>IF(AND(AE60=1),1,0)</x:f>
        <x:v>0</x:v>
      </x:c>
      <x:c r="R60" s="2" t="str">
        <x:f>IF(AND(Q60=1,P60&lt;='Dashboard'!$B$5),IF(P60&gt;B60,"Accepted late","Accepted"),IF(B60&lt;'Dashboard'!$B$5,"Overdue",IF(I60="Blocked","Blocked",IF(B60='Dashboard'!$B$5,"Due today","Planned"))))</x:f>
        <x:v>Planned</x:v>
      </x:c>
      <x:c r="S60" s="26" t="str">
        <x:f>IF(I60="Accepted",IF(K60="","Add evidence",IF(O60="","Add reviewer",IF(P60="","Add accepted date",IF(AND(ISNUMBER(F60),COUNT(G60)=0),"Add actual quantity",IF(Q60=0,"Review target / date / dependencies","Complete"))))),IF(OR(I60="Blocked",I60="Deferred"),IF(L60="","Record blocker / reason",IF(M60="","Assign rescue owner",IF(N60="","Set recovery date","Recovery assigned"))),IF(B60&lt;'Dashboard'!$B$5,"Escalate and record recovery","Work to acceptance standard")))</x:f>
        <x:v>Work to acceptance standard</x:v>
      </x:c>
      <x:c r="T60" s="26" t="str"/>
      <x:c r="U60" s="26" t="str">
        <x:v>Referral credits paid-trigger; booking conversion/source; no unapproved social scheduled.</x:v>
      </x:c>
      <x:c r="V60" s="31" t="n">
        <x:v>2</x:v>
      </x:c>
      <x:c r="W60" s="26" t="str"/>
      <x:c r="X60" s="26" t="str">
        <x:v>DSI Reset PDF: lane responsibilities and dated runbook; dated allocation proposed for this tracker.</x:v>
      </x:c>
      <x:c r="Y60" s="30" t="n">
        <x:f>B60-WEEKDAY(B60,2)+1</x:f>
        <x:v>46321</x:v>
      </x:c>
      <x:c r="Z60" s="2" t="str">
        <x:v>checklist</x:v>
      </x:c>
      <x:c r="AA60" s="2" t="n">
        <x:f>IF(Q60=1,IF(P60&gt;B60,1,0),0)</x:f>
        <x:v>0</x:v>
      </x:c>
      <x:c r="AB60" s="2" t="n">
        <x:f>IF(AND(Q60=1,P60&lt;='Dashboard'!$B$5),0,MAX(0,'Dashboard'!$B$5-B60))</x:f>
        <x:v>0</x:v>
      </x:c>
      <x:c r="AC60" s="28" t="str"/>
      <x:c r="AD60" s="2" t="str">
        <x:f>IF(AND(ISNUMBER(F60),ISNUMBER(G60)),G60-F60,"")</x:f>
      </x:c>
      <x:c r="AE60" s="2" t="n">
        <x:f>IF(AND(I60="Accepted",K60&lt;&gt;"",O60&lt;&gt;"",ISNUMBER(P60),P60&gt;0,P60&lt;='Dashboard'!$B$5,IF(ISNUMBER(F60),ISNUMBER(G60),TRUE),IF(ISNUMBER(F60),G60&gt;=F60,TRUE)),1,0)</x:f>
        <x:v>0</x:v>
      </x:c>
    </x:row>
    <x:row r="61" ht="58" customHeight="1">
      <x:c r="A61" s="2" t="str">
        <x:v>T0053</x:v>
      </x:c>
      <x:c r="B61" s="30" t="n">
        <x:v>46324</x:v>
      </x:c>
      <x:c r="C61" s="2" t="str">
        <x:v>Brian</x:v>
      </x:c>
      <x:c r="D61" s="2" t="str">
        <x:v>Web and Tracking</x:v>
      </x:c>
      <x:c r="E61" s="26" t="str">
        <x:v>Staging page, UTM/source/form/calendar tests</x:v>
      </x:c>
      <x:c r="F61" s="2" t="n">
        <x:v>1</x:v>
      </x:c>
      <x:c r="G61" s="20"/>
      <x:c r="H61" s="2" t="str">
        <x:v>accepted output</x:v>
      </x:c>
      <x:c r="I61" s="20" t="str">
        <x:v>Ready</x:v>
      </x:c>
      <x:c r="J61" s="2" t="str">
        <x:v>16:45</x:v>
      </x:c>
      <x:c r="K61" s="28" t="str"/>
      <x:c r="L61" s="28" t="str"/>
      <x:c r="M61" s="20" t="str"/>
      <x:c r="N61" s="33"/>
      <x:c r="O61" s="20" t="str"/>
      <x:c r="P61" s="33"/>
      <x:c r="Q61" s="2" t="n">
        <x:f>IF(AND(AE61=1),1,0)</x:f>
        <x:v>0</x:v>
      </x:c>
      <x:c r="R61" s="2" t="str">
        <x:f>IF(AND(Q61=1,P61&lt;='Dashboard'!$B$5),IF(P61&gt;B61,"Accepted late","Accepted"),IF(B61&lt;'Dashboard'!$B$5,"Overdue",IF(I61="Blocked","Blocked",IF(B61='Dashboard'!$B$5,"Due today","Planned"))))</x:f>
        <x:v>Planned</x:v>
      </x:c>
      <x:c r="S61" s="26" t="str">
        <x:f>IF(I61="Accepted",IF(K61="","Add evidence",IF(O61="","Add reviewer",IF(P61="","Add accepted date",IF(AND(ISNUMBER(F61),COUNT(G61)=0),"Add actual quantity",IF(Q61=0,"Review target / date / dependencies","Complete"))))),IF(OR(I61="Blocked",I61="Deferred"),IF(L61="","Record blocker / reason",IF(M61="","Assign rescue owner",IF(N61="","Set recovery date","Recovery assigned"))),IF(B61&lt;'Dashboard'!$B$5,"Escalate and record recovery","Work to acceptance standard")))</x:f>
        <x:v>Work to acceptance standard</x:v>
      </x:c>
      <x:c r="T61" s="26" t="str"/>
      <x:c r="U61" s="26" t="str">
        <x:v>Mobile load&lt;2 sec target; CQL form&lt;1 min; actual booking conversion test.</x:v>
      </x:c>
      <x:c r="V61" s="31" t="n">
        <x:v>2</x:v>
      </x:c>
      <x:c r="W61" s="26" t="str"/>
      <x:c r="X61" s="26" t="str">
        <x:v>DSI Reset PDF: lane responsibilities and dated runbook; dated allocation proposed for this tracker.</x:v>
      </x:c>
      <x:c r="Y61" s="30" t="n">
        <x:f>B61-WEEKDAY(B61,2)+1</x:f>
        <x:v>46321</x:v>
      </x:c>
      <x:c r="Z61" s="2" t="str">
        <x:v>checklist</x:v>
      </x:c>
      <x:c r="AA61" s="2" t="n">
        <x:f>IF(Q61=1,IF(P61&gt;B61,1,0),0)</x:f>
        <x:v>0</x:v>
      </x:c>
      <x:c r="AB61" s="2" t="n">
        <x:f>IF(AND(Q61=1,P61&lt;='Dashboard'!$B$5),0,MAX(0,'Dashboard'!$B$5-B61))</x:f>
        <x:v>0</x:v>
      </x:c>
      <x:c r="AC61" s="28" t="str"/>
      <x:c r="AD61" s="2" t="str">
        <x:f>IF(AND(ISNUMBER(F61),ISNUMBER(G61)),G61-F61,"")</x:f>
      </x:c>
      <x:c r="AE61" s="2" t="n">
        <x:f>IF(AND(I61="Accepted",K61&lt;&gt;"",O61&lt;&gt;"",ISNUMBER(P61),P61&gt;0,P61&lt;='Dashboard'!$B$5,IF(ISNUMBER(F61),ISNUMBER(G61),TRUE),IF(ISNUMBER(F61),G61&gt;=F61,TRUE)),1,0)</x:f>
        <x:v>0</x:v>
      </x:c>
    </x:row>
    <x:row r="62" ht="58" customHeight="1">
      <x:c r="A62" s="2" t="str">
        <x:v>T0054</x:v>
      </x:c>
      <x:c r="B62" s="30" t="n">
        <x:v>46324</x:v>
      </x:c>
      <x:c r="C62" s="2" t="str">
        <x:v>Dexter</x:v>
      </x:c>
      <x:c r="D62" s="2" t="str">
        <x:v>LinkedIn Execution</x:v>
      </x:c>
      <x:c r="E62" s="26" t="str">
        <x:v>25 eligible profile queue; note/DM drafts; SOP v 1</x:v>
      </x:c>
      <x:c r="F62" s="2" t="n">
        <x:v>1</x:v>
      </x:c>
      <x:c r="G62" s="20"/>
      <x:c r="H62" s="2" t="str">
        <x:v>accepted output</x:v>
      </x:c>
      <x:c r="I62" s="20" t="str">
        <x:v>Ready</x:v>
      </x:c>
      <x:c r="J62" s="2" t="str">
        <x:v>16:45</x:v>
      </x:c>
      <x:c r="K62" s="28" t="str"/>
      <x:c r="L62" s="28" t="str"/>
      <x:c r="M62" s="20" t="str"/>
      <x:c r="N62" s="33"/>
      <x:c r="O62" s="20" t="str"/>
      <x:c r="P62" s="33"/>
      <x:c r="Q62" s="2" t="n">
        <x:f>IF(AND(AE62=1),1,0)</x:f>
        <x:v>0</x:v>
      </x:c>
      <x:c r="R62" s="2" t="str">
        <x:f>IF(AND(Q62=1,P62&lt;='Dashboard'!$B$5),IF(P62&gt;B62,"Accepted late","Accepted"),IF(B62&lt;'Dashboard'!$B$5,"Overdue",IF(I62="Blocked","Blocked",IF(B62='Dashboard'!$B$5,"Due today","Planned"))))</x:f>
        <x:v>Planned</x:v>
      </x:c>
      <x:c r="S62" s="26" t="str">
        <x:f>IF(I62="Accepted",IF(K62="","Add evidence",IF(O62="","Add reviewer",IF(P62="","Add accepted date",IF(AND(ISNUMBER(F62),COUNT(G62)=0),"Add actual quantity",IF(Q62=0,"Review target / date / dependencies","Complete"))))),IF(OR(I62="Blocked",I62="Deferred"),IF(L62="","Record blocker / reason",IF(M62="","Assign rescue owner",IF(N62="","Set recovery date","Recovery assigned"))),IF(B62&lt;'Dashboard'!$B$5,"Escalate and record recovery","Work to acceptance standard")))</x:f>
        <x:v>Work to acceptance standard</x:v>
      </x:c>
      <x:c r="T62" s="26" t="str"/>
      <x:c r="U62" s="26" t="str">
        <x:v>Kenneth copy; no conflict with prior reply/decline/booked.</x:v>
      </x:c>
      <x:c r="V62" s="31" t="n">
        <x:v>3</x:v>
      </x:c>
      <x:c r="W62" s="26" t="str"/>
      <x:c r="X62" s="26" t="str">
        <x:v>DSI Reset PDF: lane responsibilities and dated runbook; dated allocation proposed for this tracker.</x:v>
      </x:c>
      <x:c r="Y62" s="30" t="n">
        <x:f>B62-WEEKDAY(B62,2)+1</x:f>
        <x:v>46321</x:v>
      </x:c>
      <x:c r="Z62" s="2" t="str">
        <x:v>checklist</x:v>
      </x:c>
      <x:c r="AA62" s="2" t="n">
        <x:f>IF(Q62=1,IF(P62&gt;B62,1,0),0)</x:f>
        <x:v>0</x:v>
      </x:c>
      <x:c r="AB62" s="2" t="n">
        <x:f>IF(AND(Q62=1,P62&lt;='Dashboard'!$B$5),0,MAX(0,'Dashboard'!$B$5-B62))</x:f>
        <x:v>0</x:v>
      </x:c>
      <x:c r="AC62" s="28" t="str"/>
      <x:c r="AD62" s="2" t="str">
        <x:f>IF(AND(ISNUMBER(F62),ISNUMBER(G62)),G62-F62,"")</x:f>
      </x:c>
      <x:c r="AE62" s="2" t="n">
        <x:f>IF(AND(I62="Accepted",K62&lt;&gt;"",O62&lt;&gt;"",ISNUMBER(P62),P62&gt;0,P62&lt;='Dashboard'!$B$5,IF(ISNUMBER(F62),ISNUMBER(G62),TRUE),IF(ISNUMBER(F62),G62&gt;=F62,TRUE)),1,0)</x:f>
        <x:v>0</x:v>
      </x:c>
    </x:row>
    <x:row r="63" ht="58" customHeight="1">
      <x:c r="A63" s="2" t="str">
        <x:v>T0055</x:v>
      </x:c>
      <x:c r="B63" s="30" t="n">
        <x:v>46325</x:v>
      </x:c>
      <x:c r="C63" s="2" t="str">
        <x:v>Wyline</x:v>
      </x:c>
      <x:c r="D63" s="2" t="str">
        <x:v>Program Director</x:v>
      </x:c>
      <x:c r="E63" s="26" t="str">
        <x:v>Go/no-go record; 12 SOP register; budget decision</x:v>
      </x:c>
      <x:c r="F63" s="2" t="n">
        <x:v>1</x:v>
      </x:c>
      <x:c r="G63" s="20"/>
      <x:c r="H63" s="2" t="str">
        <x:v>accepted output</x:v>
      </x:c>
      <x:c r="I63" s="20" t="str">
        <x:v>Ready</x:v>
      </x:c>
      <x:c r="J63" s="2" t="str">
        <x:v>16:45</x:v>
      </x:c>
      <x:c r="K63" s="28" t="str"/>
      <x:c r="L63" s="28" t="str"/>
      <x:c r="M63" s="20" t="str"/>
      <x:c r="N63" s="33"/>
      <x:c r="O63" s="20" t="str"/>
      <x:c r="P63" s="33"/>
      <x:c r="Q63" s="2" t="n">
        <x:f>IF(AND(AE63=1),1,0)</x:f>
        <x:v>0</x:v>
      </x:c>
      <x:c r="R63" s="2" t="str">
        <x:f>IF(AND(Q63=1,P63&lt;='Dashboard'!$B$5),IF(P63&gt;B63,"Accepted late","Accepted"),IF(B63&lt;'Dashboard'!$B$5,"Overdue",IF(I63="Blocked","Blocked",IF(B63='Dashboard'!$B$5,"Due today","Planned"))))</x:f>
        <x:v>Planned</x:v>
      </x:c>
      <x:c r="S63" s="26" t="str">
        <x:f>IF(I63="Accepted",IF(K63="","Add evidence",IF(O63="","Add reviewer",IF(P63="","Add accepted date",IF(AND(ISNUMBER(F63),COUNT(G63)=0),"Add actual quantity",IF(Q63=0,"Review target / date / dependencies","Complete"))))),IF(OR(I63="Blocked",I63="Deferred"),IF(L63="","Record blocker / reason",IF(M63="","Assign rescue owner",IF(N63="","Set recovery date","Recovery assigned"))),IF(B63&lt;'Dashboard'!$B$5,"Escalate and record recovery","Work to acceptance standard")))</x:f>
        <x:v>Work to acceptance standard</x:v>
      </x:c>
      <x:c r="T63" s="26" t="str"/>
      <x:c r="U63" s="26" t="str">
        <x:v>Launch requires written sender/offer approval, an approved list and copy, a named staffed reply lane and a signed CRM test. Ads may remain off. Optional agents may use a tested manual fallback. Missing proof or page access holds the affected asset, not approved manual conversations.</x:v>
      </x:c>
      <x:c r="V63" s="31" t="n">
        <x:v>3</x:v>
      </x:c>
      <x:c r="W63" s="26" t="str"/>
      <x:c r="X63" s="26" t="str">
        <x:v>DSI Reset PDF: lane responsibilities and dated runbook; dated allocation proposed for this tracker.</x:v>
      </x:c>
      <x:c r="Y63" s="30" t="n">
        <x:f>B63-WEEKDAY(B63,2)+1</x:f>
        <x:v>46321</x:v>
      </x:c>
      <x:c r="Z63" s="2" t="str">
        <x:v>checklist</x:v>
      </x:c>
      <x:c r="AA63" s="2" t="n">
        <x:f>IF(Q63=1,IF(P63&gt;B63,1,0),0)</x:f>
        <x:v>0</x:v>
      </x:c>
      <x:c r="AB63" s="2" t="n">
        <x:f>IF(AND(Q63=1,P63&lt;='Dashboard'!$B$5),0,MAX(0,'Dashboard'!$B$5-B63))</x:f>
        <x:v>0</x:v>
      </x:c>
      <x:c r="AC63" s="28" t="str"/>
      <x:c r="AD63" s="2" t="str">
        <x:f>IF(AND(ISNUMBER(F63),ISNUMBER(G63)),G63-F63,"")</x:f>
      </x:c>
      <x:c r="AE63" s="2" t="n">
        <x:f>IF(AND(I63="Accepted",K63&lt;&gt;"",O63&lt;&gt;"",ISNUMBER(P63),P63&gt;0,P63&lt;='Dashboard'!$B$5,IF(ISNUMBER(F63),ISNUMBER(G63),TRUE),IF(ISNUMBER(F63),G63&gt;=F63,TRUE)),1,0)</x:f>
        <x:v>0</x:v>
      </x:c>
    </x:row>
    <x:row r="64" ht="58" customHeight="1">
      <x:c r="A64" s="2" t="str">
        <x:v>T0056</x:v>
      </x:c>
      <x:c r="B64" s="30" t="n">
        <x:v>46325</x:v>
      </x:c>
      <x:c r="C64" s="2" t="str">
        <x:v>Kenneth</x:v>
      </x:c>
      <x:c r="D64" s="2" t="str">
        <x:v>Message Orchestrator</x:v>
      </x:c>
      <x:c r="E64" s="26" t="str">
        <x:v>Versioned copy/reply libraries/first 3 posts</x:v>
      </x:c>
      <x:c r="F64" s="2" t="n">
        <x:v>1</x:v>
      </x:c>
      <x:c r="G64" s="20"/>
      <x:c r="H64" s="2" t="str">
        <x:v>accepted output</x:v>
      </x:c>
      <x:c r="I64" s="20" t="str">
        <x:v>Ready</x:v>
      </x:c>
      <x:c r="J64" s="2" t="str">
        <x:v>16:45</x:v>
      </x:c>
      <x:c r="K64" s="28" t="str"/>
      <x:c r="L64" s="28" t="str"/>
      <x:c r="M64" s="20" t="str"/>
      <x:c r="N64" s="33"/>
      <x:c r="O64" s="20" t="str"/>
      <x:c r="P64" s="33"/>
      <x:c r="Q64" s="2" t="n">
        <x:f>IF(AND(AE64=1),1,0)</x:f>
        <x:v>0</x:v>
      </x:c>
      <x:c r="R64" s="2" t="str">
        <x:f>IF(AND(Q64=1,P64&lt;='Dashboard'!$B$5),IF(P64&gt;B64,"Accepted late","Accepted"),IF(B64&lt;'Dashboard'!$B$5,"Overdue",IF(I64="Blocked","Blocked",IF(B64='Dashboard'!$B$5,"Due today","Planned"))))</x:f>
        <x:v>Planned</x:v>
      </x:c>
      <x:c r="S64" s="26" t="str">
        <x:f>IF(I64="Accepted",IF(K64="","Add evidence",IF(O64="","Add reviewer",IF(P64="","Add accepted date",IF(AND(ISNUMBER(F64),COUNT(G64)=0),"Add actual quantity",IF(Q64=0,"Review target / date / dependencies","Complete"))))),IF(OR(I64="Blocked",I64="Deferred"),IF(L64="","Record blocker / reason",IF(M64="","Assign rescue owner",IF(N64="","Set recovery date","Recovery assigned"))),IF(B64&lt;'Dashboard'!$B$5,"Escalate and record recovery","Work to acceptance standard")))</x:f>
        <x:v>Work to acceptance standard</x:v>
      </x:c>
      <x:c r="T64" s="26" t="str"/>
      <x:c r="U64" s="26" t="str">
        <x:v>No unapproved claims; missing proof holds relevant asset; proof email 2 due Nov 5.</x:v>
      </x:c>
      <x:c r="V64" s="31" t="n">
        <x:v>2</x:v>
      </x:c>
      <x:c r="W64" s="26" t="str"/>
      <x:c r="X64" s="26" t="str">
        <x:v>DSI Reset PDF: lane responsibilities and dated runbook; dated allocation proposed for this tracker.</x:v>
      </x:c>
      <x:c r="Y64" s="30" t="n">
        <x:f>B64-WEEKDAY(B64,2)+1</x:f>
        <x:v>46321</x:v>
      </x:c>
      <x:c r="Z64" s="2" t="str">
        <x:v>checklist</x:v>
      </x:c>
      <x:c r="AA64" s="2" t="n">
        <x:f>IF(Q64=1,IF(P64&gt;B64,1,0),0)</x:f>
        <x:v>0</x:v>
      </x:c>
      <x:c r="AB64" s="2" t="n">
        <x:f>IF(AND(Q64=1,P64&lt;='Dashboard'!$B$5),0,MAX(0,'Dashboard'!$B$5-B64))</x:f>
        <x:v>0</x:v>
      </x:c>
      <x:c r="AC64" s="28" t="str"/>
      <x:c r="AD64" s="2" t="str">
        <x:f>IF(AND(ISNUMBER(F64),ISNUMBER(G64)),G64-F64,"")</x:f>
      </x:c>
      <x:c r="AE64" s="2" t="n">
        <x:f>IF(AND(I64="Accepted",K64&lt;&gt;"",O64&lt;&gt;"",ISNUMBER(P64),P64&gt;0,P64&lt;='Dashboard'!$B$5,IF(ISNUMBER(F64),ISNUMBER(G64),TRUE),IF(ISNUMBER(F64),G64&gt;=F64,TRUE)),1,0)</x:f>
        <x:v>0</x:v>
      </x:c>
    </x:row>
    <x:row r="65" ht="58" customHeight="1">
      <x:c r="A65" s="2" t="str">
        <x:v>T0057</x:v>
      </x:c>
      <x:c r="B65" s="30" t="n">
        <x:v>46325</x:v>
      </x:c>
      <x:c r="C65" s="2" t="str">
        <x:v>Joey</x:v>
      </x:c>
      <x:c r="D65" s="2" t="str">
        <x:v>Data Orchestrator</x:v>
      </x:c>
      <x:c r="E65" s="26" t="str">
        <x:v>250 QA-passed wave+mailbox/redirect/suppression report</x:v>
      </x:c>
      <x:c r="F65" s="2" t="n">
        <x:v>1</x:v>
      </x:c>
      <x:c r="G65" s="20"/>
      <x:c r="H65" s="2" t="str">
        <x:v>accepted output</x:v>
      </x:c>
      <x:c r="I65" s="20" t="str">
        <x:v>Ready</x:v>
      </x:c>
      <x:c r="J65" s="2" t="str">
        <x:v>16:45</x:v>
      </x:c>
      <x:c r="K65" s="28" t="str"/>
      <x:c r="L65" s="28" t="str"/>
      <x:c r="M65" s="20" t="str"/>
      <x:c r="N65" s="33"/>
      <x:c r="O65" s="20" t="str"/>
      <x:c r="P65" s="33"/>
      <x:c r="Q65" s="2" t="n">
        <x:f>IF(AND(AE65=1),1,0)</x:f>
        <x:v>0</x:v>
      </x:c>
      <x:c r="R65" s="2" t="str">
        <x:f>IF(AND(Q65=1,P65&lt;='Dashboard'!$B$5),IF(P65&gt;B65,"Accepted late","Accepted"),IF(B65&lt;'Dashboard'!$B$5,"Overdue",IF(I65="Blocked","Blocked",IF(B65='Dashboard'!$B$5,"Due today","Planned"))))</x:f>
        <x:v>Planned</x:v>
      </x:c>
      <x:c r="S65" s="26" t="str">
        <x:f>IF(I65="Accepted",IF(K65="","Add evidence",IF(O65="","Add reviewer",IF(P65="","Add accepted date",IF(AND(ISNUMBER(F65),COUNT(G65)=0),"Add actual quantity",IF(Q65=0,"Review target / date / dependencies","Complete"))))),IF(OR(I65="Blocked",I65="Deferred"),IF(L65="","Record blocker / reason",IF(M65="","Assign rescue owner",IF(N65="","Set recovery date","Recovery assigned"))),IF(B65&lt;'Dashboard'!$B$5,"Escalate and record recovery","Work to acceptance standard")))</x:f>
        <x:v>Work to acceptance standard</x:v>
      </x:c>
      <x:c r="T65" s="26" t="str"/>
      <x:c r="U65" s="26" t="str">
        <x:v>10 real sender identities; mailbox ceiling 15; first lines and facts loaded.</x:v>
      </x:c>
      <x:c r="V65" s="31" t="n">
        <x:v>3</x:v>
      </x:c>
      <x:c r="W65" s="26" t="str"/>
      <x:c r="X65" s="26" t="str">
        <x:v>DSI Reset PDF: lane responsibilities and dated runbook; dated allocation proposed for this tracker.</x:v>
      </x:c>
      <x:c r="Y65" s="30" t="n">
        <x:f>B65-WEEKDAY(B65,2)+1</x:f>
        <x:v>46321</x:v>
      </x:c>
      <x:c r="Z65" s="2" t="str">
        <x:v>checklist</x:v>
      </x:c>
      <x:c r="AA65" s="2" t="n">
        <x:f>IF(Q65=1,IF(P65&gt;B65,1,0),0)</x:f>
        <x:v>0</x:v>
      </x:c>
      <x:c r="AB65" s="2" t="n">
        <x:f>IF(AND(Q65=1,P65&lt;='Dashboard'!$B$5),0,MAX(0,'Dashboard'!$B$5-B65))</x:f>
        <x:v>0</x:v>
      </x:c>
      <x:c r="AC65" s="28" t="str"/>
      <x:c r="AD65" s="2" t="str">
        <x:f>IF(AND(ISNUMBER(F65),ISNUMBER(G65)),G65-F65,"")</x:f>
      </x:c>
      <x:c r="AE65" s="2" t="n">
        <x:f>IF(AND(I65="Accepted",K65&lt;&gt;"",O65&lt;&gt;"",ISNUMBER(P65),P65&gt;0,P65&lt;='Dashboard'!$B$5,IF(ISNUMBER(F65),ISNUMBER(G65),TRUE),IF(ISNUMBER(F65),G65&gt;=F65,TRUE)),1,0)</x:f>
        <x:v>0</x:v>
      </x:c>
    </x:row>
    <x:row r="66" ht="58" customHeight="1">
      <x:c r="A66" s="2" t="str">
        <x:v>T0058</x:v>
      </x:c>
      <x:c r="B66" s="30" t="n">
        <x:v>46325</x:v>
      </x:c>
      <x:c r="C66" s="2" t="str">
        <x:v>Nova</x:v>
      </x:c>
      <x:c r="D66" s="2" t="str">
        <x:v>Conversion Orchestrator</x:v>
      </x:c>
      <x:c r="E66" s="26" t="str">
        <x:v>Roster, scripts, SLA board, dummy lead sign off</x:v>
      </x:c>
      <x:c r="F66" s="2" t="n">
        <x:v>1</x:v>
      </x:c>
      <x:c r="G66" s="20"/>
      <x:c r="H66" s="2" t="str">
        <x:v>accepted output</x:v>
      </x:c>
      <x:c r="I66" s="20" t="str">
        <x:v>Ready</x:v>
      </x:c>
      <x:c r="J66" s="2" t="str">
        <x:v>16:45</x:v>
      </x:c>
      <x:c r="K66" s="28" t="str"/>
      <x:c r="L66" s="28" t="str"/>
      <x:c r="M66" s="20" t="str"/>
      <x:c r="N66" s="33"/>
      <x:c r="O66" s="20" t="str"/>
      <x:c r="P66" s="33"/>
      <x:c r="Q66" s="2" t="n">
        <x:f>IF(AND(AE66=1),1,0)</x:f>
        <x:v>0</x:v>
      </x:c>
      <x:c r="R66" s="2" t="str">
        <x:f>IF(AND(Q66=1,P66&lt;='Dashboard'!$B$5),IF(P66&gt;B66,"Accepted late","Accepted"),IF(B66&lt;'Dashboard'!$B$5,"Overdue",IF(I66="Blocked","Blocked",IF(B66='Dashboard'!$B$5,"Due today","Planned"))))</x:f>
        <x:v>Planned</x:v>
      </x:c>
      <x:c r="S66" s="26" t="str">
        <x:f>IF(I66="Accepted",IF(K66="","Add evidence",IF(O66="","Add reviewer",IF(P66="","Add accepted date",IF(AND(ISNUMBER(F66),COUNT(G66)=0),"Add actual quantity",IF(Q66=0,"Review target / date / dependencies","Complete"))))),IF(OR(I66="Blocked",I66="Deferred"),IF(L66="","Record blocker / reason",IF(M66="","Assign rescue owner",IF(N66="","Set recovery date","Recovery assigned"))),IF(B66&lt;'Dashboard'!$B$5,"Escalate and record recovery","Work to acceptance standard")))</x:f>
        <x:v>Work to acceptance standard</x:v>
      </x:c>
      <x:c r="T66" s="26" t="str"/>
      <x:c r="U66" s="26" t="str">
        <x:v>Both setters know fallback; all launch hours covered.</x:v>
      </x:c>
      <x:c r="V66" s="31" t="n">
        <x:v>4</x:v>
      </x:c>
      <x:c r="W66" s="26" t="str"/>
      <x:c r="X66" s="26" t="str">
        <x:v>DSI Reset PDF: lane responsibilities and dated runbook; dated allocation proposed for this tracker.</x:v>
      </x:c>
      <x:c r="Y66" s="30" t="n">
        <x:f>B66-WEEKDAY(B66,2)+1</x:f>
        <x:v>46321</x:v>
      </x:c>
      <x:c r="Z66" s="2" t="str">
        <x:v>checklist</x:v>
      </x:c>
      <x:c r="AA66" s="2" t="n">
        <x:f>IF(Q66=1,IF(P66&gt;B66,1,0),0)</x:f>
        <x:v>0</x:v>
      </x:c>
      <x:c r="AB66" s="2" t="n">
        <x:f>IF(AND(Q66=1,P66&lt;='Dashboard'!$B$5),0,MAX(0,'Dashboard'!$B$5-B66))</x:f>
        <x:v>0</x:v>
      </x:c>
      <x:c r="AC66" s="28" t="str"/>
      <x:c r="AD66" s="2" t="str">
        <x:f>IF(AND(ISNUMBER(F66),ISNUMBER(G66)),G66-F66,"")</x:f>
      </x:c>
      <x:c r="AE66" s="2" t="n">
        <x:f>IF(AND(I66="Accepted",K66&lt;&gt;"",O66&lt;&gt;"",ISNUMBER(P66),P66&gt;0,P66&lt;='Dashboard'!$B$5,IF(ISNUMBER(F66),ISNUMBER(G66),TRUE),IF(ISNUMBER(F66),G66&gt;=F66,TRUE)),1,0)</x:f>
        <x:v>0</x:v>
      </x:c>
    </x:row>
    <x:row r="67" ht="58" customHeight="1">
      <x:c r="A67" s="2" t="str">
        <x:v>T0059</x:v>
      </x:c>
      <x:c r="B67" s="30" t="n">
        <x:v>46325</x:v>
      </x:c>
      <x:c r="C67" s="2" t="str">
        <x:v>Emman</x:v>
      </x:c>
      <x:c r="D67" s="2" t="str">
        <x:v>AI Build Orchestrator</x:v>
      </x:c>
      <x:c r="E67" s="26" t="str">
        <x:v>Acceptance artifact, SOP, test set, monitoring, rollback</x:v>
      </x:c>
      <x:c r="F67" s="2" t="n">
        <x:v>1</x:v>
      </x:c>
      <x:c r="G67" s="20"/>
      <x:c r="H67" s="2" t="str">
        <x:v>accepted output</x:v>
      </x:c>
      <x:c r="I67" s="20" t="str">
        <x:v>Ready</x:v>
      </x:c>
      <x:c r="J67" s="2" t="str">
        <x:v>16:45</x:v>
      </x:c>
      <x:c r="K67" s="28" t="str"/>
      <x:c r="L67" s="28" t="str"/>
      <x:c r="M67" s="20" t="str"/>
      <x:c r="N67" s="33"/>
      <x:c r="O67" s="20" t="str"/>
      <x:c r="P67" s="33"/>
      <x:c r="Q67" s="2" t="n">
        <x:f>IF(AND(AE67=1),1,0)</x:f>
        <x:v>0</x:v>
      </x:c>
      <x:c r="R67" s="2" t="str">
        <x:f>IF(AND(Q67=1,P67&lt;='Dashboard'!$B$5),IF(P67&gt;B67,"Accepted late","Accepted"),IF(B67&lt;'Dashboard'!$B$5,"Overdue",IF(I67="Blocked","Blocked",IF(B67='Dashboard'!$B$5,"Due today","Planned"))))</x:f>
        <x:v>Planned</x:v>
      </x:c>
      <x:c r="S67" s="26" t="str">
        <x:f>IF(I67="Accepted",IF(K67="","Add evidence",IF(O67="","Add reviewer",IF(P67="","Add accepted date",IF(AND(ISNUMBER(F67),COUNT(G67)=0),"Add actual quantity",IF(Q67=0,"Review target / date / dependencies","Complete"))))),IF(OR(I67="Blocked",I67="Deferred"),IF(L67="","Record blocker / reason",IF(M67="","Assign rescue owner",IF(N67="","Set recovery date","Recovery assigned"))),IF(B67&lt;'Dashboard'!$B$5,"Escalate and record recovery","Work to acceptance standard")))</x:f>
        <x:v>Work to acceptance standard</x:v>
      </x:c>
      <x:c r="T67" s="26" t="str"/>
      <x:c r="U67" s="26" t="str">
        <x:v>Pass or named manual fallback; no green without evidence.</x:v>
      </x:c>
      <x:c r="V67" s="31" t="n">
        <x:v>4</x:v>
      </x:c>
      <x:c r="W67" s="26" t="str"/>
      <x:c r="X67" s="26" t="str">
        <x:v>DSI Reset PDF: lane responsibilities and dated runbook; dated allocation proposed for this tracker.</x:v>
      </x:c>
      <x:c r="Y67" s="30" t="n">
        <x:f>B67-WEEKDAY(B67,2)+1</x:f>
        <x:v>46321</x:v>
      </x:c>
      <x:c r="Z67" s="2" t="str">
        <x:v>checklist</x:v>
      </x:c>
      <x:c r="AA67" s="2" t="n">
        <x:f>IF(Q67=1,IF(P67&gt;B67,1,0),0)</x:f>
        <x:v>0</x:v>
      </x:c>
      <x:c r="AB67" s="2" t="n">
        <x:f>IF(AND(Q67=1,P67&lt;='Dashboard'!$B$5),0,MAX(0,'Dashboard'!$B$5-B67))</x:f>
        <x:v>0</x:v>
      </x:c>
      <x:c r="AC67" s="28" t="str"/>
      <x:c r="AD67" s="2" t="str">
        <x:f>IF(AND(ISNUMBER(F67),ISNUMBER(G67)),G67-F67,"")</x:f>
      </x:c>
      <x:c r="AE67" s="2" t="n">
        <x:f>IF(AND(I67="Accepted",K67&lt;&gt;"",O67&lt;&gt;"",ISNUMBER(P67),P67&gt;0,P67&lt;='Dashboard'!$B$5,IF(ISNUMBER(F67),ISNUMBER(G67),TRUE),IF(ISNUMBER(F67),G67&gt;=F67,TRUE)),1,0)</x:f>
        <x:v>0</x:v>
      </x:c>
    </x:row>
    <x:row r="68" ht="58" customHeight="1">
      <x:c r="A68" s="2" t="str">
        <x:v>T0060</x:v>
      </x:c>
      <x:c r="B68" s="30" t="n">
        <x:v>46325</x:v>
      </x:c>
      <x:c r="C68" s="2" t="str">
        <x:v>Ludwig</x:v>
      </x:c>
      <x:c r="D68" s="2" t="str">
        <x:v>Integration Engineer</x:v>
      </x:c>
      <x:c r="E68" s="26" t="str">
        <x:v>Endpoint logs, runbook, alerting and rollback</x:v>
      </x:c>
      <x:c r="F68" s="2" t="n">
        <x:v>1</x:v>
      </x:c>
      <x:c r="G68" s="20"/>
      <x:c r="H68" s="2" t="str">
        <x:v>accepted output</x:v>
      </x:c>
      <x:c r="I68" s="20" t="str">
        <x:v>Ready</x:v>
      </x:c>
      <x:c r="J68" s="2" t="str">
        <x:v>16:45</x:v>
      </x:c>
      <x:c r="K68" s="28" t="str"/>
      <x:c r="L68" s="28" t="str"/>
      <x:c r="M68" s="20" t="str"/>
      <x:c r="N68" s="33"/>
      <x:c r="O68" s="20" t="str"/>
      <x:c r="P68" s="33"/>
      <x:c r="Q68" s="2" t="n">
        <x:f>IF(AND(AE68=1),1,0)</x:f>
        <x:v>0</x:v>
      </x:c>
      <x:c r="R68" s="2" t="str">
        <x:f>IF(AND(Q68=1,P68&lt;='Dashboard'!$B$5),IF(P68&gt;B68,"Accepted late","Accepted"),IF(B68&lt;'Dashboard'!$B$5,"Overdue",IF(I68="Blocked","Blocked",IF(B68='Dashboard'!$B$5,"Due today","Planned"))))</x:f>
        <x:v>Planned</x:v>
      </x:c>
      <x:c r="S68" s="26" t="str">
        <x:f>IF(I68="Accepted",IF(K68="","Add evidence",IF(O68="","Add reviewer",IF(P68="","Add accepted date",IF(AND(ISNUMBER(F68),COUNT(G68)=0),"Add actual quantity",IF(Q68=0,"Review target / date / dependencies","Complete"))))),IF(OR(I68="Blocked",I68="Deferred"),IF(L68="","Record blocker / reason",IF(M68="","Assign rescue owner",IF(N68="","Set recovery date","Recovery assigned"))),IF(B68&lt;'Dashboard'!$B$5,"Escalate and record recovery","Work to acceptance standard")))</x:f>
        <x:v>Work to acceptance standard</x:v>
      </x:c>
      <x:c r="T68" s="26" t="str"/>
      <x:c r="U68" s="26" t="str">
        <x:v>No dropped test replies; secrets outside handbook.</x:v>
      </x:c>
      <x:c r="V68" s="31" t="n">
        <x:v>1.5</x:v>
      </x:c>
      <x:c r="W68" s="26" t="str"/>
      <x:c r="X68" s="26" t="str">
        <x:v>DSI Reset PDF: lane responsibilities and dated runbook; dated allocation proposed for this tracker.</x:v>
      </x:c>
      <x:c r="Y68" s="30" t="n">
        <x:f>B68-WEEKDAY(B68,2)+1</x:f>
        <x:v>46321</x:v>
      </x:c>
      <x:c r="Z68" s="2" t="str">
        <x:v>checklist</x:v>
      </x:c>
      <x:c r="AA68" s="2" t="n">
        <x:f>IF(Q68=1,IF(P68&gt;B68,1,0),0)</x:f>
        <x:v>0</x:v>
      </x:c>
      <x:c r="AB68" s="2" t="n">
        <x:f>IF(AND(Q68=1,P68&lt;='Dashboard'!$B$5),0,MAX(0,'Dashboard'!$B$5-B68))</x:f>
        <x:v>0</x:v>
      </x:c>
      <x:c r="AC68" s="28" t="str"/>
      <x:c r="AD68" s="2" t="str">
        <x:f>IF(AND(ISNUMBER(F68),ISNUMBER(G68)),G68-F68,"")</x:f>
      </x:c>
      <x:c r="AE68" s="2" t="n">
        <x:f>IF(AND(I68="Accepted",K68&lt;&gt;"",O68&lt;&gt;"",ISNUMBER(P68),P68&gt;0,P68&lt;='Dashboard'!$B$5,IF(ISNUMBER(F68),ISNUMBER(G68),TRUE),IF(ISNUMBER(F68),G68&gt;=F68,TRUE)),1,0)</x:f>
        <x:v>0</x:v>
      </x:c>
    </x:row>
    <x:row r="69" ht="58" customHeight="1">
      <x:c r="A69" s="2" t="str">
        <x:v>T0061</x:v>
      </x:c>
      <x:c r="B69" s="30" t="n">
        <x:v>46325</x:v>
      </x:c>
      <x:c r="C69" s="2" t="str">
        <x:v>Alvin</x:v>
      </x:c>
      <x:c r="D69" s="2" t="str">
        <x:v>CQL/GHL Implementation</x:v>
      </x:c>
      <x:c r="E69" s="26" t="str">
        <x:v>CQL test signed; approved template queues</x:v>
      </x:c>
      <x:c r="F69" s="2" t="n">
        <x:v>1</x:v>
      </x:c>
      <x:c r="G69" s="20"/>
      <x:c r="H69" s="2" t="str">
        <x:v>accepted output</x:v>
      </x:c>
      <x:c r="I69" s="20" t="str">
        <x:v>Ready</x:v>
      </x:c>
      <x:c r="J69" s="2" t="str">
        <x:v>16:45</x:v>
      </x:c>
      <x:c r="K69" s="28" t="str"/>
      <x:c r="L69" s="28" t="str"/>
      <x:c r="M69" s="20" t="str"/>
      <x:c r="N69" s="33"/>
      <x:c r="O69" s="20" t="str"/>
      <x:c r="P69" s="33"/>
      <x:c r="Q69" s="2" t="n">
        <x:f>IF(AND(AE69=1),1,0)</x:f>
        <x:v>0</x:v>
      </x:c>
      <x:c r="R69" s="2" t="str">
        <x:f>IF(AND(Q69=1,P69&lt;='Dashboard'!$B$5),IF(P69&gt;B69,"Accepted late","Accepted"),IF(B69&lt;'Dashboard'!$B$5,"Overdue",IF(I69="Blocked","Blocked",IF(B69='Dashboard'!$B$5,"Due today","Planned"))))</x:f>
        <x:v>Planned</x:v>
      </x:c>
      <x:c r="S69" s="26" t="str">
        <x:f>IF(I69="Accepted",IF(K69="","Add evidence",IF(O69="","Add reviewer",IF(P69="","Add accepted date",IF(AND(ISNUMBER(F69),COUNT(G69)=0),"Add actual quantity",IF(Q69=0,"Review target / date / dependencies","Complete"))))),IF(OR(I69="Blocked",I69="Deferred"),IF(L69="","Record blocker / reason",IF(M69="","Assign rescue owner",IF(N69="","Set recovery date","Recovery assigned"))),IF(B69&lt;'Dashboard'!$B$5,"Escalate and record recovery","Work to acceptance standard")))</x:f>
        <x:v>Work to acceptance standard</x:v>
      </x:c>
      <x:c r="T69" s="26" t="str"/>
      <x:c r="U69" s="26" t="str">
        <x:v>One Source/referrer; no-show&lt;=10 min; correct booking conversion.</x:v>
      </x:c>
      <x:c r="V69" s="31" t="n">
        <x:v>2</x:v>
      </x:c>
      <x:c r="W69" s="26" t="str"/>
      <x:c r="X69" s="26" t="str">
        <x:v>DSI Reset PDF: lane responsibilities and dated runbook; dated allocation proposed for this tracker.</x:v>
      </x:c>
      <x:c r="Y69" s="30" t="n">
        <x:f>B69-WEEKDAY(B69,2)+1</x:f>
        <x:v>46321</x:v>
      </x:c>
      <x:c r="Z69" s="2" t="str">
        <x:v>checklist</x:v>
      </x:c>
      <x:c r="AA69" s="2" t="n">
        <x:f>IF(Q69=1,IF(P69&gt;B69,1,0),0)</x:f>
        <x:v>0</x:v>
      </x:c>
      <x:c r="AB69" s="2" t="n">
        <x:f>IF(AND(Q69=1,P69&lt;='Dashboard'!$B$5),0,MAX(0,'Dashboard'!$B$5-B69))</x:f>
        <x:v>0</x:v>
      </x:c>
      <x:c r="AC69" s="28" t="str"/>
      <x:c r="AD69" s="2" t="str">
        <x:f>IF(AND(ISNUMBER(F69),ISNUMBER(G69)),G69-F69,"")</x:f>
      </x:c>
      <x:c r="AE69" s="2" t="n">
        <x:f>IF(AND(I69="Accepted",K69&lt;&gt;"",O69&lt;&gt;"",ISNUMBER(P69),P69&gt;0,P69&lt;='Dashboard'!$B$5,IF(ISNUMBER(F69),ISNUMBER(G69),TRUE),IF(ISNUMBER(F69),G69&gt;=F69,TRUE)),1,0)</x:f>
        <x:v>0</x:v>
      </x:c>
    </x:row>
    <x:row r="70" ht="58" customHeight="1">
      <x:c r="A70" s="2" t="str">
        <x:v>T0062</x:v>
      </x:c>
      <x:c r="B70" s="30" t="n">
        <x:v>46325</x:v>
      </x:c>
      <x:c r="C70" s="2" t="str">
        <x:v>Brian</x:v>
      </x:c>
      <x:c r="D70" s="2" t="str">
        <x:v>Web and Tracking</x:v>
      </x:c>
      <x:c r="E70" s="26" t="str">
        <x:v>Live DSI URL or blocked access decision</x:v>
      </x:c>
      <x:c r="F70" s="2" t="n">
        <x:v>1</x:v>
      </x:c>
      <x:c r="G70" s="20"/>
      <x:c r="H70" s="2" t="str">
        <x:v>accepted output</x:v>
      </x:c>
      <x:c r="I70" s="20" t="str">
        <x:v>Ready</x:v>
      </x:c>
      <x:c r="J70" s="2" t="str">
        <x:v>16:45</x:v>
      </x:c>
      <x:c r="K70" s="28" t="str"/>
      <x:c r="L70" s="28" t="str"/>
      <x:c r="M70" s="20" t="str"/>
      <x:c r="N70" s="33"/>
      <x:c r="O70" s="20" t="str"/>
      <x:c r="P70" s="33"/>
      <x:c r="Q70" s="2" t="n">
        <x:f>IF(AND(AE70=1),1,0)</x:f>
        <x:v>0</x:v>
      </x:c>
      <x:c r="R70" s="2" t="str">
        <x:f>IF(AND(Q70=1,P70&lt;='Dashboard'!$B$5),IF(P70&gt;B70,"Accepted late","Accepted"),IF(B70&lt;'Dashboard'!$B$5,"Overdue",IF(I70="Blocked","Blocked",IF(B70='Dashboard'!$B$5,"Due today","Planned"))))</x:f>
        <x:v>Planned</x:v>
      </x:c>
      <x:c r="S70" s="26" t="str">
        <x:f>IF(I70="Accepted",IF(K70="","Add evidence",IF(O70="","Add reviewer",IF(P70="","Add accepted date",IF(AND(ISNUMBER(F70),COUNT(G70)=0),"Add actual quantity",IF(Q70=0,"Review target / date / dependencies","Complete"))))),IF(OR(I70="Blocked",I70="Deferred"),IF(L70="","Record blocker / reason",IF(M70="","Assign rescue owner",IF(N70="","Set recovery date","Recovery assigned"))),IF(B70&lt;'Dashboard'!$B$5,"Escalate and record recovery","Work to acceptance standard")))</x:f>
        <x:v>Work to acceptance standard</x:v>
      </x:c>
      <x:c r="T70" s="26" t="str"/>
      <x:c r="U70" s="26" t="str">
        <x:v>Wyline QA; approved claims only; forms/calendar tested.</x:v>
      </x:c>
      <x:c r="V70" s="31" t="n">
        <x:v>2</x:v>
      </x:c>
      <x:c r="W70" s="26" t="str"/>
      <x:c r="X70" s="26" t="str">
        <x:v>DSI Reset PDF: lane responsibilities and dated runbook; dated allocation proposed for this tracker.</x:v>
      </x:c>
      <x:c r="Y70" s="30" t="n">
        <x:f>B70-WEEKDAY(B70,2)+1</x:f>
        <x:v>46321</x:v>
      </x:c>
      <x:c r="Z70" s="2" t="str">
        <x:v>checklist</x:v>
      </x:c>
      <x:c r="AA70" s="2" t="n">
        <x:f>IF(Q70=1,IF(P70&gt;B70,1,0),0)</x:f>
        <x:v>0</x:v>
      </x:c>
      <x:c r="AB70" s="2" t="n">
        <x:f>IF(AND(Q70=1,P70&lt;='Dashboard'!$B$5),0,MAX(0,'Dashboard'!$B$5-B70))</x:f>
        <x:v>0</x:v>
      </x:c>
      <x:c r="AC70" s="28" t="str"/>
      <x:c r="AD70" s="2" t="str">
        <x:f>IF(AND(ISNUMBER(F70),ISNUMBER(G70)),G70-F70,"")</x:f>
      </x:c>
      <x:c r="AE70" s="2" t="n">
        <x:f>IF(AND(I70="Accepted",K70&lt;&gt;"",O70&lt;&gt;"",ISNUMBER(P70),P70&gt;0,P70&lt;='Dashboard'!$B$5,IF(ISNUMBER(F70),ISNUMBER(G70),TRUE),IF(ISNUMBER(F70),G70&gt;=F70,TRUE)),1,0)</x:f>
        <x:v>0</x:v>
      </x:c>
    </x:row>
    <x:row r="71" ht="58" customHeight="1">
      <x:c r="A71" s="2" t="str">
        <x:v>T0063</x:v>
      </x:c>
      <x:c r="B71" s="30" t="n">
        <x:v>46325</x:v>
      </x:c>
      <x:c r="C71" s="2" t="str">
        <x:v>Dexter</x:v>
      </x:c>
      <x:c r="D71" s="2" t="str">
        <x:v>LinkedIn Execution</x:v>
      </x:c>
      <x:c r="E71" s="26" t="str">
        <x:v>DSI-LI-01 with 6 updates; first 25 and stage map</x:v>
      </x:c>
      <x:c r="F71" s="2" t="n">
        <x:v>1</x:v>
      </x:c>
      <x:c r="G71" s="20"/>
      <x:c r="H71" s="2" t="str">
        <x:v>accepted output</x:v>
      </x:c>
      <x:c r="I71" s="20" t="str">
        <x:v>Ready</x:v>
      </x:c>
      <x:c r="J71" s="2" t="str">
        <x:v>16:45</x:v>
      </x:c>
      <x:c r="K71" s="28" t="str"/>
      <x:c r="L71" s="28" t="str"/>
      <x:c r="M71" s="20" t="str"/>
      <x:c r="N71" s="33"/>
      <x:c r="O71" s="20" t="str"/>
      <x:c r="P71" s="33"/>
      <x:c r="Q71" s="2" t="n">
        <x:f>IF(AND(AE71=1),1,0)</x:f>
        <x:v>0</x:v>
      </x:c>
      <x:c r="R71" s="2" t="str">
        <x:f>IF(AND(Q71=1,P71&lt;='Dashboard'!$B$5),IF(P71&gt;B71,"Accepted late","Accepted"),IF(B71&lt;'Dashboard'!$B$5,"Overdue",IF(I71="Blocked","Blocked",IF(B71='Dashboard'!$B$5,"Due today","Planned"))))</x:f>
        <x:v>Planned</x:v>
      </x:c>
      <x:c r="S71" s="26" t="str">
        <x:f>IF(I71="Accepted",IF(K71="","Add evidence",IF(O71="","Add reviewer",IF(P71="","Add accepted date",IF(AND(ISNUMBER(F71),COUNT(G71)=0),"Add actual quantity",IF(Q71=0,"Review target / date / dependencies","Complete"))))),IF(OR(I71="Blocked",I71="Deferred"),IF(L71="","Record blocker / reason",IF(M71="","Assign rescue owner",IF(N71="","Set recovery date","Recovery assigned"))),IF(B71&lt;'Dashboard'!$B$5,"Escalate and record recovery","Work to acceptance standard")))</x:f>
        <x:v>Work to acceptance standard</x:v>
      </x:c>
      <x:c r="T71" s="26" t="str"/>
      <x:c r="U71" s="26" t="str">
        <x:v>Manual only; authorization on file; CQL suppression check.</x:v>
      </x:c>
      <x:c r="V71" s="31" t="n">
        <x:v>3</x:v>
      </x:c>
      <x:c r="W71" s="26" t="str"/>
      <x:c r="X71" s="26" t="str">
        <x:v>DSI Reset PDF: lane responsibilities and dated runbook; dated allocation proposed for this tracker.</x:v>
      </x:c>
      <x:c r="Y71" s="30" t="n">
        <x:f>B71-WEEKDAY(B71,2)+1</x:f>
        <x:v>46321</x:v>
      </x:c>
      <x:c r="Z71" s="2" t="str">
        <x:v>checklist</x:v>
      </x:c>
      <x:c r="AA71" s="2" t="n">
        <x:f>IF(Q71=1,IF(P71&gt;B71,1,0),0)</x:f>
        <x:v>0</x:v>
      </x:c>
      <x:c r="AB71" s="2" t="n">
        <x:f>IF(AND(Q71=1,P71&lt;='Dashboard'!$B$5),0,MAX(0,'Dashboard'!$B$5-B71))</x:f>
        <x:v>0</x:v>
      </x:c>
      <x:c r="AC71" s="28" t="str"/>
      <x:c r="AD71" s="2" t="str">
        <x:f>IF(AND(ISNUMBER(F71),ISNUMBER(G71)),G71-F71,"")</x:f>
      </x:c>
      <x:c r="AE71" s="2" t="n">
        <x:f>IF(AND(I71="Accepted",K71&lt;&gt;"",O71&lt;&gt;"",ISNUMBER(P71),P71&gt;0,P71&lt;='Dashboard'!$B$5,IF(ISNUMBER(F71),ISNUMBER(G71),TRUE),IF(ISNUMBER(F71),G71&gt;=F71,TRUE)),1,0)</x:f>
        <x:v>0</x:v>
      </x:c>
    </x:row>
    <x:row r="72" ht="58" customHeight="1">
      <x:c r="A72" s="2" t="str">
        <x:v>T0429</x:v>
      </x:c>
      <x:c r="B72" s="30" t="n">
        <x:v>46325</x:v>
      </x:c>
      <x:c r="C72" s="2" t="str">
        <x:v>Nic</x:v>
      </x:c>
      <x:c r="D72" s="2" t="str">
        <x:v>Client dependency</x:v>
      </x:c>
      <x:c r="E72" s="26" t="str">
        <x:v>3 permissioned case photos+1 permissioned quote+90-day remake or on-time statistic</x:v>
      </x:c>
      <x:c r="F72" s="2" t="n">
        <x:v>1</x:v>
      </x:c>
      <x:c r="G72" s="20"/>
      <x:c r="H72" s="2" t="str">
        <x:v>accepted output</x:v>
      </x:c>
      <x:c r="I72" s="20" t="str">
        <x:v>Ready</x:v>
      </x:c>
      <x:c r="J72" s="2" t="str">
        <x:v>16:45</x:v>
      </x:c>
      <x:c r="K72" s="28" t="str"/>
      <x:c r="L72" s="28" t="str"/>
      <x:c r="M72" s="20" t="str"/>
      <x:c r="N72" s="33"/>
      <x:c r="O72" s="20" t="str"/>
      <x:c r="P72" s="33"/>
      <x:c r="Q72" s="2" t="n">
        <x:f>IF(AND(AE72=1,COUNTIFS($A$7:$A$500,"T0028",$AE$7:$AE$500,1)=1),1,0)</x:f>
        <x:v>0</x:v>
      </x:c>
      <x:c r="R72" s="2" t="str">
        <x:f>IF(AND(Q72=1,P72&lt;='Dashboard'!$B$5),IF(P72&gt;B72,"Accepted late","Accepted"),IF(B72&lt;'Dashboard'!$B$5,"Overdue",IF(I72="Blocked","Blocked",IF(B72='Dashboard'!$B$5,"Due today","Planned"))))</x:f>
        <x:v>Planned</x:v>
      </x:c>
      <x:c r="S72" s="26" t="str">
        <x:f>IF(I72="Accepted",IF(K72="","Add evidence",IF(O72="","Add reviewer",IF(P72="","Add accepted date",IF(AND(ISNUMBER(F72),COUNT(G72)=0),"Add actual quantity",IF(Q72=0,"Review target / date / dependencies","Complete"))))),IF(OR(I72="Blocked",I72="Deferred"),IF(L72="","Record blocker / reason",IF(M72="","Assign rescue owner",IF(N72="","Set recovery date","Recovery assigned"))),IF(B72&lt;'Dashboard'!$B$5,"Escalate and record recovery","Work to acceptance standard")))</x:f>
        <x:v>Work to acceptance standard</x:v>
      </x:c>
      <x:c r="T72" s="26" t="str">
        <x:v>T0028</x:v>
      </x:c>
      <x:c r="U72" s="26" t="str">
        <x:v>Source, scope, permission and claim limits on file; unavailable proof held.</x:v>
      </x:c>
      <x:c r="V72" s="31" t="n">
        <x:v>1</x:v>
      </x:c>
      <x:c r="W72" s="26" t="str"/>
      <x:c r="X72" s="26" t="str">
        <x:v>DSI Reset PDF: lane responsibilities and dated runbook; dated allocation proposed for this tracker.</x:v>
      </x:c>
      <x:c r="Y72" s="30" t="n">
        <x:f>B72-WEEKDAY(B72,2)+1</x:f>
        <x:v>46321</x:v>
      </x:c>
      <x:c r="Z72" s="2" t="str">
        <x:v>checklist</x:v>
      </x:c>
      <x:c r="AA72" s="2" t="n">
        <x:f>IF(Q72=1,IF(P72&gt;B72,1,0),0)</x:f>
        <x:v>0</x:v>
      </x:c>
      <x:c r="AB72" s="2" t="n">
        <x:f>IF(AND(Q72=1,P72&lt;='Dashboard'!$B$5),0,MAX(0,'Dashboard'!$B$5-B72))</x:f>
        <x:v>0</x:v>
      </x:c>
      <x:c r="AC72" s="28" t="str"/>
      <x:c r="AD72" s="2" t="str">
        <x:f>IF(AND(ISNUMBER(F72),ISNUMBER(G72)),G72-F72,"")</x:f>
      </x:c>
      <x:c r="AE72" s="2" t="n">
        <x:f>IF(AND(I72="Accepted",K72&lt;&gt;"",O72&lt;&gt;"",ISNUMBER(P72),P72&gt;0,P72&lt;='Dashboard'!$B$5,IF(ISNUMBER(F72),ISNUMBER(G72),TRUE),IF(ISNUMBER(F72),G72&gt;=F72,TRUE)),1,0)</x:f>
        <x:v>0</x:v>
      </x:c>
    </x:row>
    <x:row r="73" ht="58" customHeight="1">
      <x:c r="A73" s="2" t="str">
        <x:v>T0430</x:v>
      </x:c>
      <x:c r="B73" s="30" t="n">
        <x:v>46325</x:v>
      </x:c>
      <x:c r="C73" s="2" t="str">
        <x:v>Maseeha</x:v>
      </x:c>
      <x:c r="D73" s="2" t="str">
        <x:v>Client dependency</x:v>
      </x:c>
      <x:c r="E73" s="26" t="str">
        <x:v>5 A/B asks logged; referral intake and credit process checked. Planned asks today: 5 unique existing accounts; cumulative 5.</x:v>
      </x:c>
      <x:c r="F73" s="2" t="n">
        <x:v>1</x:v>
      </x:c>
      <x:c r="G73" s="20"/>
      <x:c r="H73" s="2" t="str">
        <x:v>accepted output</x:v>
      </x:c>
      <x:c r="I73" s="20" t="str">
        <x:v>Ready</x:v>
      </x:c>
      <x:c r="J73" s="2" t="str">
        <x:v>16:45</x:v>
      </x:c>
      <x:c r="K73" s="28" t="str"/>
      <x:c r="L73" s="28" t="str"/>
      <x:c r="M73" s="20" t="str"/>
      <x:c r="N73" s="33"/>
      <x:c r="O73" s="20" t="str"/>
      <x:c r="P73" s="33"/>
      <x:c r="Q73" s="2" t="n">
        <x:f>IF(AND(AE73=1,COUNTIFS($A$7:$A$500,"T0028",$AE$7:$AE$500,1)=1),1,0)</x:f>
        <x:v>0</x:v>
      </x:c>
      <x:c r="R73" s="2" t="str">
        <x:f>IF(AND(Q73=1,P73&lt;='Dashboard'!$B$5),IF(P73&gt;B73,"Accepted late","Accepted"),IF(B73&lt;'Dashboard'!$B$5,"Overdue",IF(I73="Blocked","Blocked",IF(B73='Dashboard'!$B$5,"Due today","Planned"))))</x:f>
        <x:v>Planned</x:v>
      </x:c>
      <x:c r="S73" s="26" t="str">
        <x:f>IF(I73="Accepted",IF(K73="","Add evidence",IF(O73="","Add reviewer",IF(P73="","Add accepted date",IF(AND(ISNUMBER(F73),COUNT(G73)=0),"Add actual quantity",IF(Q73=0,"Review target / date / dependencies","Complete"))))),IF(OR(I73="Blocked",I73="Deferred"),IF(L73="","Record blocker / reason",IF(M73="","Assign rescue owner",IF(N73="","Set recovery date","Recovery assigned"))),IF(B73&lt;'Dashboard'!$B$5,"Escalate and record recovery","Work to acceptance standard")))</x:f>
        <x:v>Work to acceptance standard</x:v>
      </x:c>
      <x:c r="T73" s="26" t="str">
        <x:v>T0028</x:v>
      </x:c>
      <x:c r="U73" s="26" t="str">
        <x:v>Consent-based intros only; Source and Referrer required.</x:v>
      </x:c>
      <x:c r="V73" s="31" t="n">
        <x:v>1</x:v>
      </x:c>
      <x:c r="W73" s="26" t="str"/>
      <x:c r="X73" s="26" t="str">
        <x:v>DSI Reset PDF: lane responsibilities and dated runbook; dated allocation proposed for this tracker.</x:v>
      </x:c>
      <x:c r="Y73" s="30" t="n">
        <x:f>B73-WEEKDAY(B73,2)+1</x:f>
        <x:v>46321</x:v>
      </x:c>
      <x:c r="Z73" s="2" t="str">
        <x:v>checklist</x:v>
      </x:c>
      <x:c r="AA73" s="2" t="n">
        <x:f>IF(Q73=1,IF(P73&gt;B73,1,0),0)</x:f>
        <x:v>0</x:v>
      </x:c>
      <x:c r="AB73" s="2" t="n">
        <x:f>IF(AND(Q73=1,P73&lt;='Dashboard'!$B$5),0,MAX(0,'Dashboard'!$B$5-B73))</x:f>
        <x:v>0</x:v>
      </x:c>
      <x:c r="AC73" s="28" t="str"/>
      <x:c r="AD73" s="2" t="str">
        <x:f>IF(AND(ISNUMBER(F73),ISNUMBER(G73)),G73-F73,"")</x:f>
      </x:c>
      <x:c r="AE73" s="2" t="n">
        <x:f>IF(AND(I73="Accepted",K73&lt;&gt;"",O73&lt;&gt;"",ISNUMBER(P73),P73&gt;0,P73&lt;='Dashboard'!$B$5,IF(ISNUMBER(F73),ISNUMBER(G73),TRUE),IF(ISNUMBER(F73),G73&gt;=F73,TRUE)),1,0)</x:f>
        <x:v>0</x:v>
      </x:c>
    </x:row>
    <x:row r="74" ht="58" customHeight="1">
      <x:c r="A74" s="2" t="str">
        <x:v>T0064</x:v>
      </x:c>
      <x:c r="B74" s="30" t="n">
        <x:v>46328</x:v>
      </x:c>
      <x:c r="C74" s="2" t="str">
        <x:v>Wyline</x:v>
      </x:c>
      <x:c r="D74" s="2" t="str">
        <x:v>Program Director</x:v>
      </x:c>
      <x:c r="E74" s="26" t="str">
        <x:v>Signed dry-run/go record</x:v>
      </x:c>
      <x:c r="F74" s="2" t="n">
        <x:v>1</x:v>
      </x:c>
      <x:c r="G74" s="20"/>
      <x:c r="H74" s="2" t="str">
        <x:v>accepted output</x:v>
      </x:c>
      <x:c r="I74" s="20" t="str">
        <x:v>Ready</x:v>
      </x:c>
      <x:c r="J74" s="2" t="str">
        <x:v>16:45</x:v>
      </x:c>
      <x:c r="K74" s="28" t="str"/>
      <x:c r="L74" s="28" t="str"/>
      <x:c r="M74" s="20" t="str"/>
      <x:c r="N74" s="33"/>
      <x:c r="O74" s="20" t="str"/>
      <x:c r="P74" s="33"/>
      <x:c r="Q74" s="2" t="n">
        <x:f>IF(AND(AE74=1,COUNTIFS($A$7:$A$500,"T0055",$AE$7:$AE$500,1)=1),1,0)</x:f>
        <x:v>0</x:v>
      </x:c>
      <x:c r="R74" s="2" t="str">
        <x:f>IF(AND(Q74=1,P74&lt;='Dashboard'!$B$5),IF(P74&gt;B74,"Accepted late","Accepted"),IF(B74&lt;'Dashboard'!$B$5,"Overdue",IF(I74="Blocked","Blocked",IF(B74='Dashboard'!$B$5,"Due today","Planned"))))</x:f>
        <x:v>Planned</x:v>
      </x:c>
      <x:c r="S74" s="26" t="str">
        <x:f>IF(I74="Accepted",IF(K74="","Add evidence",IF(O74="","Add reviewer",IF(P74="","Add accepted date",IF(AND(ISNUMBER(F74),COUNT(G74)=0),"Add actual quantity",IF(Q74=0,"Review target / date / dependencies","Complete"))))),IF(OR(I74="Blocked",I74="Deferred"),IF(L74="","Record blocker / reason",IF(M74="","Assign rescue owner",IF(N74="","Set recovery date","Recovery assigned"))),IF(B74&lt;'Dashboard'!$B$5,"Escalate and record recovery","Work to acceptance standard")))</x:f>
        <x:v>Work to acceptance standard</x:v>
      </x:c>
      <x:c r="T74" s="26" t="str">
        <x:v>T0055</x:v>
      </x:c>
      <x:c r="U74" s="26" t="str">
        <x:v>All hard gates satisfied; no new campaign starts on assumed approval.</x:v>
      </x:c>
      <x:c r="V74" s="31" t="n">
        <x:v>3</x:v>
      </x:c>
      <x:c r="W74" s="26" t="str"/>
      <x:c r="X74" s="26" t="str">
        <x:v>DSI Reset PDF: lane responsibilities and dated runbook; dated allocation proposed for this tracker.</x:v>
      </x:c>
      <x:c r="Y74" s="30" t="n">
        <x:f>B74-WEEKDAY(B74,2)+1</x:f>
        <x:v>46328</x:v>
      </x:c>
      <x:c r="Z74" s="2" t="str">
        <x:v>checklist</x:v>
      </x:c>
      <x:c r="AA74" s="2" t="n">
        <x:f>IF(Q74=1,IF(P74&gt;B74,1,0),0)</x:f>
        <x:v>0</x:v>
      </x:c>
      <x:c r="AB74" s="2" t="n">
        <x:f>IF(AND(Q74=1,P74&lt;='Dashboard'!$B$5),0,MAX(0,'Dashboard'!$B$5-B74))</x:f>
        <x:v>0</x:v>
      </x:c>
      <x:c r="AC74" s="28" t="str"/>
      <x:c r="AD74" s="2" t="str">
        <x:f>IF(AND(ISNUMBER(F74),ISNUMBER(G74)),G74-F74,"")</x:f>
      </x:c>
      <x:c r="AE74" s="2" t="n">
        <x:f>IF(AND(I74="Accepted",K74&lt;&gt;"",O74&lt;&gt;"",ISNUMBER(P74),P74&gt;0,P74&lt;='Dashboard'!$B$5,IF(ISNUMBER(F74),ISNUMBER(G74),TRUE),IF(ISNUMBER(F74),G74&gt;=F74,TRUE)),1,0)</x:f>
        <x:v>0</x:v>
      </x:c>
    </x:row>
    <x:row r="75" ht="58" customHeight="1">
      <x:c r="A75" s="2" t="str">
        <x:v>T0065</x:v>
      </x:c>
      <x:c r="B75" s="30" t="n">
        <x:v>46328</x:v>
      </x:c>
      <x:c r="C75" s="2" t="str">
        <x:v>Kenneth</x:v>
      </x:c>
      <x:c r="D75" s="2" t="str">
        <x:v>Message Orchestrator</x:v>
      </x:c>
      <x:c r="E75" s="26" t="str">
        <x:v>Human-reply insights; 5 Inbox draft checks; approved first lines; claim exceptions</x:v>
      </x:c>
      <x:c r="F75" s="2" t="n">
        <x:v>1</x:v>
      </x:c>
      <x:c r="G75" s="20"/>
      <x:c r="H75" s="2" t="str">
        <x:v>accepted output</x:v>
      </x:c>
      <x:c r="I75" s="20" t="str">
        <x:v>Ready</x:v>
      </x:c>
      <x:c r="J75" s="2" t="str">
        <x:v>16:45</x:v>
      </x:c>
      <x:c r="K75" s="28" t="str"/>
      <x:c r="L75" s="28" t="str"/>
      <x:c r="M75" s="20" t="str"/>
      <x:c r="N75" s="33"/>
      <x:c r="O75" s="20" t="str"/>
      <x:c r="P75" s="33"/>
      <x:c r="Q75" s="2" t="n">
        <x:f>IF(AND(AE75=1,COUNTIFS($A$7:$A$500,"T0055",$AE$7:$AE$500,1)=1),1,0)</x:f>
        <x:v>0</x:v>
      </x:c>
      <x:c r="R75" s="2" t="str">
        <x:f>IF(AND(Q75=1,P75&lt;='Dashboard'!$B$5),IF(P75&gt;B75,"Accepted late","Accepted"),IF(B75&lt;'Dashboard'!$B$5,"Overdue",IF(I75="Blocked","Blocked",IF(B75='Dashboard'!$B$5,"Due today","Planned"))))</x:f>
        <x:v>Planned</x:v>
      </x:c>
      <x:c r="S75" s="26" t="str">
        <x:f>IF(I75="Accepted",IF(K75="","Add evidence",IF(O75="","Add reviewer",IF(P75="","Add accepted date",IF(AND(ISNUMBER(F75),COUNT(G75)=0),"Add actual quantity",IF(Q75=0,"Review target / date / dependencies","Complete"))))),IF(OR(I75="Blocked",I75="Deferred"),IF(L75="","Record blocker / reason",IF(M75="","Assign rescue owner",IF(N75="","Set recovery date","Recovery assigned"))),IF(B75&lt;'Dashboard'!$B$5,"Escalate and record recovery","Work to acceptance standard")))</x:f>
        <x:v>Work to acceptance standard</x:v>
      </x:c>
      <x:c r="T75" s="26" t="str">
        <x:v>T0055</x:v>
      </x:c>
      <x:c r="U75" s="26" t="str">
        <x:v>Zero invented claims. If any draft fails facts, stop drafting/retrain; no offer change without approval.</x:v>
      </x:c>
      <x:c r="V75" s="31" t="n">
        <x:v>2.4</x:v>
      </x:c>
      <x:c r="W75" s="26" t="str"/>
      <x:c r="X75" s="26" t="str">
        <x:v>DSI Reset PDF: lane responsibilities and dated runbook; dated allocation proposed for this tracker.</x:v>
      </x:c>
      <x:c r="Y75" s="30" t="n">
        <x:f>B75-WEEKDAY(B75,2)+1</x:f>
        <x:v>46328</x:v>
      </x:c>
      <x:c r="Z75" s="2" t="str">
        <x:v>checklist</x:v>
      </x:c>
      <x:c r="AA75" s="2" t="n">
        <x:f>IF(Q75=1,IF(P75&gt;B75,1,0),0)</x:f>
        <x:v>0</x:v>
      </x:c>
      <x:c r="AB75" s="2" t="n">
        <x:f>IF(AND(Q75=1,P75&lt;='Dashboard'!$B$5),0,MAX(0,'Dashboard'!$B$5-B75))</x:f>
        <x:v>0</x:v>
      </x:c>
      <x:c r="AC75" s="28" t="str"/>
      <x:c r="AD75" s="2" t="str">
        <x:f>IF(AND(ISNUMBER(F75),ISNUMBER(G75)),G75-F75,"")</x:f>
      </x:c>
      <x:c r="AE75" s="2" t="n">
        <x:f>IF(AND(I75="Accepted",K75&lt;&gt;"",O75&lt;&gt;"",ISNUMBER(P75),P75&gt;0,P75&lt;='Dashboard'!$B$5,IF(ISNUMBER(F75),ISNUMBER(G75),TRUE),IF(ISNUMBER(F75),G75&gt;=F75,TRUE)),1,0)</x:f>
        <x:v>0</x:v>
      </x:c>
    </x:row>
    <x:row r="76" ht="58" customHeight="1">
      <x:c r="A76" s="2" t="str">
        <x:v>T0066</x:v>
      </x:c>
      <x:c r="B76" s="30" t="n">
        <x:v>46328</x:v>
      </x:c>
      <x:c r="C76" s="2" t="str">
        <x:v>Joey</x:v>
      </x:c>
      <x:c r="D76" s="2" t="str">
        <x:v>Data Orchestrator</x:v>
      </x:c>
      <x:c r="E76" s="26" t="str">
        <x:v>Approved November 3 send queue; suppression refresh; mailbox health and follow-up capacity check. Planned list output today: 50 new verified contacts; cumulative ready pool 300.</x:v>
      </x:c>
      <x:c r="F76" s="2" t="n">
        <x:v>50</x:v>
      </x:c>
      <x:c r="G76" s="20"/>
      <x:c r="H76" s="2" t="str">
        <x:v>new verified contacts; proposed daily pace</x:v>
      </x:c>
      <x:c r="I76" s="20" t="str">
        <x:v>Ready</x:v>
      </x:c>
      <x:c r="J76" s="2" t="str">
        <x:v>16:45</x:v>
      </x:c>
      <x:c r="K76" s="28" t="str"/>
      <x:c r="L76" s="28" t="str"/>
      <x:c r="M76" s="20" t="str"/>
      <x:c r="N76" s="33"/>
      <x:c r="O76" s="20" t="str"/>
      <x:c r="P76" s="33"/>
      <x:c r="Q76" s="2" t="n">
        <x:f>IF(AND(AE76=1,COUNTIFS($A$7:$A$500,"T0055",$AE$7:$AE$500,1)=1),1,0)</x:f>
        <x:v>0</x:v>
      </x:c>
      <x:c r="R76" s="2" t="str">
        <x:f>IF(AND(Q76=1,P76&lt;='Dashboard'!$B$5),IF(P76&gt;B76,"Accepted late","Accepted"),IF(B76&lt;'Dashboard'!$B$5,"Overdue",IF(I76="Blocked","Blocked",IF(B76='Dashboard'!$B$5,"Due today","Planned"))))</x:f>
        <x:v>Planned</x:v>
      </x:c>
      <x:c r="S76" s="26" t="str">
        <x:f>IF(I76="Accepted",IF(K76="","Add evidence",IF(O76="","Add reviewer",IF(P76="","Add accepted date",IF(AND(ISNUMBER(F76),COUNT(G76)=0),"Add actual quantity",IF(Q76=0,"Review target / date / dependencies","Complete"))))),IF(OR(I76="Blocked",I76="Deferred"),IF(L76="","Record blocker / reason",IF(M76="","Assign rescue owner",IF(N76="","Set recovery date","Recovery assigned"))),IF(B76&lt;'Dashboard'!$B$5,"Escalate and record recovery","Work to acceptance standard")))</x:f>
        <x:v>Work to acceptance standard</x:v>
      </x:c>
      <x:c r="T76" s="26" t="str">
        <x:v>T0055</x:v>
      </x:c>
      <x:c r="U76" s="26" t="str">
        <x:v>Existing replies/unsubs/bounces removed; total touch ceiling 150/day.</x:v>
      </x:c>
      <x:c r="V76" s="31" t="n">
        <x:v>3</x:v>
      </x:c>
      <x:c r="W76" s="26" t="str"/>
      <x:c r="X76" s="26" t="str">
        <x:v>DSI Reset PDF: lane responsibilities and dated runbook; dated allocation proposed for this tracker.</x:v>
      </x:c>
      <x:c r="Y76" s="30" t="n">
        <x:f>B76-WEEKDAY(B76,2)+1</x:f>
        <x:v>46328</x:v>
      </x:c>
      <x:c r="Z76" s="2" t="str">
        <x:v>goal</x:v>
      </x:c>
      <x:c r="AA76" s="2" t="n">
        <x:f>IF(Q76=1,IF(P76&gt;B76,1,0),0)</x:f>
        <x:v>0</x:v>
      </x:c>
      <x:c r="AB76" s="2" t="n">
        <x:f>IF(AND(Q76=1,P76&lt;='Dashboard'!$B$5),0,MAX(0,'Dashboard'!$B$5-B76))</x:f>
        <x:v>0</x:v>
      </x:c>
      <x:c r="AC76" s="28" t="str"/>
      <x:c r="AD76" s="2" t="str">
        <x:f>IF(AND(ISNUMBER(F76),ISNUMBER(G76)),G76-F76,"")</x:f>
      </x:c>
      <x:c r="AE76" s="2" t="n">
        <x:f>IF(AND(I76="Accepted",K76&lt;&gt;"",O76&lt;&gt;"",ISNUMBER(P76),P76&gt;0,P76&lt;='Dashboard'!$B$5,IF(ISNUMBER(F76),ISNUMBER(G76),TRUE),IF(ISNUMBER(F76),G76&gt;=F76,TRUE)),1,0)</x:f>
        <x:v>0</x:v>
      </x:c>
    </x:row>
    <x:row r="77" ht="58" customHeight="1">
      <x:c r="A77" s="2" t="str">
        <x:v>T0067</x:v>
      </x:c>
      <x:c r="B77" s="30" t="n">
        <x:v>46328</x:v>
      </x:c>
      <x:c r="C77" s="2" t="str">
        <x:v>Nova</x:v>
      </x:c>
      <x:c r="D77" s="2" t="str">
        <x:v>Conversion Orchestrator</x:v>
      </x:c>
      <x:c r="E77" s="26" t="str">
        <x:v>5 timed test replies and calendar handoffs</x:v>
      </x:c>
      <x:c r="F77" s="2" t="n">
        <x:v>1</x:v>
      </x:c>
      <x:c r="G77" s="20"/>
      <x:c r="H77" s="2" t="str">
        <x:v>accepted output</x:v>
      </x:c>
      <x:c r="I77" s="20" t="str">
        <x:v>Ready</x:v>
      </x:c>
      <x:c r="J77" s="2" t="str">
        <x:v>16:45</x:v>
      </x:c>
      <x:c r="K77" s="28" t="str"/>
      <x:c r="L77" s="28" t="str"/>
      <x:c r="M77" s="20" t="str"/>
      <x:c r="N77" s="33"/>
      <x:c r="O77" s="20" t="str"/>
      <x:c r="P77" s="33"/>
      <x:c r="Q77" s="2" t="n">
        <x:f>IF(AND(AE77=1,COUNTIFS($A$7:$A$500,"T0055",$AE$7:$AE$500,1)=1),1,0)</x:f>
        <x:v>0</x:v>
      </x:c>
      <x:c r="R77" s="2" t="str">
        <x:f>IF(AND(Q77=1,P77&lt;='Dashboard'!$B$5),IF(P77&gt;B77,"Accepted late","Accepted"),IF(B77&lt;'Dashboard'!$B$5,"Overdue",IF(I77="Blocked","Blocked",IF(B77='Dashboard'!$B$5,"Due today","Planned"))))</x:f>
        <x:v>Planned</x:v>
      </x:c>
      <x:c r="S77" s="26" t="str">
        <x:f>IF(I77="Accepted",IF(K77="","Add evidence",IF(O77="","Add reviewer",IF(P77="","Add accepted date",IF(AND(ISNUMBER(F77),COUNT(G77)=0),"Add actual quantity",IF(Q77=0,"Review target / date / dependencies","Complete"))))),IF(OR(I77="Blocked",I77="Deferred"),IF(L77="","Record blocker / reason",IF(M77="","Assign rescue owner",IF(N77="","Set recovery date","Recovery assigned"))),IF(B77&lt;'Dashboard'!$B$5,"Escalate and record recovery","Work to acceptance standard")))</x:f>
        <x:v>Work to acceptance standard</x:v>
      </x:c>
      <x:c r="T77" s="26" t="str">
        <x:v>T0055</x:v>
      </x:c>
      <x:c r="U77" s="26" t="str">
        <x:v>Every response&lt;=15 min; positive call task&lt;=60 min; both setters tested.</x:v>
      </x:c>
      <x:c r="V77" s="31" t="n">
        <x:v>4</x:v>
      </x:c>
      <x:c r="W77" s="26" t="str"/>
      <x:c r="X77" s="26" t="str">
        <x:v>DSI Reset PDF: lane responsibilities and dated runbook; dated allocation proposed for this tracker.</x:v>
      </x:c>
      <x:c r="Y77" s="30" t="n">
        <x:f>B77-WEEKDAY(B77,2)+1</x:f>
        <x:v>46328</x:v>
      </x:c>
      <x:c r="Z77" s="2" t="str">
        <x:v>checklist</x:v>
      </x:c>
      <x:c r="AA77" s="2" t="n">
        <x:f>IF(Q77=1,IF(P77&gt;B77,1,0),0)</x:f>
        <x:v>0</x:v>
      </x:c>
      <x:c r="AB77" s="2" t="n">
        <x:f>IF(AND(Q77=1,P77&lt;='Dashboard'!$B$5),0,MAX(0,'Dashboard'!$B$5-B77))</x:f>
        <x:v>0</x:v>
      </x:c>
      <x:c r="AC77" s="28" t="str"/>
      <x:c r="AD77" s="2" t="str">
        <x:f>IF(AND(ISNUMBER(F77),ISNUMBER(G77)),G77-F77,"")</x:f>
      </x:c>
      <x:c r="AE77" s="2" t="n">
        <x:f>IF(AND(I77="Accepted",K77&lt;&gt;"",O77&lt;&gt;"",ISNUMBER(P77),P77&gt;0,P77&lt;='Dashboard'!$B$5,IF(ISNUMBER(F77),ISNUMBER(G77),TRUE),IF(ISNUMBER(F77),G77&gt;=F77,TRUE)),1,0)</x:f>
        <x:v>0</x:v>
      </x:c>
    </x:row>
    <x:row r="78" ht="58" customHeight="1">
      <x:c r="A78" s="2" t="str">
        <x:v>T0068</x:v>
      </x:c>
      <x:c r="B78" s="30" t="n">
        <x:v>46328</x:v>
      </x:c>
      <x:c r="C78" s="2" t="str">
        <x:v>Emman</x:v>
      </x:c>
      <x:c r="D78" s="2" t="str">
        <x:v>AI Build Orchestrator</x:v>
      </x:c>
      <x:c r="E78" s="26" t="str">
        <x:v>Health/retry log; one acceptance-backed build increment; updated change log</x:v>
      </x:c>
      <x:c r="F78" s="2" t="n">
        <x:v>1</x:v>
      </x:c>
      <x:c r="G78" s="20"/>
      <x:c r="H78" s="2" t="str">
        <x:v>accepted output</x:v>
      </x:c>
      <x:c r="I78" s="20" t="str">
        <x:v>Ready</x:v>
      </x:c>
      <x:c r="J78" s="2" t="str">
        <x:v>16:45</x:v>
      </x:c>
      <x:c r="K78" s="28" t="str"/>
      <x:c r="L78" s="28" t="str"/>
      <x:c r="M78" s="20" t="str"/>
      <x:c r="N78" s="33"/>
      <x:c r="O78" s="20" t="str"/>
      <x:c r="P78" s="33"/>
      <x:c r="Q78" s="2" t="n">
        <x:f>IF(AND(AE78=1,COUNTIFS($A$7:$A$500,"T0055",$AE$7:$AE$500,1)=1),1,0)</x:f>
        <x:v>0</x:v>
      </x:c>
      <x:c r="R78" s="2" t="str">
        <x:f>IF(AND(Q78=1,P78&lt;='Dashboard'!$B$5),IF(P78&gt;B78,"Accepted late","Accepted"),IF(B78&lt;'Dashboard'!$B$5,"Overdue",IF(I78="Blocked","Blocked",IF(B78='Dashboard'!$B$5,"Due today","Planned"))))</x:f>
        <x:v>Planned</x:v>
      </x:c>
      <x:c r="S78" s="26" t="str">
        <x:f>IF(I78="Accepted",IF(K78="","Add evidence",IF(O78="","Add reviewer",IF(P78="","Add accepted date",IF(AND(ISNUMBER(F78),COUNT(G78)=0),"Add actual quantity",IF(Q78=0,"Review target / date / dependencies","Complete"))))),IF(OR(I78="Blocked",I78="Deferred"),IF(L78="","Record blocker / reason",IF(M78="","Assign rescue owner",IF(N78="","Set recovery date","Recovery assigned"))),IF(B78&lt;'Dashboard'!$B$5,"Escalate and record recovery","Work to acceptance standard")))</x:f>
        <x:v>Work to acceptance standard</x:v>
      </x:c>
      <x:c r="T78" s="26" t="str">
        <x:v>T0055</x:v>
      </x:c>
      <x:c r="U78" s="26" t="str">
        <x:v>Fix a failing live agent beforestarting the next build. If an agent is still not working 48 hours after its due date, activate the manual SOP. Roll back a live failure within 1 hour. Release build reserve when no approved work remains.</x:v>
      </x:c>
      <x:c r="V78" s="31" t="n">
        <x:v>4</x:v>
      </x:c>
      <x:c r="W78" s="26" t="str"/>
      <x:c r="X78" s="26" t="str">
        <x:v>DSI Reset PDF: lane responsibilities and dated runbook; dated allocation proposed for this tracker.</x:v>
      </x:c>
      <x:c r="Y78" s="30" t="n">
        <x:f>B78-WEEKDAY(B78,2)+1</x:f>
        <x:v>46328</x:v>
      </x:c>
      <x:c r="Z78" s="2" t="str">
        <x:v>checklist</x:v>
      </x:c>
      <x:c r="AA78" s="2" t="n">
        <x:f>IF(Q78=1,IF(P78&gt;B78,1,0),0)</x:f>
        <x:v>0</x:v>
      </x:c>
      <x:c r="AB78" s="2" t="n">
        <x:f>IF(AND(Q78=1,P78&lt;='Dashboard'!$B$5),0,MAX(0,'Dashboard'!$B$5-B78))</x:f>
        <x:v>0</x:v>
      </x:c>
      <x:c r="AC78" s="28" t="str"/>
      <x:c r="AD78" s="2" t="str">
        <x:f>IF(AND(ISNUMBER(F78),ISNUMBER(G78)),G78-F78,"")</x:f>
      </x:c>
      <x:c r="AE78" s="2" t="n">
        <x:f>IF(AND(I78="Accepted",K78&lt;&gt;"",O78&lt;&gt;"",ISNUMBER(P78),P78&gt;0,P78&lt;='Dashboard'!$B$5,IF(ISNUMBER(F78),ISNUMBER(G78),TRUE),IF(ISNUMBER(F78),G78&gt;=F78,TRUE)),1,0)</x:f>
        <x:v>0</x:v>
      </x:c>
    </x:row>
    <x:row r="79" ht="58" customHeight="1">
      <x:c r="A79" s="2" t="str">
        <x:v>T0069</x:v>
      </x:c>
      <x:c r="B79" s="30" t="n">
        <x:v>46328</x:v>
      </x:c>
      <x:c r="C79" s="2" t="str">
        <x:v>Ludwig</x:v>
      </x:c>
      <x:c r="D79" s="2" t="str">
        <x:v>Integration Engineer</x:v>
      </x:c>
      <x:c r="E79" s="26" t="str">
        <x:v>Webhook/error/dead-letter check; top assigned integration ticket or verified no-ticket note</x:v>
      </x:c>
      <x:c r="F79" s="2" t="n">
        <x:v>1</x:v>
      </x:c>
      <x:c r="G79" s="20"/>
      <x:c r="H79" s="2" t="str">
        <x:v>accepted output</x:v>
      </x:c>
      <x:c r="I79" s="20" t="str">
        <x:v>Ready</x:v>
      </x:c>
      <x:c r="J79" s="2" t="str">
        <x:v>16:45</x:v>
      </x:c>
      <x:c r="K79" s="28" t="str"/>
      <x:c r="L79" s="28" t="str"/>
      <x:c r="M79" s="20" t="str"/>
      <x:c r="N79" s="33"/>
      <x:c r="O79" s="20" t="str"/>
      <x:c r="P79" s="33"/>
      <x:c r="Q79" s="2" t="n">
        <x:f>IF(AND(AE79=1,COUNTIFS($A$7:$A$500,"T0055",$AE$7:$AE$500,1)=1),1,0)</x:f>
        <x:v>0</x:v>
      </x:c>
      <x:c r="R79" s="2" t="str">
        <x:f>IF(AND(Q79=1,P79&lt;='Dashboard'!$B$5),IF(P79&gt;B79,"Accepted late","Accepted"),IF(B79&lt;'Dashboard'!$B$5,"Overdue",IF(I79="Blocked","Blocked",IF(B79='Dashboard'!$B$5,"Due today","Planned"))))</x:f>
        <x:v>Planned</x:v>
      </x:c>
      <x:c r="S79" s="26" t="str">
        <x:f>IF(I79="Accepted",IF(K79="","Add evidence",IF(O79="","Add reviewer",IF(P79="","Add accepted date",IF(AND(ISNUMBER(F79),COUNT(G79)=0),"Add actual quantity",IF(Q79=0,"Review target / date / dependencies","Complete"))))),IF(OR(I79="Blocked",I79="Deferred"),IF(L79="","Record blocker / reason",IF(M79="","Assign rescue owner",IF(N79="","Set recovery date","Recovery assigned"))),IF(B79&lt;'Dashboard'!$B$5,"Escalate and record recovery","Work to acceptance standard")))</x:f>
        <x:v>Work to acceptance standard</x:v>
      </x:c>
      <x:c r="T79" s="26" t="str">
        <x:v>T0055</x:v>
      </x:c>
      <x:c r="U79" s="26" t="str">
        <x:v>Only Emman’s priority queue; 100% test capture; runbook/retry/rollback evidence. If no fault/ticket, release reserve; do not invent work.</x:v>
      </x:c>
      <x:c r="V79" s="31" t="n">
        <x:v>1.6</x:v>
      </x:c>
      <x:c r="W79" s="26" t="str"/>
      <x:c r="X79" s="26" t="str">
        <x:v>DSI Reset PDF: lane responsibilities and dated runbook; dated allocation proposed for this tracker.</x:v>
      </x:c>
      <x:c r="Y79" s="30" t="n">
        <x:f>B79-WEEKDAY(B79,2)+1</x:f>
        <x:v>46328</x:v>
      </x:c>
      <x:c r="Z79" s="2" t="str">
        <x:v>checklist</x:v>
      </x:c>
      <x:c r="AA79" s="2" t="n">
        <x:f>IF(Q79=1,IF(P79&gt;B79,1,0),0)</x:f>
        <x:v>0</x:v>
      </x:c>
      <x:c r="AB79" s="2" t="n">
        <x:f>IF(AND(Q79=1,P79&lt;='Dashboard'!$B$5),0,MAX(0,'Dashboard'!$B$5-B79))</x:f>
        <x:v>0</x:v>
      </x:c>
      <x:c r="AC79" s="28" t="str"/>
      <x:c r="AD79" s="2" t="str">
        <x:f>IF(AND(ISNUMBER(F79),ISNUMBER(G79)),G79-F79,"")</x:f>
      </x:c>
      <x:c r="AE79" s="2" t="n">
        <x:f>IF(AND(I79="Accepted",K79&lt;&gt;"",O79&lt;&gt;"",ISNUMBER(P79),P79&gt;0,P79&lt;='Dashboard'!$B$5,IF(ISNUMBER(F79),ISNUMBER(G79),TRUE),IF(ISNUMBER(F79),G79&gt;=F79,TRUE)),1,0)</x:f>
        <x:v>0</x:v>
      </x:c>
    </x:row>
    <x:row r="80" ht="58" customHeight="1">
      <x:c r="A80" s="2" t="str">
        <x:v>T0070</x:v>
      </x:c>
      <x:c r="B80" s="30" t="n">
        <x:v>46328</x:v>
      </x:c>
      <x:c r="C80" s="2" t="str">
        <x:v>Alvin</x:v>
      </x:c>
      <x:c r="D80" s="2" t="str">
        <x:v>CQL/GHL Implementation</x:v>
      </x:c>
      <x:c r="E80" s="26" t="str">
        <x:v>Stage/calendar/reminder QA; due workflow fixes</x:v>
      </x:c>
      <x:c r="F80" s="2" t="n">
        <x:v>1</x:v>
      </x:c>
      <x:c r="G80" s="20"/>
      <x:c r="H80" s="2" t="str">
        <x:v>accepted output</x:v>
      </x:c>
      <x:c r="I80" s="20" t="str">
        <x:v>Ready</x:v>
      </x:c>
      <x:c r="J80" s="2" t="str">
        <x:v>16:45</x:v>
      </x:c>
      <x:c r="K80" s="28" t="str"/>
      <x:c r="L80" s="28" t="str"/>
      <x:c r="M80" s="20" t="str"/>
      <x:c r="N80" s="33"/>
      <x:c r="O80" s="20" t="str"/>
      <x:c r="P80" s="33"/>
      <x:c r="Q80" s="2" t="n">
        <x:f>IF(AND(AE80=1,COUNTIFS($A$7:$A$500,"T0055",$AE$7:$AE$500,1)=1),1,0)</x:f>
        <x:v>0</x:v>
      </x:c>
      <x:c r="R80" s="2" t="str">
        <x:f>IF(AND(Q80=1,P80&lt;='Dashboard'!$B$5),IF(P80&gt;B80,"Accepted late","Accepted"),IF(B80&lt;'Dashboard'!$B$5,"Overdue",IF(I80="Blocked","Blocked",IF(B80='Dashboard'!$B$5,"Due today","Planned"))))</x:f>
        <x:v>Planned</x:v>
      </x:c>
      <x:c r="S80" s="26" t="str">
        <x:f>IF(I80="Accepted",IF(K80="","Add evidence",IF(O80="","Add reviewer",IF(P80="","Add accepted date",IF(AND(ISNUMBER(F80),COUNT(G80)=0),"Add actual quantity",IF(Q80=0,"Review target / date / dependencies","Complete"))))),IF(OR(I80="Blocked",I80="Deferred"),IF(L80="","Record blocker / reason",IF(M80="","Assign rescue owner",IF(N80="","Set recovery date","Recovery assigned"))),IF(B80&lt;'Dashboard'!$B$5,"Escalate and record recovery","Work to acceptance standard")))</x:f>
        <x:v>Work to acceptance standard</x:v>
      </x:c>
      <x:c r="T80" s="26" t="str">
        <x:v>T0055</x:v>
      </x:c>
      <x:c r="U80" s="26" t="str">
        <x:v>No-show task&lt;=10 min; form/source fields correct; finish critical CRM defect same day. Facebook mirrors exact approved post; Instagram requires permissioned image.</x:v>
      </x:c>
      <x:c r="V80" s="31" t="n">
        <x:v>2</x:v>
      </x:c>
      <x:c r="W80" s="26" t="str"/>
      <x:c r="X80" s="26" t="str">
        <x:v>DSI Reset PDF: lane responsibilities and dated runbook; dated allocation proposed for this tracker.</x:v>
      </x:c>
      <x:c r="Y80" s="30" t="n">
        <x:f>B80-WEEKDAY(B80,2)+1</x:f>
        <x:v>46328</x:v>
      </x:c>
      <x:c r="Z80" s="2" t="str">
        <x:v>checklist</x:v>
      </x:c>
      <x:c r="AA80" s="2" t="n">
        <x:f>IF(Q80=1,IF(P80&gt;B80,1,0),0)</x:f>
        <x:v>0</x:v>
      </x:c>
      <x:c r="AB80" s="2" t="n">
        <x:f>IF(AND(Q80=1,P80&lt;='Dashboard'!$B$5),0,MAX(0,'Dashboard'!$B$5-B80))</x:f>
        <x:v>0</x:v>
      </x:c>
      <x:c r="AC80" s="28" t="str"/>
      <x:c r="AD80" s="2" t="str">
        <x:f>IF(AND(ISNUMBER(F80),ISNUMBER(G80)),G80-F80,"")</x:f>
      </x:c>
      <x:c r="AE80" s="2" t="n">
        <x:f>IF(AND(I80="Accepted",K80&lt;&gt;"",O80&lt;&gt;"",ISNUMBER(P80),P80&gt;0,P80&lt;='Dashboard'!$B$5,IF(ISNUMBER(F80),ISNUMBER(G80),TRUE),IF(ISNUMBER(F80),G80&gt;=F80,TRUE)),1,0)</x:f>
        <x:v>0</x:v>
      </x:c>
    </x:row>
    <x:row r="81" ht="58" customHeight="1">
      <x:c r="A81" s="2" t="str">
        <x:v>T0071</x:v>
      </x:c>
      <x:c r="B81" s="30" t="n">
        <x:v>46328</x:v>
      </x:c>
      <x:c r="C81" s="2" t="str">
        <x:v>Brian</x:v>
      </x:c>
      <x:c r="D81" s="2" t="str">
        <x:v>Web and Tracking</x:v>
      </x:c>
      <x:c r="E81" s="26" t="str">
        <x:v>One health-check result; at most one weekly change ticket or no-ticket note</x:v>
      </x:c>
      <x:c r="F81" s="2" t="n">
        <x:v>1</x:v>
      </x:c>
      <x:c r="G81" s="20"/>
      <x:c r="H81" s="2" t="str">
        <x:v>accepted output</x:v>
      </x:c>
      <x:c r="I81" s="20" t="str">
        <x:v>Ready</x:v>
      </x:c>
      <x:c r="J81" s="2" t="str">
        <x:v>16:45</x:v>
      </x:c>
      <x:c r="K81" s="28" t="str"/>
      <x:c r="L81" s="28" t="str"/>
      <x:c r="M81" s="20" t="str"/>
      <x:c r="N81" s="33"/>
      <x:c r="O81" s="20" t="str"/>
      <x:c r="P81" s="33"/>
      <x:c r="Q81" s="2" t="n">
        <x:f>IF(AND(AE81=1,COUNTIFS($A$7:$A$500,"T0055",$AE$7:$AE$500,1)=1),1,0)</x:f>
        <x:v>0</x:v>
      </x:c>
      <x:c r="R81" s="2" t="str">
        <x:f>IF(AND(Q81=1,P81&lt;='Dashboard'!$B$5),IF(P81&gt;B81,"Accepted late","Accepted"),IF(B81&lt;'Dashboard'!$B$5,"Overdue",IF(I81="Blocked","Blocked",IF(B81='Dashboard'!$B$5,"Due today","Planned"))))</x:f>
        <x:v>Planned</x:v>
      </x:c>
      <x:c r="S81" s="26" t="str">
        <x:f>IF(I81="Accepted",IF(K81="","Add evidence",IF(O81="","Add reviewer",IF(P81="","Add accepted date",IF(AND(ISNUMBER(F81),COUNT(G81)=0),"Add actual quantity",IF(Q81=0,"Review target / date / dependencies","Complete"))))),IF(OR(I81="Blocked",I81="Deferred"),IF(L81="","Record blocker / reason",IF(M81="","Assign rescue owner",IF(N81="","Set recovery date","Recovery assigned"))),IF(B81&lt;'Dashboard'!$B$5,"Escalate and record recovery","Work to acceptance standard")))</x:f>
        <x:v>Work to acceptance standard</x:v>
      </x:c>
      <x:c r="T81" s="26" t="str">
        <x:v>T0055</x:v>
      </x:c>
      <x:c r="U81" s="26" t="str">
        <x:v>Form to CQL&lt;1 min; approved copy unchanged; no work manufactured if healthy; ongoing reserve&lt;=2 h/week.</x:v>
      </x:c>
      <x:c r="V81" s="31" t="n">
        <x:v>0.4</x:v>
      </x:c>
      <x:c r="W81" s="26" t="str"/>
      <x:c r="X81" s="26" t="str">
        <x:v>DSI Reset PDF: lane responsibilities and dated runbook; dated allocation proposed for this tracker.</x:v>
      </x:c>
      <x:c r="Y81" s="30" t="n">
        <x:f>B81-WEEKDAY(B81,2)+1</x:f>
        <x:v>46328</x:v>
      </x:c>
      <x:c r="Z81" s="2" t="str">
        <x:v>checklist</x:v>
      </x:c>
      <x:c r="AA81" s="2" t="n">
        <x:f>IF(Q81=1,IF(P81&gt;B81,1,0),0)</x:f>
        <x:v>0</x:v>
      </x:c>
      <x:c r="AB81" s="2" t="n">
        <x:f>IF(AND(Q81=1,P81&lt;='Dashboard'!$B$5),0,MAX(0,'Dashboard'!$B$5-B81))</x:f>
        <x:v>0</x:v>
      </x:c>
      <x:c r="AC81" s="28" t="str"/>
      <x:c r="AD81" s="2" t="str">
        <x:f>IF(AND(ISNUMBER(F81),ISNUMBER(G81)),G81-F81,"")</x:f>
      </x:c>
      <x:c r="AE81" s="2" t="n">
        <x:f>IF(AND(I81="Accepted",K81&lt;&gt;"",O81&lt;&gt;"",ISNUMBER(P81),P81&gt;0,P81&lt;='Dashboard'!$B$5,IF(ISNUMBER(F81),ISNUMBER(G81),TRUE),IF(ISNUMBER(F81),G81&gt;=F81,TRUE)),1,0)</x:f>
        <x:v>0</x:v>
      </x:c>
    </x:row>
    <x:row r="82" ht="58" customHeight="1">
      <x:c r="A82" s="2" t="str">
        <x:v>T0072</x:v>
      </x:c>
      <x:c r="B82" s="30" t="n">
        <x:v>46328</x:v>
      </x:c>
      <x:c r="C82" s="2" t="str">
        <x:v>Dexter</x:v>
      </x:c>
      <x:c r="D82" s="2" t="str">
        <x:v>LinkedIn Execution</x:v>
      </x:c>
      <x:c r="E82" s="26" t="str">
        <x:v>CQL logged DMs/accepts; eligible requests; referred interested replies; approved post evidence</x:v>
      </x:c>
      <x:c r="F82" s="2" t="n">
        <x:v>1</x:v>
      </x:c>
      <x:c r="G82" s="20"/>
      <x:c r="H82" s="2" t="str">
        <x:v>accepted output</x:v>
      </x:c>
      <x:c r="I82" s="20" t="str">
        <x:v>Ready</x:v>
      </x:c>
      <x:c r="J82" s="2" t="str">
        <x:v>16:45</x:v>
      </x:c>
      <x:c r="K82" s="28" t="str"/>
      <x:c r="L82" s="28" t="str"/>
      <x:c r="M82" s="20" t="str"/>
      <x:c r="N82" s="33"/>
      <x:c r="O82" s="20" t="str"/>
      <x:c r="P82" s="33"/>
      <x:c r="Q82" s="2" t="n">
        <x:f>IF(AND(AE82=1,COUNTIFS($A$7:$A$500,"T0055",$AE$7:$AE$500,1)=1),1,0)</x:f>
        <x:v>0</x:v>
      </x:c>
      <x:c r="R82" s="2" t="str">
        <x:f>IF(AND(Q82=1,P82&lt;='Dashboard'!$B$5),IF(P82&gt;B82,"Accepted late","Accepted"),IF(B82&lt;'Dashboard'!$B$5,"Overdue",IF(I82="Blocked","Blocked",IF(B82='Dashboard'!$B$5,"Due today","Planned"))))</x:f>
        <x:v>Planned</x:v>
      </x:c>
      <x:c r="S82" s="26" t="str">
        <x:f>IF(I82="Accepted",IF(K82="","Add evidence",IF(O82="","Add reviewer",IF(P82="","Add accepted date",IF(AND(ISNUMBER(F82),COUNT(G82)=0),"Add actual quantity",IF(Q82=0,"Review target / date / dependencies","Complete"))))),IF(OR(I82="Blocked",I82="Deferred"),IF(L82="","Record blocker / reason",IF(M82="","Assign rescue owner",IF(N82="","Set recovery date","Recovery assigned"))),IF(B82&lt;'Dashboard'!$B$5,"Escalate and record recovery","Work to acceptance standard")))</x:f>
        <x:v>Work to acceptance standard</x:v>
      </x:c>
      <x:c r="T82" s="26" t="str">
        <x:v>T0055</x:v>
      </x:c>
      <x:c r="U82" s="26" t="str">
        <x:v>Replies/follow-up first; 20–25 requests/day only eligible pool/account allow; 100/week source capacity, not invented quota; interested to Nova&lt;=15 min; manual only.</x:v>
      </x:c>
      <x:c r="V82" s="31" t="n">
        <x:v>3</x:v>
      </x:c>
      <x:c r="W82" s="26" t="str"/>
      <x:c r="X82" s="26" t="str">
        <x:v>DSI Reset PDF: lane responsibilities and dated runbook; dated allocation proposed for this tracker.</x:v>
      </x:c>
      <x:c r="Y82" s="30" t="n">
        <x:f>B82-WEEKDAY(B82,2)+1</x:f>
        <x:v>46328</x:v>
      </x:c>
      <x:c r="Z82" s="2" t="str">
        <x:v>checklist</x:v>
      </x:c>
      <x:c r="AA82" s="2" t="n">
        <x:f>IF(Q82=1,IF(P82&gt;B82,1,0),0)</x:f>
        <x:v>0</x:v>
      </x:c>
      <x:c r="AB82" s="2" t="n">
        <x:f>IF(AND(Q82=1,P82&lt;='Dashboard'!$B$5),0,MAX(0,'Dashboard'!$B$5-B82))</x:f>
        <x:v>0</x:v>
      </x:c>
      <x:c r="AC82" s="28" t="str"/>
      <x:c r="AD82" s="2" t="str">
        <x:f>IF(AND(ISNUMBER(F82),ISNUMBER(G82)),G82-F82,"")</x:f>
      </x:c>
      <x:c r="AE82" s="2" t="n">
        <x:f>IF(AND(I82="Accepted",K82&lt;&gt;"",O82&lt;&gt;"",ISNUMBER(P82),P82&gt;0,P82&lt;='Dashboard'!$B$5,IF(ISNUMBER(F82),ISNUMBER(G82),TRUE),IF(ISNUMBER(F82),G82&gt;=F82,TRUE)),1,0)</x:f>
        <x:v>0</x:v>
      </x:c>
    </x:row>
    <x:row r="83" ht="58" customHeight="1">
      <x:c r="A83" s="2" t="str">
        <x:v>T0073</x:v>
      </x:c>
      <x:c r="B83" s="30" t="n">
        <x:v>46328</x:v>
      </x:c>
      <x:c r="C83" s="2" t="str">
        <x:v>Setter 1</x:v>
      </x:c>
      <x:c r="D83" s="2" t="str">
        <x:v>Reply and Phone Setter</x:v>
      </x:c>
      <x:c r="E83" s="26" t="str">
        <x:v>Assigned shift and 5-reply dry-run evidence</x:v>
      </x:c>
      <x:c r="F83" s="2" t="n">
        <x:v>1</x:v>
      </x:c>
      <x:c r="G83" s="20"/>
      <x:c r="H83" s="2" t="str">
        <x:v>accepted output</x:v>
      </x:c>
      <x:c r="I83" s="20" t="str">
        <x:v>Ready</x:v>
      </x:c>
      <x:c r="J83" s="2" t="str">
        <x:v>16:45</x:v>
      </x:c>
      <x:c r="K83" s="28" t="str"/>
      <x:c r="L83" s="28" t="str"/>
      <x:c r="M83" s="20" t="str"/>
      <x:c r="N83" s="33"/>
      <x:c r="O83" s="20" t="str"/>
      <x:c r="P83" s="33"/>
      <x:c r="Q83" s="2" t="n">
        <x:f>IF(AND(AE83=1,COUNTIFS($A$7:$A$500,"T0013",$AE$7:$AE$500,1)=1,COUNTIFS($A$7:$A$500,"T0055",$AE$7:$AE$500,1)=1),1,0)</x:f>
        <x:v>0</x:v>
      </x:c>
      <x:c r="R83" s="2" t="str">
        <x:f>IF(AND(Q83=1,P83&lt;='Dashboard'!$B$5),IF(P83&gt;B83,"Accepted late","Accepted"),IF(B83&lt;'Dashboard'!$B$5,"Overdue",IF(I83="Blocked","Blocked",IF(B83='Dashboard'!$B$5,"Due today","Planned"))))</x:f>
        <x:v>Planned</x:v>
      </x:c>
      <x:c r="S83" s="26" t="str">
        <x:f>IF(I83="Accepted",IF(K83="","Add evidence",IF(O83="","Add reviewer",IF(P83="","Add accepted date",IF(AND(ISNUMBER(F83),COUNT(G83)=0),"Add actual quantity",IF(Q83=0,"Review target / date / dependencies","Complete"))))),IF(OR(I83="Blocked",I83="Deferred"),IF(L83="","Record blocker / reason",IF(M83="","Assign rescue owner",IF(N83="","Set recovery date","Recovery assigned"))),IF(B83&lt;'Dashboard'!$B$5,"Escalate and record recovery","Work to acceptance standard")))</x:f>
        <x:v>Work to acceptance standard</x:v>
      </x:c>
      <x:c r="T83" s="26" t="str">
        <x:v>T0013; T0055</x:v>
      </x:c>
      <x:c r="U83" s="26" t="str">
        <x:v>All answers&lt;=15 min; master inbox only; call/book/log verified; name confirmed.</x:v>
      </x:c>
      <x:c r="V83" s="31" t="n">
        <x:v>4</x:v>
      </x:c>
      <x:c r="W83" s="26" t="str"/>
      <x:c r="X83" s="26" t="str">
        <x:v>DSI Reset PDF: lane responsibilities and dated runbook; dated allocation proposed for this tracker.</x:v>
      </x:c>
      <x:c r="Y83" s="30" t="n">
        <x:f>B83-WEEKDAY(B83,2)+1</x:f>
        <x:v>46328</x:v>
      </x:c>
      <x:c r="Z83" s="2" t="str">
        <x:v>checklist</x:v>
      </x:c>
      <x:c r="AA83" s="2" t="n">
        <x:f>IF(Q83=1,IF(P83&gt;B83,1,0),0)</x:f>
        <x:v>0</x:v>
      </x:c>
      <x:c r="AB83" s="2" t="n">
        <x:f>IF(AND(Q83=1,P83&lt;='Dashboard'!$B$5),0,MAX(0,'Dashboard'!$B$5-B83))</x:f>
        <x:v>0</x:v>
      </x:c>
      <x:c r="AC83" s="28" t="str"/>
      <x:c r="AD83" s="2" t="str">
        <x:f>IF(AND(ISNUMBER(F83),ISNUMBER(G83)),G83-F83,"")</x:f>
      </x:c>
      <x:c r="AE83" s="2" t="n">
        <x:f>IF(AND(I83="Accepted",K83&lt;&gt;"",O83&lt;&gt;"",ISNUMBER(P83),P83&gt;0,P83&lt;='Dashboard'!$B$5,IF(ISNUMBER(F83),ISNUMBER(G83),TRUE),IF(ISNUMBER(F83),G83&gt;=F83,TRUE)),1,0)</x:f>
        <x:v>0</x:v>
      </x:c>
    </x:row>
    <x:row r="84" ht="58" customHeight="1">
      <x:c r="A84" s="2" t="str">
        <x:v>T0074</x:v>
      </x:c>
      <x:c r="B84" s="30" t="n">
        <x:v>46328</x:v>
      </x:c>
      <x:c r="C84" s="2" t="str">
        <x:v>Setter 2</x:v>
      </x:c>
      <x:c r="D84" s="2" t="str">
        <x:v>Reply and Phone Setter</x:v>
      </x:c>
      <x:c r="E84" s="26" t="str">
        <x:v>Assigned shift and 5-reply dry-run evidence</x:v>
      </x:c>
      <x:c r="F84" s="2" t="n">
        <x:v>1</x:v>
      </x:c>
      <x:c r="G84" s="20"/>
      <x:c r="H84" s="2" t="str">
        <x:v>accepted output</x:v>
      </x:c>
      <x:c r="I84" s="20" t="str">
        <x:v>Ready</x:v>
      </x:c>
      <x:c r="J84" s="2" t="str">
        <x:v>16:45</x:v>
      </x:c>
      <x:c r="K84" s="28" t="str"/>
      <x:c r="L84" s="28" t="str"/>
      <x:c r="M84" s="20" t="str"/>
      <x:c r="N84" s="33"/>
      <x:c r="O84" s="20" t="str"/>
      <x:c r="P84" s="33"/>
      <x:c r="Q84" s="2" t="n">
        <x:f>IF(AND(AE84=1,COUNTIFS($A$7:$A$500,"T0013",$AE$7:$AE$500,1)=1,COUNTIFS($A$7:$A$500,"T0055",$AE$7:$AE$500,1)=1),1,0)</x:f>
        <x:v>0</x:v>
      </x:c>
      <x:c r="R84" s="2" t="str">
        <x:f>IF(AND(Q84=1,P84&lt;='Dashboard'!$B$5),IF(P84&gt;B84,"Accepted late","Accepted"),IF(B84&lt;'Dashboard'!$B$5,"Overdue",IF(I84="Blocked","Blocked",IF(B84='Dashboard'!$B$5,"Due today","Planned"))))</x:f>
        <x:v>Planned</x:v>
      </x:c>
      <x:c r="S84" s="26" t="str">
        <x:f>IF(I84="Accepted",IF(K84="","Add evidence",IF(O84="","Add reviewer",IF(P84="","Add accepted date",IF(AND(ISNUMBER(F84),COUNT(G84)=0),"Add actual quantity",IF(Q84=0,"Review target / date / dependencies","Complete"))))),IF(OR(I84="Blocked",I84="Deferred"),IF(L84="","Record blocker / reason",IF(M84="","Assign rescue owner",IF(N84="","Set recovery date","Recovery assigned"))),IF(B84&lt;'Dashboard'!$B$5,"Escalate and record recovery","Work to acceptance standard")))</x:f>
        <x:v>Work to acceptance standard</x:v>
      </x:c>
      <x:c r="T84" s="26" t="str">
        <x:v>T0013; T0055</x:v>
      </x:c>
      <x:c r="U84" s="26" t="str">
        <x:v>All answers&lt;=15 min; master inbox only; call/book/log verified; name confirmed.</x:v>
      </x:c>
      <x:c r="V84" s="31" t="n">
        <x:v>4</x:v>
      </x:c>
      <x:c r="W84" s="26" t="str"/>
      <x:c r="X84" s="26" t="str">
        <x:v>DSI Reset PDF: lane responsibilities and dated runbook; dated allocation proposed for this tracker.</x:v>
      </x:c>
      <x:c r="Y84" s="30" t="n">
        <x:f>B84-WEEKDAY(B84,2)+1</x:f>
        <x:v>46328</x:v>
      </x:c>
      <x:c r="Z84" s="2" t="str">
        <x:v>checklist</x:v>
      </x:c>
      <x:c r="AA84" s="2" t="n">
        <x:f>IF(Q84=1,IF(P84&gt;B84,1,0),0)</x:f>
        <x:v>0</x:v>
      </x:c>
      <x:c r="AB84" s="2" t="n">
        <x:f>IF(AND(Q84=1,P84&lt;='Dashboard'!$B$5),0,MAX(0,'Dashboard'!$B$5-B84))</x:f>
        <x:v>0</x:v>
      </x:c>
      <x:c r="AC84" s="28" t="str"/>
      <x:c r="AD84" s="2" t="str">
        <x:f>IF(AND(ISNUMBER(F84),ISNUMBER(G84)),G84-F84,"")</x:f>
      </x:c>
      <x:c r="AE84" s="2" t="n">
        <x:f>IF(AND(I84="Accepted",K84&lt;&gt;"",O84&lt;&gt;"",ISNUMBER(P84),P84&gt;0,P84&lt;='Dashboard'!$B$5,IF(ISNUMBER(F84),ISNUMBER(G84),TRUE),IF(ISNUMBER(F84),G84&gt;=F84,TRUE)),1,0)</x:f>
        <x:v>0</x:v>
      </x:c>
    </x:row>
    <x:row r="85" ht="58" customHeight="1">
      <x:c r="A85" s="2" t="str">
        <x:v>T0075</x:v>
      </x:c>
      <x:c r="B85" s="30" t="n">
        <x:v>46329</x:v>
      </x:c>
      <x:c r="C85" s="2" t="str">
        <x:v>Wyline</x:v>
      </x:c>
      <x:c r="D85" s="2" t="str">
        <x:v>Program Director</x:v>
      </x:c>
      <x:c r="E85" s="26" t="str">
        <x:v>Accepted-output register; actual-vs-target dashboard; blocker/rescue assignments</x:v>
      </x:c>
      <x:c r="F85" s="2" t="n">
        <x:v>1</x:v>
      </x:c>
      <x:c r="G85" s="20"/>
      <x:c r="H85" s="2" t="str">
        <x:v>accepted output</x:v>
      </x:c>
      <x:c r="I85" s="20" t="str">
        <x:v>Ready</x:v>
      </x:c>
      <x:c r="J85" s="2" t="str">
        <x:v>16:45</x:v>
      </x:c>
      <x:c r="K85" s="28" t="str"/>
      <x:c r="L85" s="28" t="str"/>
      <x:c r="M85" s="20" t="str"/>
      <x:c r="N85" s="33"/>
      <x:c r="O85" s="20" t="str"/>
      <x:c r="P85" s="33"/>
      <x:c r="Q85" s="2" t="n">
        <x:f>IF(AND(AE85=1,COUNTIFS($A$7:$A$500,"T0067",$AE$7:$AE$500,1)=1,COUNTIFS($A$7:$A$500,"T0055",$AE$7:$AE$500,1)=1),1,0)</x:f>
        <x:v>0</x:v>
      </x:c>
      <x:c r="R85" s="2" t="str">
        <x:f>IF(AND(Q85=1,P85&lt;='Dashboard'!$B$5),IF(P85&gt;B85,"Accepted late","Accepted"),IF(B85&lt;'Dashboard'!$B$5,"Overdue",IF(I85="Blocked","Blocked",IF(B85='Dashboard'!$B$5,"Due today","Planned"))))</x:f>
        <x:v>Planned</x:v>
      </x:c>
      <x:c r="S85" s="26" t="str">
        <x:f>IF(I85="Accepted",IF(K85="","Add evidence",IF(O85="","Add reviewer",IF(P85="","Add accepted date",IF(AND(ISNUMBER(F85),COUNT(G85)=0),"Add actual quantity",IF(Q85=0,"Review target / date / dependencies","Complete"))))),IF(OR(I85="Blocked",I85="Deferred"),IF(L85="","Record blocker / reason",IF(M85="","Assign rescue owner",IF(N85="","Set recovery date","Recovery assigned"))),IF(B85&lt;'Dashboard'!$B$5,"Escalate and record recovery","Work to acceptance standard")))</x:f>
        <x:v>Work to acceptance standard</x:v>
      </x:c>
      <x:c r="T85" s="26" t="str">
        <x:v>T0067</x:v>
      </x:c>
      <x:c r="U85" s="26" t="str">
        <x:v>09:00 standup; 13:00/16:30 recovery checks; 17:00 acceptance. Every overdue task keeps original date and named recovery owner.</x:v>
      </x:c>
      <x:c r="V85" s="31" t="n">
        <x:v>3</x:v>
      </x:c>
      <x:c r="W85" s="26" t="str"/>
      <x:c r="X85" s="26" t="str">
        <x:v>DSI Reset PDF: lane responsibilities and dated runbook; dated allocation proposed for this tracker.</x:v>
      </x:c>
      <x:c r="Y85" s="30" t="n">
        <x:f>B85-WEEKDAY(B85,2)+1</x:f>
        <x:v>46328</x:v>
      </x:c>
      <x:c r="Z85" s="2" t="str">
        <x:v>checklist</x:v>
      </x:c>
      <x:c r="AA85" s="2" t="n">
        <x:f>IF(Q85=1,IF(P85&gt;B85,1,0),0)</x:f>
        <x:v>0</x:v>
      </x:c>
      <x:c r="AB85" s="2" t="n">
        <x:f>IF(AND(Q85=1,P85&lt;='Dashboard'!$B$5),0,MAX(0,'Dashboard'!$B$5-B85))</x:f>
        <x:v>0</x:v>
      </x:c>
      <x:c r="AC85" s="28" t="str"/>
      <x:c r="AD85" s="2" t="str">
        <x:f>IF(AND(ISNUMBER(F85),ISNUMBER(G85)),G85-F85,"")</x:f>
      </x:c>
      <x:c r="AE85" s="2" t="n">
        <x:f>IF(AND(I85="Accepted",K85&lt;&gt;"",O85&lt;&gt;"",ISNUMBER(P85),P85&gt;0,P85&lt;='Dashboard'!$B$5,IF(ISNUMBER(F85),ISNUMBER(G85),TRUE),IF(ISNUMBER(F85),G85&gt;=F85,TRUE)),1,0)</x:f>
        <x:v>0</x:v>
      </x:c>
    </x:row>
    <x:row r="86" ht="58" customHeight="1">
      <x:c r="A86" s="2" t="str">
        <x:v>T0076</x:v>
      </x:c>
      <x:c r="B86" s="30" t="n">
        <x:v>46329</x:v>
      </x:c>
      <x:c r="C86" s="2" t="str">
        <x:v>Kenneth</x:v>
      </x:c>
      <x:c r="D86" s="2" t="str">
        <x:v>Message Orchestrator</x:v>
      </x:c>
      <x:c r="E86" s="26" t="str">
        <x:v>Human-reply insights; 5 Inbox draft checks; approved first lines; claim exceptions</x:v>
      </x:c>
      <x:c r="F86" s="2" t="n">
        <x:v>1</x:v>
      </x:c>
      <x:c r="G86" s="20"/>
      <x:c r="H86" s="2" t="str">
        <x:v>accepted output</x:v>
      </x:c>
      <x:c r="I86" s="20" t="str">
        <x:v>Ready</x:v>
      </x:c>
      <x:c r="J86" s="2" t="str">
        <x:v>16:45</x:v>
      </x:c>
      <x:c r="K86" s="28" t="str"/>
      <x:c r="L86" s="28" t="str"/>
      <x:c r="M86" s="20" t="str"/>
      <x:c r="N86" s="33"/>
      <x:c r="O86" s="20" t="str"/>
      <x:c r="P86" s="33"/>
      <x:c r="Q86" s="2" t="n">
        <x:f>IF(AND(AE86=1,COUNTIFS($A$7:$A$500,"T0067",$AE$7:$AE$500,1)=1,COUNTIFS($A$7:$A$500,"T0055",$AE$7:$AE$500,1)=1),1,0)</x:f>
        <x:v>0</x:v>
      </x:c>
      <x:c r="R86" s="2" t="str">
        <x:f>IF(AND(Q86=1,P86&lt;='Dashboard'!$B$5),IF(P86&gt;B86,"Accepted late","Accepted"),IF(B86&lt;'Dashboard'!$B$5,"Overdue",IF(I86="Blocked","Blocked",IF(B86='Dashboard'!$B$5,"Due today","Planned"))))</x:f>
        <x:v>Planned</x:v>
      </x:c>
      <x:c r="S86" s="26" t="str">
        <x:f>IF(I86="Accepted",IF(K86="","Add evidence",IF(O86="","Add reviewer",IF(P86="","Add accepted date",IF(AND(ISNUMBER(F86),COUNT(G86)=0),"Add actual quantity",IF(Q86=0,"Review target / date / dependencies","Complete"))))),IF(OR(I86="Blocked",I86="Deferred"),IF(L86="","Record blocker / reason",IF(M86="","Assign rescue owner",IF(N86="","Set recovery date","Recovery assigned"))),IF(B86&lt;'Dashboard'!$B$5,"Escalate and record recovery","Work to acceptance standard")))</x:f>
        <x:v>Work to acceptance standard</x:v>
      </x:c>
      <x:c r="T86" s="26" t="str">
        <x:v>T0067</x:v>
      </x:c>
      <x:c r="U86" s="26" t="str">
        <x:v>Zero invented claims. If any draft fails facts, stop drafting/retrain; no offer change without approval.</x:v>
      </x:c>
      <x:c r="V86" s="31" t="n">
        <x:v>2.4</x:v>
      </x:c>
      <x:c r="W86" s="26" t="str"/>
      <x:c r="X86" s="26" t="str">
        <x:v>DSI Reset PDF: lane responsibilities and dated runbook; dated allocation proposed for this tracker.</x:v>
      </x:c>
      <x:c r="Y86" s="30" t="n">
        <x:f>B86-WEEKDAY(B86,2)+1</x:f>
        <x:v>46328</x:v>
      </x:c>
      <x:c r="Z86" s="2" t="str">
        <x:v>checklist</x:v>
      </x:c>
      <x:c r="AA86" s="2" t="n">
        <x:f>IF(Q86=1,IF(P86&gt;B86,1,0),0)</x:f>
        <x:v>0</x:v>
      </x:c>
      <x:c r="AB86" s="2" t="n">
        <x:f>IF(AND(Q86=1,P86&lt;='Dashboard'!$B$5),0,MAX(0,'Dashboard'!$B$5-B86))</x:f>
        <x:v>0</x:v>
      </x:c>
      <x:c r="AC86" s="28" t="str"/>
      <x:c r="AD86" s="2" t="str">
        <x:f>IF(AND(ISNUMBER(F86),ISNUMBER(G86)),G86-F86,"")</x:f>
      </x:c>
      <x:c r="AE86" s="2" t="n">
        <x:f>IF(AND(I86="Accepted",K86&lt;&gt;"",O86&lt;&gt;"",ISNUMBER(P86),P86&gt;0,P86&lt;='Dashboard'!$B$5,IF(ISNUMBER(F86),ISNUMBER(G86),TRUE),IF(ISNUMBER(F86),G86&gt;=F86,TRUE)),1,0)</x:f>
        <x:v>0</x:v>
      </x:c>
    </x:row>
    <x:row r="87" ht="58" customHeight="1">
      <x:c r="A87" s="2" t="str">
        <x:v>T0077</x:v>
      </x:c>
      <x:c r="B87" s="30" t="n">
        <x:v>46329</x:v>
      </x:c>
      <x:c r="C87" s="2" t="str">
        <x:v>Joey</x:v>
      </x:c>
      <x:c r="D87" s="2" t="str">
        <x:v>Data Orchestrator</x:v>
      </x:c>
      <x:c r="E87" s="26" t="str">
        <x:v>First-wave campaign release evidence. Planned list output today: 50 new verified contacts; cumulative ready pool 350.</x:v>
      </x:c>
      <x:c r="F87" s="2" t="n">
        <x:v>50</x:v>
      </x:c>
      <x:c r="G87" s="20"/>
      <x:c r="H87" s="2" t="str">
        <x:v>new verified contacts; proposed daily pace</x:v>
      </x:c>
      <x:c r="I87" s="20" t="str">
        <x:v>Ready</x:v>
      </x:c>
      <x:c r="J87" s="2" t="str">
        <x:v>16:45</x:v>
      </x:c>
      <x:c r="K87" s="28" t="str"/>
      <x:c r="L87" s="28" t="str"/>
      <x:c r="M87" s="20" t="str"/>
      <x:c r="N87" s="33"/>
      <x:c r="O87" s="20" t="str"/>
      <x:c r="P87" s="33"/>
      <x:c r="Q87" s="2" t="n">
        <x:f>IF(AND(AE87=1,COUNTIFS($A$7:$A$500,"T0067",$AE$7:$AE$500,1)=1,COUNTIFS($A$7:$A$500,"T0055",$AE$7:$AE$500,1)=1),1,0)</x:f>
        <x:v>0</x:v>
      </x:c>
      <x:c r="R87" s="2" t="str">
        <x:f>IF(AND(Q87=1,P87&lt;='Dashboard'!$B$5),IF(P87&gt;B87,"Accepted late","Accepted"),IF(B87&lt;'Dashboard'!$B$5,"Overdue",IF(I87="Blocked","Blocked",IF(B87='Dashboard'!$B$5,"Due today","Planned"))))</x:f>
        <x:v>Planned</x:v>
      </x:c>
      <x:c r="S87" s="26" t="str">
        <x:f>IF(I87="Accepted",IF(K87="","Add evidence",IF(O87="","Add reviewer",IF(P87="","Add accepted date",IF(AND(ISNUMBER(F87),COUNT(G87)=0),"Add actual quantity",IF(Q87=0,"Review target / date / dependencies","Complete"))))),IF(OR(I87="Blocked",I87="Deferred"),IF(L87="","Record blocker / reason",IF(M87="","Assign rescue owner",IF(N87="","Set recovery date","Recovery assigned"))),IF(B87&lt;'Dashboard'!$B$5,"Escalate and record recovery","Work to acceptance standard")))</x:f>
        <x:v>Work to acceptance standard</x:v>
      </x:c>
      <x:c r="T87" s="26" t="str">
        <x:v>T0067</x:v>
      </x:c>
      <x:c r="U87" s="26" t="str">
        <x:v>No failed gate rows;&lt;=15 per mailbox and 150 total all touches.</x:v>
      </x:c>
      <x:c r="V87" s="31" t="n">
        <x:v>3</x:v>
      </x:c>
      <x:c r="W87" s="26" t="str"/>
      <x:c r="X87" s="26" t="str">
        <x:v>DSI Reset PDF: lane responsibilities and dated runbook; dated allocation proposed for this tracker.</x:v>
      </x:c>
      <x:c r="Y87" s="30" t="n">
        <x:f>B87-WEEKDAY(B87,2)+1</x:f>
        <x:v>46328</x:v>
      </x:c>
      <x:c r="Z87" s="2" t="str">
        <x:v>goal</x:v>
      </x:c>
      <x:c r="AA87" s="2" t="n">
        <x:f>IF(Q87=1,IF(P87&gt;B87,1,0),0)</x:f>
        <x:v>0</x:v>
      </x:c>
      <x:c r="AB87" s="2" t="n">
        <x:f>IF(AND(Q87=1,P87&lt;='Dashboard'!$B$5),0,MAX(0,'Dashboard'!$B$5-B87))</x:f>
        <x:v>0</x:v>
      </x:c>
      <x:c r="AC87" s="28" t="str"/>
      <x:c r="AD87" s="2" t="str">
        <x:f>IF(AND(ISNUMBER(F87),ISNUMBER(G87)),G87-F87,"")</x:f>
      </x:c>
      <x:c r="AE87" s="2" t="n">
        <x:f>IF(AND(I87="Accepted",K87&lt;&gt;"",O87&lt;&gt;"",ISNUMBER(P87),P87&gt;0,P87&lt;='Dashboard'!$B$5,IF(ISNUMBER(F87),ISNUMBER(G87),TRUE),IF(ISNUMBER(F87),G87&gt;=F87,TRUE)),1,0)</x:f>
        <x:v>0</x:v>
      </x:c>
    </x:row>
    <x:row r="88" ht="58" customHeight="1">
      <x:c r="A88" s="2" t="str">
        <x:v>T0078</x:v>
      </x:c>
      <x:c r="B88" s="30" t="n">
        <x:v>46329</x:v>
      </x:c>
      <x:c r="C88" s="2" t="str">
        <x:v>Nova</x:v>
      </x:c>
      <x:c r="D88" s="2" t="str">
        <x:v>Conversion Orchestrator</x:v>
      </x:c>
      <x:c r="E88" s="26" t="str">
        <x:v>First live queue and SLA log. Log each unique qualified inquiry with practice type, decision-maker access, case volume, service need and readiness timing.</x:v>
      </x:c>
      <x:c r="F88" s="2" t="n">
        <x:v>1</x:v>
      </x:c>
      <x:c r="G88" s="20"/>
      <x:c r="H88" s="2" t="str">
        <x:v>accepted output</x:v>
      </x:c>
      <x:c r="I88" s="20" t="str">
        <x:v>Ready</x:v>
      </x:c>
      <x:c r="J88" s="2" t="str">
        <x:v>16:45</x:v>
      </x:c>
      <x:c r="K88" s="28" t="str"/>
      <x:c r="L88" s="28" t="str"/>
      <x:c r="M88" s="20" t="str"/>
      <x:c r="N88" s="33"/>
      <x:c r="O88" s="20" t="str"/>
      <x:c r="P88" s="33"/>
      <x:c r="Q88" s="2" t="n">
        <x:f>IF(AND(AE88=1,COUNTIFS($A$7:$A$500,"T0067",$AE$7:$AE$500,1)=1,COUNTIFS($A$7:$A$500,"T0055",$AE$7:$AE$500,1)=1),1,0)</x:f>
        <x:v>0</x:v>
      </x:c>
      <x:c r="R88" s="2" t="str">
        <x:f>IF(AND(Q88=1,P88&lt;='Dashboard'!$B$5),IF(P88&gt;B88,"Accepted late","Accepted"),IF(B88&lt;'Dashboard'!$B$5,"Overdue",IF(I88="Blocked","Blocked",IF(B88='Dashboard'!$B$5,"Due today","Planned"))))</x:f>
        <x:v>Planned</x:v>
      </x:c>
      <x:c r="S88" s="26" t="str">
        <x:f>IF(I88="Accepted",IF(K88="","Add evidence",IF(O88="","Add reviewer",IF(P88="","Add accepted date",IF(AND(ISNUMBER(F88),COUNT(G88)=0),"Add actual quantity",IF(Q88=0,"Review target / date / dependencies","Complete"))))),IF(OR(I88="Blocked",I88="Deferred"),IF(L88="","Record blocker / reason",IF(M88="","Assign rescue owner",IF(N88="","Set recovery date","Recovery assigned"))),IF(B88&lt;'Dashboard'!$B$5,"Escalate and record recovery","Work to acceptance standard")))</x:f>
        <x:v>Work to acceptance standard</x:v>
      </x:c>
      <x:c r="T88" s="26" t="str">
        <x:v>T0067</x:v>
      </x:c>
      <x:c r="U88" s="26" t="str">
        <x:v>Coverage 8–17 PT; any 15 minute breach taken immediately; positives called&lt;=60 min. Raw contacts, opens and accepts never count as qualified inquiries; deduplicate across channels.</x:v>
      </x:c>
      <x:c r="V88" s="31" t="n">
        <x:v>4</x:v>
      </x:c>
      <x:c r="W88" s="26" t="str"/>
      <x:c r="X88" s="26" t="str">
        <x:v>DSI Reset PDF: lane responsibilities and dated runbook; dated allocation proposed for this tracker.</x:v>
      </x:c>
      <x:c r="Y88" s="30" t="n">
        <x:f>B88-WEEKDAY(B88,2)+1</x:f>
        <x:v>46328</x:v>
      </x:c>
      <x:c r="Z88" s="2" t="str">
        <x:v>checklist</x:v>
      </x:c>
      <x:c r="AA88" s="2" t="n">
        <x:f>IF(Q88=1,IF(P88&gt;B88,1,0),0)</x:f>
        <x:v>0</x:v>
      </x:c>
      <x:c r="AB88" s="2" t="n">
        <x:f>IF(AND(Q88=1,P88&lt;='Dashboard'!$B$5),0,MAX(0,'Dashboard'!$B$5-B88))</x:f>
        <x:v>0</x:v>
      </x:c>
      <x:c r="AC88" s="28" t="str"/>
      <x:c r="AD88" s="2" t="str">
        <x:f>IF(AND(ISNUMBER(F88),ISNUMBER(G88)),G88-F88,"")</x:f>
      </x:c>
      <x:c r="AE88" s="2" t="n">
        <x:f>IF(AND(I88="Accepted",K88&lt;&gt;"",O88&lt;&gt;"",ISNUMBER(P88),P88&gt;0,P88&lt;='Dashboard'!$B$5,IF(ISNUMBER(F88),ISNUMBER(G88),TRUE),IF(ISNUMBER(F88),G88&gt;=F88,TRUE)),1,0)</x:f>
        <x:v>0</x:v>
      </x:c>
    </x:row>
    <x:row r="89" ht="58" customHeight="1">
      <x:c r="A89" s="2" t="str">
        <x:v>T0079</x:v>
      </x:c>
      <x:c r="B89" s="30" t="n">
        <x:v>46329</x:v>
      </x:c>
      <x:c r="C89" s="2" t="str">
        <x:v>Emman</x:v>
      </x:c>
      <x:c r="D89" s="2" t="str">
        <x:v>AI Build Orchestrator</x:v>
      </x:c>
      <x:c r="E89" s="26" t="str">
        <x:v>Health/retry log; one acceptance-backed build increment; updated change log</x:v>
      </x:c>
      <x:c r="F89" s="2" t="n">
        <x:v>1</x:v>
      </x:c>
      <x:c r="G89" s="20"/>
      <x:c r="H89" s="2" t="str">
        <x:v>accepted output</x:v>
      </x:c>
      <x:c r="I89" s="20" t="str">
        <x:v>Ready</x:v>
      </x:c>
      <x:c r="J89" s="2" t="str">
        <x:v>16:45</x:v>
      </x:c>
      <x:c r="K89" s="28" t="str"/>
      <x:c r="L89" s="28" t="str"/>
      <x:c r="M89" s="20" t="str"/>
      <x:c r="N89" s="33"/>
      <x:c r="O89" s="20" t="str"/>
      <x:c r="P89" s="33"/>
      <x:c r="Q89" s="2" t="n">
        <x:f>IF(AND(AE89=1,COUNTIFS($A$7:$A$500,"T0067",$AE$7:$AE$500,1)=1,COUNTIFS($A$7:$A$500,"T0055",$AE$7:$AE$500,1)=1),1,0)</x:f>
        <x:v>0</x:v>
      </x:c>
      <x:c r="R89" s="2" t="str">
        <x:f>IF(AND(Q89=1,P89&lt;='Dashboard'!$B$5),IF(P89&gt;B89,"Accepted late","Accepted"),IF(B89&lt;'Dashboard'!$B$5,"Overdue",IF(I89="Blocked","Blocked",IF(B89='Dashboard'!$B$5,"Due today","Planned"))))</x:f>
        <x:v>Planned</x:v>
      </x:c>
      <x:c r="S89" s="26" t="str">
        <x:f>IF(I89="Accepted",IF(K89="","Add evidence",IF(O89="","Add reviewer",IF(P89="","Add accepted date",IF(AND(ISNUMBER(F89),COUNT(G89)=0),"Add actual quantity",IF(Q89=0,"Review target / date / dependencies","Complete"))))),IF(OR(I89="Blocked",I89="Deferred"),IF(L89="","Record blocker / reason",IF(M89="","Assign rescue owner",IF(N89="","Set recovery date","Recovery assigned"))),IF(B89&lt;'Dashboard'!$B$5,"Escalate and record recovery","Work to acceptance standard")))</x:f>
        <x:v>Work to acceptance standard</x:v>
      </x:c>
      <x:c r="T89" s="26" t="str">
        <x:v>T0067</x:v>
      </x:c>
      <x:c r="U89" s="26" t="str">
        <x:v>Fix a failing live agent beforestarting the next build. If an agent is still not working 48 hours after its due date, activate the manual SOP. Roll back a live failure within 1 hour. Release build reserve when no approved work remains.</x:v>
      </x:c>
      <x:c r="V89" s="31" t="n">
        <x:v>4</x:v>
      </x:c>
      <x:c r="W89" s="26" t="str"/>
      <x:c r="X89" s="26" t="str">
        <x:v>DSI Reset PDF: lane responsibilities and dated runbook; dated allocation proposed for this tracker.</x:v>
      </x:c>
      <x:c r="Y89" s="30" t="n">
        <x:f>B89-WEEKDAY(B89,2)+1</x:f>
        <x:v>46328</x:v>
      </x:c>
      <x:c r="Z89" s="2" t="str">
        <x:v>checklist</x:v>
      </x:c>
      <x:c r="AA89" s="2" t="n">
        <x:f>IF(Q89=1,IF(P89&gt;B89,1,0),0)</x:f>
        <x:v>0</x:v>
      </x:c>
      <x:c r="AB89" s="2" t="n">
        <x:f>IF(AND(Q89=1,P89&lt;='Dashboard'!$B$5),0,MAX(0,'Dashboard'!$B$5-B89))</x:f>
        <x:v>0</x:v>
      </x:c>
      <x:c r="AC89" s="28" t="str"/>
      <x:c r="AD89" s="2" t="str">
        <x:f>IF(AND(ISNUMBER(F89),ISNUMBER(G89)),G89-F89,"")</x:f>
      </x:c>
      <x:c r="AE89" s="2" t="n">
        <x:f>IF(AND(I89="Accepted",K89&lt;&gt;"",O89&lt;&gt;"",ISNUMBER(P89),P89&gt;0,P89&lt;='Dashboard'!$B$5,IF(ISNUMBER(F89),ISNUMBER(G89),TRUE),IF(ISNUMBER(F89),G89&gt;=F89,TRUE)),1,0)</x:f>
        <x:v>0</x:v>
      </x:c>
    </x:row>
    <x:row r="90" ht="58" customHeight="1">
      <x:c r="A90" s="2" t="str">
        <x:v>T0080</x:v>
      </x:c>
      <x:c r="B90" s="30" t="n">
        <x:v>46329</x:v>
      </x:c>
      <x:c r="C90" s="2" t="str">
        <x:v>Ludwig</x:v>
      </x:c>
      <x:c r="D90" s="2" t="str">
        <x:v>Integration Engineer</x:v>
      </x:c>
      <x:c r="E90" s="26" t="str">
        <x:v>Webhook/error/dead-letter check; top assigned integration ticket or verified no-ticket note</x:v>
      </x:c>
      <x:c r="F90" s="2" t="n">
        <x:v>1</x:v>
      </x:c>
      <x:c r="G90" s="20"/>
      <x:c r="H90" s="2" t="str">
        <x:v>accepted output</x:v>
      </x:c>
      <x:c r="I90" s="20" t="str">
        <x:v>Ready</x:v>
      </x:c>
      <x:c r="J90" s="2" t="str">
        <x:v>16:45</x:v>
      </x:c>
      <x:c r="K90" s="28" t="str"/>
      <x:c r="L90" s="28" t="str"/>
      <x:c r="M90" s="20" t="str"/>
      <x:c r="N90" s="33"/>
      <x:c r="O90" s="20" t="str"/>
      <x:c r="P90" s="33"/>
      <x:c r="Q90" s="2" t="n">
        <x:f>IF(AND(AE90=1,COUNTIFS($A$7:$A$500,"T0067",$AE$7:$AE$500,1)=1,COUNTIFS($A$7:$A$500,"T0055",$AE$7:$AE$500,1)=1),1,0)</x:f>
        <x:v>0</x:v>
      </x:c>
      <x:c r="R90" s="2" t="str">
        <x:f>IF(AND(Q90=1,P90&lt;='Dashboard'!$B$5),IF(P90&gt;B90,"Accepted late","Accepted"),IF(B90&lt;'Dashboard'!$B$5,"Overdue",IF(I90="Blocked","Blocked",IF(B90='Dashboard'!$B$5,"Due today","Planned"))))</x:f>
        <x:v>Planned</x:v>
      </x:c>
      <x:c r="S90" s="26" t="str">
        <x:f>IF(I90="Accepted",IF(K90="","Add evidence",IF(O90="","Add reviewer",IF(P90="","Add accepted date",IF(AND(ISNUMBER(F90),COUNT(G90)=0),"Add actual quantity",IF(Q90=0,"Review target / date / dependencies","Complete"))))),IF(OR(I90="Blocked",I90="Deferred"),IF(L90="","Record blocker / reason",IF(M90="","Assign rescue owner",IF(N90="","Set recovery date","Recovery assigned"))),IF(B90&lt;'Dashboard'!$B$5,"Escalate and record recovery","Work to acceptance standard")))</x:f>
        <x:v>Work to acceptance standard</x:v>
      </x:c>
      <x:c r="T90" s="26" t="str">
        <x:v>T0067</x:v>
      </x:c>
      <x:c r="U90" s="26" t="str">
        <x:v>Only Emman’s priority queue; 100% test capture; runbook/retry/rollback evidence. If no fault/ticket, release reserve; do not invent work.</x:v>
      </x:c>
      <x:c r="V90" s="31" t="n">
        <x:v>1.6</x:v>
      </x:c>
      <x:c r="W90" s="26" t="str"/>
      <x:c r="X90" s="26" t="str">
        <x:v>DSI Reset PDF: lane responsibilities and dated runbook; dated allocation proposed for this tracker.</x:v>
      </x:c>
      <x:c r="Y90" s="30" t="n">
        <x:f>B90-WEEKDAY(B90,2)+1</x:f>
        <x:v>46328</x:v>
      </x:c>
      <x:c r="Z90" s="2" t="str">
        <x:v>checklist</x:v>
      </x:c>
      <x:c r="AA90" s="2" t="n">
        <x:f>IF(Q90=1,IF(P90&gt;B90,1,0),0)</x:f>
        <x:v>0</x:v>
      </x:c>
      <x:c r="AB90" s="2" t="n">
        <x:f>IF(AND(Q90=1,P90&lt;='Dashboard'!$B$5),0,MAX(0,'Dashboard'!$B$5-B90))</x:f>
        <x:v>0</x:v>
      </x:c>
      <x:c r="AC90" s="28" t="str"/>
      <x:c r="AD90" s="2" t="str">
        <x:f>IF(AND(ISNUMBER(F90),ISNUMBER(G90)),G90-F90,"")</x:f>
      </x:c>
      <x:c r="AE90" s="2" t="n">
        <x:f>IF(AND(I90="Accepted",K90&lt;&gt;"",O90&lt;&gt;"",ISNUMBER(P90),P90&gt;0,P90&lt;='Dashboard'!$B$5,IF(ISNUMBER(F90),ISNUMBER(G90),TRUE),IF(ISNUMBER(F90),G90&gt;=F90,TRUE)),1,0)</x:f>
        <x:v>0</x:v>
      </x:c>
    </x:row>
    <x:row r="91" ht="58" customHeight="1">
      <x:c r="A91" s="2" t="str">
        <x:v>T0081</x:v>
      </x:c>
      <x:c r="B91" s="30" t="n">
        <x:v>46329</x:v>
      </x:c>
      <x:c r="C91" s="2" t="str">
        <x:v>Alvin</x:v>
      </x:c>
      <x:c r="D91" s="2" t="str">
        <x:v>CQL/GHL Implementation</x:v>
      </x:c>
      <x:c r="E91" s="26" t="str">
        <x:v>Stage/calendar/reminder QA; due workflow fixes; approved post mirrors/evidence Publish approved post SOC01 (Engage); capture the live URL.</x:v>
      </x:c>
      <x:c r="F91" s="2" t="n">
        <x:v>1</x:v>
      </x:c>
      <x:c r="G91" s="20"/>
      <x:c r="H91" s="2" t="str">
        <x:v>accepted output</x:v>
      </x:c>
      <x:c r="I91" s="20" t="str">
        <x:v>Ready</x:v>
      </x:c>
      <x:c r="J91" s="2" t="str">
        <x:v>16:45</x:v>
      </x:c>
      <x:c r="K91" s="28" t="str"/>
      <x:c r="L91" s="28" t="str"/>
      <x:c r="M91" s="20" t="str"/>
      <x:c r="N91" s="33"/>
      <x:c r="O91" s="20" t="str"/>
      <x:c r="P91" s="33"/>
      <x:c r="Q91" s="2" t="n">
        <x:f>IF(AND(AE91=1,COUNTIFS($A$7:$A$500,"T0067",$AE$7:$AE$500,1)=1,COUNTIFS($A$7:$A$500,"T0055",$AE$7:$AE$500,1)=1),1,0)</x:f>
        <x:v>0</x:v>
      </x:c>
      <x:c r="R91" s="2" t="str">
        <x:f>IF(AND(Q91=1,P91&lt;='Dashboard'!$B$5),IF(P91&gt;B91,"Accepted late","Accepted"),IF(B91&lt;'Dashboard'!$B$5,"Overdue",IF(I91="Blocked","Blocked",IF(B91='Dashboard'!$B$5,"Due today","Planned"))))</x:f>
        <x:v>Planned</x:v>
      </x:c>
      <x:c r="S91" s="26" t="str">
        <x:f>IF(I91="Accepted",IF(K91="","Add evidence",IF(O91="","Add reviewer",IF(P91="","Add accepted date",IF(AND(ISNUMBER(F91),COUNT(G91)=0),"Add actual quantity",IF(Q91=0,"Review target / date / dependencies","Complete"))))),IF(OR(I91="Blocked",I91="Deferred"),IF(L91="","Record blocker / reason",IF(M91="","Assign rescue owner",IF(N91="","Set recovery date","Recovery assigned"))),IF(B91&lt;'Dashboard'!$B$5,"Escalate and record recovery","Work to acceptance standard")))</x:f>
        <x:v>Work to acceptance standard</x:v>
      </x:c>
      <x:c r="T91" s="26" t="str">
        <x:v>T0067</x:v>
      </x:c>
      <x:c r="U91" s="26" t="str">
        <x:v>No-show task&lt;=10 min; form/source fields correct; finish critical CRM defect same day. Facebook mirrors exact approved post; Instagram requires permissioned image.</x:v>
      </x:c>
      <x:c r="V91" s="31" t="n">
        <x:v>2</x:v>
      </x:c>
      <x:c r="W91" s="26" t="str"/>
      <x:c r="X91" s="26" t="str">
        <x:v>DSI Reset PDF: lane responsibilities and dated runbook; dated allocation proposed for this tracker.</x:v>
      </x:c>
      <x:c r="Y91" s="30" t="n">
        <x:f>B91-WEEKDAY(B91,2)+1</x:f>
        <x:v>46328</x:v>
      </x:c>
      <x:c r="Z91" s="2" t="str">
        <x:v>checklist</x:v>
      </x:c>
      <x:c r="AA91" s="2" t="n">
        <x:f>IF(Q91=1,IF(P91&gt;B91,1,0),0)</x:f>
        <x:v>0</x:v>
      </x:c>
      <x:c r="AB91" s="2" t="n">
        <x:f>IF(AND(Q91=1,P91&lt;='Dashboard'!$B$5),0,MAX(0,'Dashboard'!$B$5-B91))</x:f>
        <x:v>0</x:v>
      </x:c>
      <x:c r="AC91" s="28" t="str"/>
      <x:c r="AD91" s="2" t="str">
        <x:f>IF(AND(ISNUMBER(F91),ISNUMBER(G91)),G91-F91,"")</x:f>
      </x:c>
      <x:c r="AE91" s="2" t="n">
        <x:f>IF(AND(I91="Accepted",K91&lt;&gt;"",O91&lt;&gt;"",ISNUMBER(P91),P91&gt;0,P91&lt;='Dashboard'!$B$5,IF(ISNUMBER(F91),ISNUMBER(G91),TRUE),IF(ISNUMBER(F91),G91&gt;=F91,TRUE)),1,0)</x:f>
        <x:v>0</x:v>
      </x:c>
    </x:row>
    <x:row r="92" ht="58" customHeight="1">
      <x:c r="A92" s="2" t="str">
        <x:v>T0082</x:v>
      </x:c>
      <x:c r="B92" s="30" t="n">
        <x:v>46329</x:v>
      </x:c>
      <x:c r="C92" s="2" t="str">
        <x:v>Brian</x:v>
      </x:c>
      <x:c r="D92" s="2" t="str">
        <x:v>Web and Tracking</x:v>
      </x:c>
      <x:c r="E92" s="26" t="str">
        <x:v>One health-check result; at most one weekly change ticket or no-ticket note</x:v>
      </x:c>
      <x:c r="F92" s="2" t="n">
        <x:v>1</x:v>
      </x:c>
      <x:c r="G92" s="20"/>
      <x:c r="H92" s="2" t="str">
        <x:v>accepted output</x:v>
      </x:c>
      <x:c r="I92" s="20" t="str">
        <x:v>Ready</x:v>
      </x:c>
      <x:c r="J92" s="2" t="str">
        <x:v>16:45</x:v>
      </x:c>
      <x:c r="K92" s="28" t="str"/>
      <x:c r="L92" s="28" t="str"/>
      <x:c r="M92" s="20" t="str"/>
      <x:c r="N92" s="33"/>
      <x:c r="O92" s="20" t="str"/>
      <x:c r="P92" s="33"/>
      <x:c r="Q92" s="2" t="n">
        <x:f>IF(AND(AE92=1,COUNTIFS($A$7:$A$500,"T0067",$AE$7:$AE$500,1)=1,COUNTIFS($A$7:$A$500,"T0055",$AE$7:$AE$500,1)=1),1,0)</x:f>
        <x:v>0</x:v>
      </x:c>
      <x:c r="R92" s="2" t="str">
        <x:f>IF(AND(Q92=1,P92&lt;='Dashboard'!$B$5),IF(P92&gt;B92,"Accepted late","Accepted"),IF(B92&lt;'Dashboard'!$B$5,"Overdue",IF(I92="Blocked","Blocked",IF(B92='Dashboard'!$B$5,"Due today","Planned"))))</x:f>
        <x:v>Planned</x:v>
      </x:c>
      <x:c r="S92" s="26" t="str">
        <x:f>IF(I92="Accepted",IF(K92="","Add evidence",IF(O92="","Add reviewer",IF(P92="","Add accepted date",IF(AND(ISNUMBER(F92),COUNT(G92)=0),"Add actual quantity",IF(Q92=0,"Review target / date / dependencies","Complete"))))),IF(OR(I92="Blocked",I92="Deferred"),IF(L92="","Record blocker / reason",IF(M92="","Assign rescue owner",IF(N92="","Set recovery date","Recovery assigned"))),IF(B92&lt;'Dashboard'!$B$5,"Escalate and record recovery","Work to acceptance standard")))</x:f>
        <x:v>Work to acceptance standard</x:v>
      </x:c>
      <x:c r="T92" s="26" t="str">
        <x:v>T0067</x:v>
      </x:c>
      <x:c r="U92" s="26" t="str">
        <x:v>Form to CQL&lt;1 min; approved copy unchanged; no work manufactured if healthy; ongoing reserve&lt;=2 h/week.</x:v>
      </x:c>
      <x:c r="V92" s="31" t="n">
        <x:v>0.4</x:v>
      </x:c>
      <x:c r="W92" s="26" t="str"/>
      <x:c r="X92" s="26" t="str">
        <x:v>DSI Reset PDF: lane responsibilities and dated runbook; dated allocation proposed for this tracker.</x:v>
      </x:c>
      <x:c r="Y92" s="30" t="n">
        <x:f>B92-WEEKDAY(B92,2)+1</x:f>
        <x:v>46328</x:v>
      </x:c>
      <x:c r="Z92" s="2" t="str">
        <x:v>checklist</x:v>
      </x:c>
      <x:c r="AA92" s="2" t="n">
        <x:f>IF(Q92=1,IF(P92&gt;B92,1,0),0)</x:f>
        <x:v>0</x:v>
      </x:c>
      <x:c r="AB92" s="2" t="n">
        <x:f>IF(AND(Q92=1,P92&lt;='Dashboard'!$B$5),0,MAX(0,'Dashboard'!$B$5-B92))</x:f>
        <x:v>0</x:v>
      </x:c>
      <x:c r="AC92" s="28" t="str"/>
      <x:c r="AD92" s="2" t="str">
        <x:f>IF(AND(ISNUMBER(F92),ISNUMBER(G92)),G92-F92,"")</x:f>
      </x:c>
      <x:c r="AE92" s="2" t="n">
        <x:f>IF(AND(I92="Accepted",K92&lt;&gt;"",O92&lt;&gt;"",ISNUMBER(P92),P92&gt;0,P92&lt;='Dashboard'!$B$5,IF(ISNUMBER(F92),ISNUMBER(G92),TRUE),IF(ISNUMBER(F92),G92&gt;=F92,TRUE)),1,0)</x:f>
        <x:v>0</x:v>
      </x:c>
    </x:row>
    <x:row r="93" ht="58" customHeight="1">
      <x:c r="A93" s="2" t="str">
        <x:v>T0083</x:v>
      </x:c>
      <x:c r="B93" s="30" t="n">
        <x:v>46329</x:v>
      </x:c>
      <x:c r="C93" s="2" t="str">
        <x:v>Dexter</x:v>
      </x:c>
      <x:c r="D93" s="2" t="str">
        <x:v>LinkedIn Execution</x:v>
      </x:c>
      <x:c r="E93" s="26" t="str">
        <x:v>CQL logged DMs/accepts; eligible requests; referred interested replies; approved post evidence Publish approved post SOC01 (Engage); capture the live URL.</x:v>
      </x:c>
      <x:c r="F93" s="2" t="n">
        <x:v>25</x:v>
      </x:c>
      <x:c r="G93" s="20"/>
      <x:c r="H93" s="2" t="str">
        <x:v>new request working target; eligible pool required</x:v>
      </x:c>
      <x:c r="I93" s="20" t="str">
        <x:v>Ready</x:v>
      </x:c>
      <x:c r="J93" s="2" t="str">
        <x:v>16:45</x:v>
      </x:c>
      <x:c r="K93" s="28" t="str"/>
      <x:c r="L93" s="28" t="str"/>
      <x:c r="M93" s="20" t="str"/>
      <x:c r="N93" s="33"/>
      <x:c r="O93" s="20" t="str"/>
      <x:c r="P93" s="33"/>
      <x:c r="Q93" s="2" t="n">
        <x:f>IF(AND(AE93=1,COUNTIFS($A$7:$A$500,"T0067",$AE$7:$AE$500,1)=1,COUNTIFS($A$7:$A$500,"T0055",$AE$7:$AE$500,1)=1),1,0)</x:f>
        <x:v>0</x:v>
      </x:c>
      <x:c r="R93" s="2" t="str">
        <x:f>IF(AND(Q93=1,P93&lt;='Dashboard'!$B$5),IF(P93&gt;B93,"Accepted late","Accepted"),IF(B93&lt;'Dashboard'!$B$5,"Overdue",IF(I93="Blocked","Blocked",IF(B93='Dashboard'!$B$5,"Due today","Planned"))))</x:f>
        <x:v>Planned</x:v>
      </x:c>
      <x:c r="S93" s="26" t="str">
        <x:f>IF(I93="Accepted",IF(K93="","Add evidence",IF(O93="","Add reviewer",IF(P93="","Add accepted date",IF(AND(ISNUMBER(F93),COUNT(G93)=0),"Add actual quantity",IF(Q93=0,"Review target / date / dependencies","Complete"))))),IF(OR(I93="Blocked",I93="Deferred"),IF(L93="","Record blocker / reason",IF(M93="","Assign rescue owner",IF(N93="","Set recovery date","Recovery assigned"))),IF(B93&lt;'Dashboard'!$B$5,"Escalate and record recovery","Work to acceptance standard")))</x:f>
        <x:v>Work to acceptance standard</x:v>
      </x:c>
      <x:c r="T93" s="26" t="str">
        <x:v>T0067</x:v>
      </x:c>
      <x:c r="U93"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93" s="31" t="n">
        <x:v>3</x:v>
      </x:c>
      <x:c r="W93" s="26" t="str"/>
      <x:c r="X93" s="26" t="str">
        <x:v>DSI Reset PDF: lane responsibilities and dated runbook; dated allocation proposed for this tracker.</x:v>
      </x:c>
      <x:c r="Y93" s="30" t="n">
        <x:f>B93-WEEKDAY(B93,2)+1</x:f>
        <x:v>46328</x:v>
      </x:c>
      <x:c r="Z93" s="2" t="str">
        <x:v>capacity</x:v>
      </x:c>
      <x:c r="AA93" s="2" t="n">
        <x:f>IF(Q93=1,IF(P93&gt;B93,1,0),0)</x:f>
        <x:v>0</x:v>
      </x:c>
      <x:c r="AB93" s="2" t="n">
        <x:f>IF(AND(Q93=1,P93&lt;='Dashboard'!$B$5),0,MAX(0,'Dashboard'!$B$5-B93))</x:f>
        <x:v>0</x:v>
      </x:c>
      <x:c r="AC93" s="28" t="str"/>
      <x:c r="AD93" s="2" t="str">
        <x:f>IF(AND(ISNUMBER(F93),ISNUMBER(G93)),G93-F93,"")</x:f>
      </x:c>
      <x:c r="AE93" s="2" t="n">
        <x:f>IF(AND(I93="Accepted",K93&lt;&gt;"",O93&lt;&gt;"",ISNUMBER(P93),P93&gt;0,P93&lt;='Dashboard'!$B$5,IF(ISNUMBER(F93),ISNUMBER(G93),TRUE),IF(ISNUMBER(F93),OR(G93&gt;=F93,AC93&lt;&gt;""),TRUE)),1,0)</x:f>
        <x:v>0</x:v>
      </x:c>
    </x:row>
    <x:row r="94" ht="58" customHeight="1">
      <x:c r="A94" s="2" t="str">
        <x:v>T0084</x:v>
      </x:c>
      <x:c r="B94" s="30" t="n">
        <x:v>46329</x:v>
      </x:c>
      <x:c r="C94" s="2" t="str">
        <x:v>Setter 1</x:v>
      </x:c>
      <x:c r="D94" s="2" t="str">
        <x:v>Reply and Phone Setter</x:v>
      </x:c>
      <x:c r="E94" s="26" t="str">
        <x:v>SLA/call outcome log; bookings and next steps; handoff to Nova</x:v>
      </x:c>
      <x:c r="F94" s="2" t="n">
        <x:v>50</x:v>
      </x:c>
      <x:c r="G94" s="20"/>
      <x:c r="H94" s="2" t="str">
        <x:v>dial working target; inbound SLA takes priority</x:v>
      </x:c>
      <x:c r="I94" s="20" t="str">
        <x:v>Ready</x:v>
      </x:c>
      <x:c r="J94" s="2" t="str">
        <x:v>16:45</x:v>
      </x:c>
      <x:c r="K94" s="28" t="str"/>
      <x:c r="L94" s="28" t="str"/>
      <x:c r="M94" s="20" t="str"/>
      <x:c r="N94" s="33"/>
      <x:c r="O94" s="20" t="str"/>
      <x:c r="P94" s="33"/>
      <x:c r="Q94" s="2" t="n">
        <x:f>IF(AND(AE94=1,COUNTIFS($A$7:$A$500,"T0013",$AE$7:$AE$500,1)=1,COUNTIFS($A$7:$A$500,"T0055",$AE$7:$AE$500,1)=1),1,0)</x:f>
        <x:v>0</x:v>
      </x:c>
      <x:c r="R94" s="2" t="str">
        <x:f>IF(AND(Q94=1,P94&lt;='Dashboard'!$B$5),IF(P94&gt;B94,"Accepted late","Accepted"),IF(B94&lt;'Dashboard'!$B$5,"Overdue",IF(I94="Blocked","Blocked",IF(B94='Dashboard'!$B$5,"Due today","Planned"))))</x:f>
        <x:v>Planned</x:v>
      </x:c>
      <x:c r="S94" s="26" t="str">
        <x:f>IF(I94="Accepted",IF(K94="","Add evidence",IF(O94="","Add reviewer",IF(P94="","Add accepted date",IF(AND(ISNUMBER(F94),COUNT(G94)=0),"Add actual quantity",IF(Q94=0,"Review target / date / dependencies","Complete"))))),IF(OR(I94="Blocked",I94="Deferred"),IF(L94="","Record blocker / reason",IF(M94="","Assign rescue owner",IF(N94="","Set recovery date","Recovery assigned"))),IF(B94&lt;'Dashboard'!$B$5,"Escalate and record recovery","Work to acceptance standard")))</x:f>
        <x:v>Work to acceptance standard</x:v>
      </x:c>
      <x:c r="T94" s="26" t="str">
        <x:v>T0013; T0055</x:v>
      </x:c>
      <x:c r="U9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94" s="31" t="n">
        <x:v>7.5</x:v>
      </x:c>
      <x:c r="W94" s="26" t="str"/>
      <x:c r="X94" s="26" t="str">
        <x:v>DSI Reset PDF: lane responsibilities and dated runbook; dated allocation proposed for this tracker.</x:v>
      </x:c>
      <x:c r="Y94" s="30" t="n">
        <x:f>B94-WEEKDAY(B94,2)+1</x:f>
        <x:v>46328</x:v>
      </x:c>
      <x:c r="Z94" s="2" t="str">
        <x:v>capacity</x:v>
      </x:c>
      <x:c r="AA94" s="2" t="n">
        <x:f>IF(Q94=1,IF(P94&gt;B94,1,0),0)</x:f>
        <x:v>0</x:v>
      </x:c>
      <x:c r="AB94" s="2" t="n">
        <x:f>IF(AND(Q94=1,P94&lt;='Dashboard'!$B$5),0,MAX(0,'Dashboard'!$B$5-B94))</x:f>
        <x:v>0</x:v>
      </x:c>
      <x:c r="AC94" s="28" t="str"/>
      <x:c r="AD94" s="2" t="str">
        <x:f>IF(AND(ISNUMBER(F94),ISNUMBER(G94)),G94-F94,"")</x:f>
      </x:c>
      <x:c r="AE94" s="2" t="n">
        <x:f>IF(AND(I94="Accepted",K94&lt;&gt;"",O94&lt;&gt;"",ISNUMBER(P94),P94&gt;0,P94&lt;='Dashboard'!$B$5,IF(ISNUMBER(F94),ISNUMBER(G94),TRUE),IF(ISNUMBER(F94),OR(G94&gt;=F94,AC94&lt;&gt;""),TRUE)),1,0)</x:f>
        <x:v>0</x:v>
      </x:c>
    </x:row>
    <x:row r="95" ht="58" customHeight="1">
      <x:c r="A95" s="2" t="str">
        <x:v>T0085</x:v>
      </x:c>
      <x:c r="B95" s="30" t="n">
        <x:v>46329</x:v>
      </x:c>
      <x:c r="C95" s="2" t="str">
        <x:v>Setter 2</x:v>
      </x:c>
      <x:c r="D95" s="2" t="str">
        <x:v>Reply and Phone Setter</x:v>
      </x:c>
      <x:c r="E95" s="26" t="str">
        <x:v>SLA/call outcome log; bookings and next steps; handoff to Nova</x:v>
      </x:c>
      <x:c r="F95" s="2" t="n">
        <x:v>50</x:v>
      </x:c>
      <x:c r="G95" s="20"/>
      <x:c r="H95" s="2" t="str">
        <x:v>dial working target; inbound SLA takes priority</x:v>
      </x:c>
      <x:c r="I95" s="20" t="str">
        <x:v>Ready</x:v>
      </x:c>
      <x:c r="J95" s="2" t="str">
        <x:v>16:45</x:v>
      </x:c>
      <x:c r="K95" s="28" t="str"/>
      <x:c r="L95" s="28" t="str"/>
      <x:c r="M95" s="20" t="str"/>
      <x:c r="N95" s="33"/>
      <x:c r="O95" s="20" t="str"/>
      <x:c r="P95" s="33"/>
      <x:c r="Q95" s="2" t="n">
        <x:f>IF(AND(AE95=1,COUNTIFS($A$7:$A$500,"T0013",$AE$7:$AE$500,1)=1,COUNTIFS($A$7:$A$500,"T0055",$AE$7:$AE$500,1)=1),1,0)</x:f>
        <x:v>0</x:v>
      </x:c>
      <x:c r="R95" s="2" t="str">
        <x:f>IF(AND(Q95=1,P95&lt;='Dashboard'!$B$5),IF(P95&gt;B95,"Accepted late","Accepted"),IF(B95&lt;'Dashboard'!$B$5,"Overdue",IF(I95="Blocked","Blocked",IF(B95='Dashboard'!$B$5,"Due today","Planned"))))</x:f>
        <x:v>Planned</x:v>
      </x:c>
      <x:c r="S95" s="26" t="str">
        <x:f>IF(I95="Accepted",IF(K95="","Add evidence",IF(O95="","Add reviewer",IF(P95="","Add accepted date",IF(AND(ISNUMBER(F95),COUNT(G95)=0),"Add actual quantity",IF(Q95=0,"Review target / date / dependencies","Complete"))))),IF(OR(I95="Blocked",I95="Deferred"),IF(L95="","Record blocker / reason",IF(M95="","Assign rescue owner",IF(N95="","Set recovery date","Recovery assigned"))),IF(B95&lt;'Dashboard'!$B$5,"Escalate and record recovery","Work to acceptance standard")))</x:f>
        <x:v>Work to acceptance standard</x:v>
      </x:c>
      <x:c r="T95" s="26" t="str">
        <x:v>T0013; T0055</x:v>
      </x:c>
      <x:c r="U9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95" s="31" t="n">
        <x:v>7.5</x:v>
      </x:c>
      <x:c r="W95" s="26" t="str"/>
      <x:c r="X95" s="26" t="str">
        <x:v>DSI Reset PDF: lane responsibilities and dated runbook; dated allocation proposed for this tracker.</x:v>
      </x:c>
      <x:c r="Y95" s="30" t="n">
        <x:f>B95-WEEKDAY(B95,2)+1</x:f>
        <x:v>46328</x:v>
      </x:c>
      <x:c r="Z95" s="2" t="str">
        <x:v>capacity</x:v>
      </x:c>
      <x:c r="AA95" s="2" t="n">
        <x:f>IF(Q95=1,IF(P95&gt;B95,1,0),0)</x:f>
        <x:v>0</x:v>
      </x:c>
      <x:c r="AB95" s="2" t="n">
        <x:f>IF(AND(Q95=1,P95&lt;='Dashboard'!$B$5),0,MAX(0,'Dashboard'!$B$5-B95))</x:f>
        <x:v>0</x:v>
      </x:c>
      <x:c r="AC95" s="28" t="str"/>
      <x:c r="AD95" s="2" t="str">
        <x:f>IF(AND(ISNUMBER(F95),ISNUMBER(G95)),G95-F95,"")</x:f>
      </x:c>
      <x:c r="AE95" s="2" t="n">
        <x:f>IF(AND(I95="Accepted",K95&lt;&gt;"",O95&lt;&gt;"",ISNUMBER(P95),P95&gt;0,P95&lt;='Dashboard'!$B$5,IF(ISNUMBER(F95),ISNUMBER(G95),TRUE),IF(ISNUMBER(F95),OR(G95&gt;=F95,AC95&lt;&gt;""),TRUE)),1,0)</x:f>
        <x:v>0</x:v>
      </x:c>
    </x:row>
    <x:row r="96" ht="58" customHeight="1">
      <x:c r="A96" s="2" t="str">
        <x:v>T0436</x:v>
      </x:c>
      <x:c r="B96" s="30" t="n">
        <x:v>46329</x:v>
      </x:c>
      <x:c r="C96" s="2" t="str">
        <x:v>Nic</x:v>
      </x:c>
      <x:c r="D96" s="2" t="str">
        <x:v>Client dependency</x:v>
      </x:c>
      <x:c r="E96" s="26" t="str">
        <x:v>Call outcome/next step for every appointment due; first-case decisions</x:v>
      </x:c>
      <x:c r="F96" s="2" t="str"/>
      <x:c r="G96" s="20"/>
      <x:c r="H96" s="2" t="str">
        <x:v>all due appointments</x:v>
      </x:c>
      <x:c r="I96" s="20" t="str">
        <x:v>Ready</x:v>
      </x:c>
      <x:c r="J96" s="2" t="str">
        <x:v>16:45</x:v>
      </x:c>
      <x:c r="K96" s="28" t="str"/>
      <x:c r="L96" s="28" t="str"/>
      <x:c r="M96" s="20" t="str"/>
      <x:c r="N96" s="33"/>
      <x:c r="O96" s="20" t="str"/>
      <x:c r="P96" s="33"/>
      <x:c r="Q96" s="2" t="n">
        <x:f>IF(AND(AE96=1,COUNTIFS($A$7:$A$500,"T0028",$AE$7:$AE$500,1)=1),1,0)</x:f>
        <x:v>0</x:v>
      </x:c>
      <x:c r="R96" s="2" t="str">
        <x:f>IF(AND(Q96=1,P96&lt;='Dashboard'!$B$5),IF(P96&gt;B96,"Accepted late","Accepted"),IF(B96&lt;'Dashboard'!$B$5,"Overdue",IF(I96="Blocked","Blocked",IF(B96='Dashboard'!$B$5,"Due today","Planned"))))</x:f>
        <x:v>Planned</x:v>
      </x:c>
      <x:c r="S96" s="26" t="str">
        <x:f>IF(I96="Accepted",IF(K96="","Add evidence",IF(O96="","Add reviewer",IF(P96="","Add accepted date",IF(AND(ISNUMBER(F96),COUNT(G96)=0),"Add actual quantity",IF(Q96=0,"Review target / date / dependencies","Complete"))))),IF(OR(I96="Blocked",I96="Deferred"),IF(L96="","Record blocker / reason",IF(M96="","Assign rescue owner",IF(N96="","Set recovery date","Recovery assigned"))),IF(B96&lt;'Dashboard'!$B$5,"Escalate and record recovery","Work to acceptance standard")))</x:f>
        <x:v>Work to acceptance standard</x:v>
      </x:c>
      <x:c r="T96" s="26" t="str">
        <x:v>T0028</x:v>
      </x:c>
      <x:c r="U96" s="26" t="str">
        <x:v>Demand-linked: work actual approved calendar; setter brief present; outcome logged same day. No calls scheduled is N/A with calendar evidence.</x:v>
      </x:c>
      <x:c r="V96" s="31" t="n">
        <x:v>0.5</x:v>
      </x:c>
      <x:c r="W96" s="26" t="str"/>
      <x:c r="X96" s="26" t="str">
        <x:v>DSI Reset PDF: lane responsibilities and dated runbook; dated allocation proposed for this tracker.</x:v>
      </x:c>
      <x:c r="Y96" s="30" t="n">
        <x:f>B96-WEEKDAY(B96,2)+1</x:f>
        <x:v>46328</x:v>
      </x:c>
      <x:c r="Z96" s="2" t="str">
        <x:v>demand</x:v>
      </x:c>
      <x:c r="AA96" s="2" t="n">
        <x:f>IF(Q96=1,IF(P96&gt;B96,1,0),0)</x:f>
        <x:v>0</x:v>
      </x:c>
      <x:c r="AB96" s="2" t="n">
        <x:f>IF(AND(Q96=1,P96&lt;='Dashboard'!$B$5),0,MAX(0,'Dashboard'!$B$5-B96))</x:f>
        <x:v>0</x:v>
      </x:c>
      <x:c r="AC96" s="28" t="str"/>
      <x:c r="AD96" s="2" t="str">
        <x:f>IF(AND(ISNUMBER(F96),ISNUMBER(G96)),G96-F96,"")</x:f>
      </x:c>
      <x:c r="AE96" s="2" t="n">
        <x:f>IF(AND(I96="Accepted",K96&lt;&gt;"",O96&lt;&gt;"",ISNUMBER(P96),P96&gt;0,P96&lt;='Dashboard'!$B$5,IF(ISNUMBER(F96),ISNUMBER(G96),TRUE)),1,0)</x:f>
        <x:v>0</x:v>
      </x:c>
    </x:row>
    <x:row r="97" ht="58" customHeight="1">
      <x:c r="A97" s="2" t="str">
        <x:v>T0437</x:v>
      </x:c>
      <x:c r="B97" s="30" t="n">
        <x:v>46329</x:v>
      </x:c>
      <x:c r="C97" s="2" t="str">
        <x:v>Maseeha</x:v>
      </x:c>
      <x:c r="D97" s="2" t="str">
        <x:v>Client dependency</x:v>
      </x:c>
      <x:c r="E97" s="26" t="str">
        <x:v>Due intro verification; kit/case handoff; delivery/Day-30 dates; credit trigger log. Planned asks today: 4 unique existing accounts; cumulative 9.</x:v>
      </x:c>
      <x:c r="F97" s="2" t="str"/>
      <x:c r="G97" s="20"/>
      <x:c r="H97" s="2" t="str">
        <x:v>all due cases</x:v>
      </x:c>
      <x:c r="I97" s="20" t="str">
        <x:v>Ready</x:v>
      </x:c>
      <x:c r="J97" s="2" t="str">
        <x:v>16:45</x:v>
      </x:c>
      <x:c r="K97" s="28" t="str"/>
      <x:c r="L97" s="28" t="str"/>
      <x:c r="M97" s="20" t="str"/>
      <x:c r="N97" s="33"/>
      <x:c r="O97" s="20" t="str"/>
      <x:c r="P97" s="33"/>
      <x:c r="Q97" s="2" t="n">
        <x:f>IF(AND(AE97=1,COUNTIFS($A$7:$A$500,"T0028",$AE$7:$AE$500,1)=1),1,0)</x:f>
        <x:v>0</x:v>
      </x:c>
      <x:c r="R97" s="2" t="str">
        <x:f>IF(AND(Q97=1,P97&lt;='Dashboard'!$B$5),IF(P97&gt;B97,"Accepted late","Accepted"),IF(B97&lt;'Dashboard'!$B$5,"Overdue",IF(I97="Blocked","Blocked",IF(B97='Dashboard'!$B$5,"Due today","Planned"))))</x:f>
        <x:v>Planned</x:v>
      </x:c>
      <x:c r="S97" s="26" t="str">
        <x:f>IF(I97="Accepted",IF(K97="","Add evidence",IF(O97="","Add reviewer",IF(P97="","Add accepted date",IF(AND(ISNUMBER(F97),COUNT(G97)=0),"Add actual quantity",IF(Q97=0,"Review target / date / dependencies","Complete"))))),IF(OR(I97="Blocked",I97="Deferred"),IF(L97="","Record blocker / reason",IF(M97="","Assign rescue owner",IF(N97="","Set recovery date","Recovery assigned"))),IF(B97&lt;'Dashboard'!$B$5,"Escalate and record recovery","Work to acceptance standard")))</x:f>
        <x:v>Work to acceptance standard</x:v>
      </x:c>
      <x:c r="T97" s="26" t="str">
        <x:v>T0028</x:v>
      </x:c>
      <x:c r="U97" s="26" t="str">
        <x:v>Demand-linked: referral verification&lt;=2 business days; trial capacity respected; $200 credit only on eligible invoice paid.</x:v>
      </x:c>
      <x:c r="V97" s="31" t="n">
        <x:v>0.5</x:v>
      </x:c>
      <x:c r="W97" s="26" t="str"/>
      <x:c r="X97" s="26" t="str">
        <x:v>DSI Reset PDF: lane responsibilities and dated runbook; dated allocation proposed for this tracker.</x:v>
      </x:c>
      <x:c r="Y97" s="30" t="n">
        <x:f>B97-WEEKDAY(B97,2)+1</x:f>
        <x:v>46328</x:v>
      </x:c>
      <x:c r="Z97" s="2" t="str">
        <x:v>demand</x:v>
      </x:c>
      <x:c r="AA97" s="2" t="n">
        <x:f>IF(Q97=1,IF(P97&gt;B97,1,0),0)</x:f>
        <x:v>0</x:v>
      </x:c>
      <x:c r="AB97" s="2" t="n">
        <x:f>IF(AND(Q97=1,P97&lt;='Dashboard'!$B$5),0,MAX(0,'Dashboard'!$B$5-B97))</x:f>
        <x:v>0</x:v>
      </x:c>
      <x:c r="AC97" s="28" t="str"/>
      <x:c r="AD97" s="2" t="str">
        <x:f>IF(AND(ISNUMBER(F97),ISNUMBER(G97)),G97-F97,"")</x:f>
      </x:c>
      <x:c r="AE97" s="2" t="n">
        <x:f>IF(AND(I97="Accepted",K97&lt;&gt;"",O97&lt;&gt;"",ISNUMBER(P97),P97&gt;0,P97&lt;='Dashboard'!$B$5,IF(ISNUMBER(F97),ISNUMBER(G97),TRUE)),1,0)</x:f>
        <x:v>0</x:v>
      </x:c>
    </x:row>
    <x:row r="98" ht="58" customHeight="1">
      <x:c r="A98" s="2" t="str">
        <x:v>T0086</x:v>
      </x:c>
      <x:c r="B98" s="30" t="n">
        <x:v>46330</x:v>
      </x:c>
      <x:c r="C98" s="2" t="str">
        <x:v>Wyline</x:v>
      </x:c>
      <x:c r="D98" s="2" t="str">
        <x:v>Program Director</x:v>
      </x:c>
      <x:c r="E98" s="26" t="str">
        <x:v>Accepted-output register; actual-vs-target dashboard; blocker/rescue assignments</x:v>
      </x:c>
      <x:c r="F98" s="2" t="n">
        <x:v>1</x:v>
      </x:c>
      <x:c r="G98" s="20"/>
      <x:c r="H98" s="2" t="str">
        <x:v>accepted output</x:v>
      </x:c>
      <x:c r="I98" s="20" t="str">
        <x:v>Ready</x:v>
      </x:c>
      <x:c r="J98" s="2" t="str">
        <x:v>16:45</x:v>
      </x:c>
      <x:c r="K98" s="28" t="str"/>
      <x:c r="L98" s="28" t="str"/>
      <x:c r="M98" s="20" t="str"/>
      <x:c r="N98" s="33"/>
      <x:c r="O98" s="20" t="str"/>
      <x:c r="P98" s="33"/>
      <x:c r="Q98" s="2" t="n">
        <x:f>IF(AND(AE98=1,COUNTIFS($A$7:$A$500,"T0067",$AE$7:$AE$500,1)=1,COUNTIFS($A$7:$A$500,"T0055",$AE$7:$AE$500,1)=1),1,0)</x:f>
        <x:v>0</x:v>
      </x:c>
      <x:c r="R98" s="2" t="str">
        <x:f>IF(AND(Q98=1,P98&lt;='Dashboard'!$B$5),IF(P98&gt;B98,"Accepted late","Accepted"),IF(B98&lt;'Dashboard'!$B$5,"Overdue",IF(I98="Blocked","Blocked",IF(B98='Dashboard'!$B$5,"Due today","Planned"))))</x:f>
        <x:v>Planned</x:v>
      </x:c>
      <x:c r="S98" s="26" t="str">
        <x:f>IF(I98="Accepted",IF(K98="","Add evidence",IF(O98="","Add reviewer",IF(P98="","Add accepted date",IF(AND(ISNUMBER(F98),COUNT(G98)=0),"Add actual quantity",IF(Q98=0,"Review target / date / dependencies","Complete"))))),IF(OR(I98="Blocked",I98="Deferred"),IF(L98="","Record blocker / reason",IF(M98="","Assign rescue owner",IF(N98="","Set recovery date","Recovery assigned"))),IF(B98&lt;'Dashboard'!$B$5,"Escalate and record recovery","Work to acceptance standard")))</x:f>
        <x:v>Work to acceptance standard</x:v>
      </x:c>
      <x:c r="T98" s="26" t="str">
        <x:v>T0067</x:v>
      </x:c>
      <x:c r="U98" s="26" t="str">
        <x:v>09:00 standup; 13:00/16:30 recovery checks; 17:00 acceptance. Every overdue task keeps original date and named recovery owner.</x:v>
      </x:c>
      <x:c r="V98" s="31" t="n">
        <x:v>3</x:v>
      </x:c>
      <x:c r="W98" s="26" t="str"/>
      <x:c r="X98" s="26" t="str">
        <x:v>DSI Reset PDF: lane responsibilities and dated runbook; dated allocation proposed for this tracker.</x:v>
      </x:c>
      <x:c r="Y98" s="30" t="n">
        <x:f>B98-WEEKDAY(B98,2)+1</x:f>
        <x:v>46328</x:v>
      </x:c>
      <x:c r="Z98" s="2" t="str">
        <x:v>checklist</x:v>
      </x:c>
      <x:c r="AA98" s="2" t="n">
        <x:f>IF(Q98=1,IF(P98&gt;B98,1,0),0)</x:f>
        <x:v>0</x:v>
      </x:c>
      <x:c r="AB98" s="2" t="n">
        <x:f>IF(AND(Q98=1,P98&lt;='Dashboard'!$B$5),0,MAX(0,'Dashboard'!$B$5-B98))</x:f>
        <x:v>0</x:v>
      </x:c>
      <x:c r="AC98" s="28" t="str"/>
      <x:c r="AD98" s="2" t="str">
        <x:f>IF(AND(ISNUMBER(F98),ISNUMBER(G98)),G98-F98,"")</x:f>
      </x:c>
      <x:c r="AE98" s="2" t="n">
        <x:f>IF(AND(I98="Accepted",K98&lt;&gt;"",O98&lt;&gt;"",ISNUMBER(P98),P98&gt;0,P98&lt;='Dashboard'!$B$5,IF(ISNUMBER(F98),ISNUMBER(G98),TRUE),IF(ISNUMBER(F98),G98&gt;=F98,TRUE)),1,0)</x:f>
        <x:v>0</x:v>
      </x:c>
    </x:row>
    <x:row r="99" ht="58" customHeight="1">
      <x:c r="A99" s="2" t="str">
        <x:v>T0087</x:v>
      </x:c>
      <x:c r="B99" s="30" t="n">
        <x:v>46330</x:v>
      </x:c>
      <x:c r="C99" s="2" t="str">
        <x:v>Kenneth</x:v>
      </x:c>
      <x:c r="D99" s="2" t="str">
        <x:v>Message Orchestrator</x:v>
      </x:c>
      <x:c r="E99" s="26" t="str">
        <x:v>Human-reply insights; 5 Inbox draft checks; approved first lines; claim exceptions</x:v>
      </x:c>
      <x:c r="F99" s="2" t="n">
        <x:v>1</x:v>
      </x:c>
      <x:c r="G99" s="20"/>
      <x:c r="H99" s="2" t="str">
        <x:v>accepted output</x:v>
      </x:c>
      <x:c r="I99" s="20" t="str">
        <x:v>Ready</x:v>
      </x:c>
      <x:c r="J99" s="2" t="str">
        <x:v>16:45</x:v>
      </x:c>
      <x:c r="K99" s="28" t="str"/>
      <x:c r="L99" s="28" t="str"/>
      <x:c r="M99" s="20" t="str"/>
      <x:c r="N99" s="33"/>
      <x:c r="O99" s="20" t="str"/>
      <x:c r="P99" s="33"/>
      <x:c r="Q99" s="2" t="n">
        <x:f>IF(AND(AE99=1,COUNTIFS($A$7:$A$500,"T0067",$AE$7:$AE$500,1)=1,COUNTIFS($A$7:$A$500,"T0055",$AE$7:$AE$500,1)=1),1,0)</x:f>
        <x:v>0</x:v>
      </x:c>
      <x:c r="R99" s="2" t="str">
        <x:f>IF(AND(Q99=1,P99&lt;='Dashboard'!$B$5),IF(P99&gt;B99,"Accepted late","Accepted"),IF(B99&lt;'Dashboard'!$B$5,"Overdue",IF(I99="Blocked","Blocked",IF(B99='Dashboard'!$B$5,"Due today","Planned"))))</x:f>
        <x:v>Planned</x:v>
      </x:c>
      <x:c r="S99" s="26" t="str">
        <x:f>IF(I99="Accepted",IF(K99="","Add evidence",IF(O99="","Add reviewer",IF(P99="","Add accepted date",IF(AND(ISNUMBER(F99),COUNT(G99)=0),"Add actual quantity",IF(Q99=0,"Review target / date / dependencies","Complete"))))),IF(OR(I99="Blocked",I99="Deferred"),IF(L99="","Record blocker / reason",IF(M99="","Assign rescue owner",IF(N99="","Set recovery date","Recovery assigned"))),IF(B99&lt;'Dashboard'!$B$5,"Escalate and record recovery","Work to acceptance standard")))</x:f>
        <x:v>Work to acceptance standard</x:v>
      </x:c>
      <x:c r="T99" s="26" t="str">
        <x:v>T0067</x:v>
      </x:c>
      <x:c r="U99" s="26" t="str">
        <x:v>Zero invented claims. If any draft fails facts, stop drafting/retrain; no offer change without approval.</x:v>
      </x:c>
      <x:c r="V99" s="31" t="n">
        <x:v>2.4</x:v>
      </x:c>
      <x:c r="W99" s="26" t="str"/>
      <x:c r="X99" s="26" t="str">
        <x:v>DSI Reset PDF: lane responsibilities and dated runbook; dated allocation proposed for this tracker.</x:v>
      </x:c>
      <x:c r="Y99" s="30" t="n">
        <x:f>B99-WEEKDAY(B99,2)+1</x:f>
        <x:v>46328</x:v>
      </x:c>
      <x:c r="Z99" s="2" t="str">
        <x:v>checklist</x:v>
      </x:c>
      <x:c r="AA99" s="2" t="n">
        <x:f>IF(Q99=1,IF(P99&gt;B99,1,0),0)</x:f>
        <x:v>0</x:v>
      </x:c>
      <x:c r="AB99" s="2" t="n">
        <x:f>IF(AND(Q99=1,P99&lt;='Dashboard'!$B$5),0,MAX(0,'Dashboard'!$B$5-B99))</x:f>
        <x:v>0</x:v>
      </x:c>
      <x:c r="AC99" s="28" t="str"/>
      <x:c r="AD99" s="2" t="str">
        <x:f>IF(AND(ISNUMBER(F99),ISNUMBER(G99)),G99-F99,"")</x:f>
      </x:c>
      <x:c r="AE99" s="2" t="n">
        <x:f>IF(AND(I99="Accepted",K99&lt;&gt;"",O99&lt;&gt;"",ISNUMBER(P99),P99&gt;0,P99&lt;='Dashboard'!$B$5,IF(ISNUMBER(F99),ISNUMBER(G99),TRUE),IF(ISNUMBER(F99),G99&gt;=F99,TRUE)),1,0)</x:f>
        <x:v>0</x:v>
      </x:c>
    </x:row>
    <x:row r="100" ht="58" customHeight="1">
      <x:c r="A100" s="2" t="str">
        <x:v>T0088</x:v>
      </x:c>
      <x:c r="B100" s="30" t="n">
        <x:v>46330</x:v>
      </x:c>
      <x:c r="C100" s="2" t="str">
        <x:v>Joey</x:v>
      </x:c>
      <x:c r="D100" s="2" t="str">
        <x:v>Data Orchestrator</x:v>
      </x:c>
      <x:c r="E100" s="26" t="str">
        <x:v>Mailbox/bounce/suppression log; ready verified records; due-follow up versus new-send capacity plan. Planned list output today: 50 new verified contacts; cumulative ready pool 400.</x:v>
      </x:c>
      <x:c r="F100" s="2" t="n">
        <x:v>50</x:v>
      </x:c>
      <x:c r="G100" s="20"/>
      <x:c r="H100" s="2" t="str">
        <x:v>new verified contacts; proposed daily pace</x:v>
      </x:c>
      <x:c r="I100" s="20" t="str">
        <x:v>Ready</x:v>
      </x:c>
      <x:c r="J100" s="2" t="str">
        <x:v>16:45</x:v>
      </x:c>
      <x:c r="K100" s="28" t="str"/>
      <x:c r="L100" s="28" t="str"/>
      <x:c r="M100" s="20" t="str"/>
      <x:c r="N100" s="33"/>
      <x:c r="O100" s="20" t="str"/>
      <x:c r="P100" s="33"/>
      <x:c r="Q100" s="2" t="n">
        <x:f>IF(AND(AE100=1,COUNTIFS($A$7:$A$500,"T0067",$AE$7:$AE$500,1)=1,COUNTIFS($A$7:$A$500,"T0055",$AE$7:$AE$500,1)=1),1,0)</x:f>
        <x:v>0</x:v>
      </x:c>
      <x:c r="R100" s="2" t="str">
        <x:f>IF(AND(Q100=1,P100&lt;='Dashboard'!$B$5),IF(P100&gt;B100,"Accepted late","Accepted"),IF(B100&lt;'Dashboard'!$B$5,"Overdue",IF(I100="Blocked","Blocked",IF(B100='Dashboard'!$B$5,"Due today","Planned"))))</x:f>
        <x:v>Planned</x:v>
      </x:c>
      <x:c r="S100" s="26" t="str">
        <x:f>IF(I100="Accepted",IF(K100="","Add evidence",IF(O100="","Add reviewer",IF(P100="","Add accepted date",IF(AND(ISNUMBER(F100),COUNT(G100)=0),"Add actual quantity",IF(Q100=0,"Review target / date / dependencies","Complete"))))),IF(OR(I100="Blocked",I100="Deferred"),IF(L100="","Record blocker / reason",IF(M100="","Assign rescue owner",IF(N100="","Set recovery date","Recovery assigned"))),IF(B100&lt;'Dashboard'!$B$5,"Escalate and record recovery","Work to acceptance standard")))</x:f>
        <x:v>Work to acceptance standard</x:v>
      </x:c>
      <x:c r="T100" s="26" t="str">
        <x:v>T0067</x:v>
      </x:c>
      <x:c r="U100" s="26" t="str">
        <x:v>Planning pool addition 50 contacts today; quality gate wins over quota. Total sends&lt;=150/day;&gt;3% bounce affected mailbox held. No new cold enrollments on reduced/buffer days.</x:v>
      </x:c>
      <x:c r="V100" s="31" t="n">
        <x:v>3</x:v>
      </x:c>
      <x:c r="W100" s="26" t="str"/>
      <x:c r="X100" s="26" t="str">
        <x:v>DSI Reset PDF: lane responsibilities and dated runbook; dated allocation proposed for this tracker.</x:v>
      </x:c>
      <x:c r="Y100" s="30" t="n">
        <x:f>B100-WEEKDAY(B100,2)+1</x:f>
        <x:v>46328</x:v>
      </x:c>
      <x:c r="Z100" s="2" t="str">
        <x:v>goal</x:v>
      </x:c>
      <x:c r="AA100" s="2" t="n">
        <x:f>IF(Q100=1,IF(P100&gt;B100,1,0),0)</x:f>
        <x:v>0</x:v>
      </x:c>
      <x:c r="AB100" s="2" t="n">
        <x:f>IF(AND(Q100=1,P100&lt;='Dashboard'!$B$5),0,MAX(0,'Dashboard'!$B$5-B100))</x:f>
        <x:v>0</x:v>
      </x:c>
      <x:c r="AC100" s="28" t="str"/>
      <x:c r="AD100" s="2" t="str">
        <x:f>IF(AND(ISNUMBER(F100),ISNUMBER(G100)),G100-F100,"")</x:f>
      </x:c>
      <x:c r="AE100" s="2" t="n">
        <x:f>IF(AND(I100="Accepted",K100&lt;&gt;"",O100&lt;&gt;"",ISNUMBER(P100),P100&gt;0,P100&lt;='Dashboard'!$B$5,IF(ISNUMBER(F100),ISNUMBER(G100),TRUE),IF(ISNUMBER(F100),G100&gt;=F100,TRUE)),1,0)</x:f>
        <x:v>0</x:v>
      </x:c>
    </x:row>
    <x:row r="101" ht="58" customHeight="1">
      <x:c r="A101" s="2" t="str">
        <x:v>T0089</x:v>
      </x:c>
      <x:c r="B101" s="30" t="n">
        <x:v>46330</x:v>
      </x:c>
      <x:c r="C101" s="2" t="str">
        <x:v>Nova</x:v>
      </x:c>
      <x:c r="D101" s="2" t="str">
        <x:v>Conversion Orchestrator</x:v>
      </x:c>
      <x:c r="E101" s="26" t="str">
        <x:v>Coverage/SLA evidence; 2 call reviews; booked/held updates; next-step and trial handoffs. Log each unique qualified inquiry with practice type, decision-maker access, case volume, service need and readiness timing.</x:v>
      </x:c>
      <x:c r="F101" s="2" t="n">
        <x:v>1</x:v>
      </x:c>
      <x:c r="G101" s="20"/>
      <x:c r="H101" s="2" t="str">
        <x:v>accepted output</x:v>
      </x:c>
      <x:c r="I101" s="20" t="str">
        <x:v>Ready</x:v>
      </x:c>
      <x:c r="J101" s="2" t="str">
        <x:v>16:45</x:v>
      </x:c>
      <x:c r="K101" s="28" t="str"/>
      <x:c r="L101" s="28" t="str"/>
      <x:c r="M101" s="20" t="str"/>
      <x:c r="N101" s="33"/>
      <x:c r="O101" s="20" t="str"/>
      <x:c r="P101" s="33"/>
      <x:c r="Q101" s="2" t="n">
        <x:f>IF(AND(AE101=1,COUNTIFS($A$7:$A$500,"T0067",$AE$7:$AE$500,1)=1,COUNTIFS($A$7:$A$500,"T0055",$AE$7:$AE$500,1)=1),1,0)</x:f>
        <x:v>0</x:v>
      </x:c>
      <x:c r="R101" s="2" t="str">
        <x:f>IF(AND(Q101=1,P101&lt;='Dashboard'!$B$5),IF(P101&gt;B101,"Accepted late","Accepted"),IF(B101&lt;'Dashboard'!$B$5,"Overdue",IF(I101="Blocked","Blocked",IF(B101='Dashboard'!$B$5,"Due today","Planned"))))</x:f>
        <x:v>Planned</x:v>
      </x:c>
      <x:c r="S101" s="26" t="str">
        <x:f>IF(I101="Accepted",IF(K101="","Add evidence",IF(O101="","Add reviewer",IF(P101="","Add accepted date",IF(AND(ISNUMBER(F101),COUNT(G101)=0),"Add actual quantity",IF(Q101=0,"Review target / date / dependencies","Complete"))))),IF(OR(I101="Blocked",I101="Deferred"),IF(L101="","Record blocker / reason",IF(M101="","Assign rescue owner",IF(N101="","Set recovery date","Recovery assigned"))),IF(B101&lt;'Dashboard'!$B$5,"Escalate and record recovery","Work to acceptance standard")))</x:f>
        <x:v>Work to acceptance standard</x:v>
      </x:c>
      <x:c r="T101" s="26" t="str">
        <x:v>T0067</x:v>
      </x:c>
      <x:c r="U101" s="26" t="str">
        <x:v>Every eligible reply&lt;=15 min; positive call&lt;=60 min; no opportunity without next step; booked brief to Nic; trial logistics to Maseeha. Raw contacts, opens and accepts never count as qualified inquiries; deduplicate across channels.</x:v>
      </x:c>
      <x:c r="V101" s="31" t="n">
        <x:v>4</x:v>
      </x:c>
      <x:c r="W101" s="26" t="str"/>
      <x:c r="X101" s="26" t="str">
        <x:v>DSI Reset PDF: lane responsibilities and dated runbook; dated allocation proposed for this tracker.</x:v>
      </x:c>
      <x:c r="Y101" s="30" t="n">
        <x:f>B101-WEEKDAY(B101,2)+1</x:f>
        <x:v>46328</x:v>
      </x:c>
      <x:c r="Z101" s="2" t="str">
        <x:v>checklist</x:v>
      </x:c>
      <x:c r="AA101" s="2" t="n">
        <x:f>IF(Q101=1,IF(P101&gt;B101,1,0),0)</x:f>
        <x:v>0</x:v>
      </x:c>
      <x:c r="AB101" s="2" t="n">
        <x:f>IF(AND(Q101=1,P101&lt;='Dashboard'!$B$5),0,MAX(0,'Dashboard'!$B$5-B101))</x:f>
        <x:v>0</x:v>
      </x:c>
      <x:c r="AC101" s="28" t="str"/>
      <x:c r="AD101" s="2" t="str">
        <x:f>IF(AND(ISNUMBER(F101),ISNUMBER(G101)),G101-F101,"")</x:f>
      </x:c>
      <x:c r="AE101" s="2" t="n">
        <x:f>IF(AND(I101="Accepted",K101&lt;&gt;"",O101&lt;&gt;"",ISNUMBER(P101),P101&gt;0,P101&lt;='Dashboard'!$B$5,IF(ISNUMBER(F101),ISNUMBER(G101),TRUE),IF(ISNUMBER(F101),G101&gt;=F101,TRUE)),1,0)</x:f>
        <x:v>0</x:v>
      </x:c>
    </x:row>
    <x:row r="102" ht="58" customHeight="1">
      <x:c r="A102" s="2" t="str">
        <x:v>T0090</x:v>
      </x:c>
      <x:c r="B102" s="30" t="n">
        <x:v>46330</x:v>
      </x:c>
      <x:c r="C102" s="2" t="str">
        <x:v>Emman</x:v>
      </x:c>
      <x:c r="D102" s="2" t="str">
        <x:v>AI Build Orchestrator</x:v>
      </x:c>
      <x:c r="E102" s="26" t="str">
        <x:v>Health/retry log; one acceptance-backed build increment; updated change log</x:v>
      </x:c>
      <x:c r="F102" s="2" t="n">
        <x:v>1</x:v>
      </x:c>
      <x:c r="G102" s="20"/>
      <x:c r="H102" s="2" t="str">
        <x:v>accepted output</x:v>
      </x:c>
      <x:c r="I102" s="20" t="str">
        <x:v>Ready</x:v>
      </x:c>
      <x:c r="J102" s="2" t="str">
        <x:v>16:45</x:v>
      </x:c>
      <x:c r="K102" s="28" t="str"/>
      <x:c r="L102" s="28" t="str"/>
      <x:c r="M102" s="20" t="str"/>
      <x:c r="N102" s="33"/>
      <x:c r="O102" s="20" t="str"/>
      <x:c r="P102" s="33"/>
      <x:c r="Q102" s="2" t="n">
        <x:f>IF(AND(AE102=1,COUNTIFS($A$7:$A$500,"T0067",$AE$7:$AE$500,1)=1,COUNTIFS($A$7:$A$500,"T0055",$AE$7:$AE$500,1)=1),1,0)</x:f>
        <x:v>0</x:v>
      </x:c>
      <x:c r="R102" s="2" t="str">
        <x:f>IF(AND(Q102=1,P102&lt;='Dashboard'!$B$5),IF(P102&gt;B102,"Accepted late","Accepted"),IF(B102&lt;'Dashboard'!$B$5,"Overdue",IF(I102="Blocked","Blocked",IF(B102='Dashboard'!$B$5,"Due today","Planned"))))</x:f>
        <x:v>Planned</x:v>
      </x:c>
      <x:c r="S102" s="26" t="str">
        <x:f>IF(I102="Accepted",IF(K102="","Add evidence",IF(O102="","Add reviewer",IF(P102="","Add accepted date",IF(AND(ISNUMBER(F102),COUNT(G102)=0),"Add actual quantity",IF(Q102=0,"Review target / date / dependencies","Complete"))))),IF(OR(I102="Blocked",I102="Deferred"),IF(L102="","Record blocker / reason",IF(M102="","Assign rescue owner",IF(N102="","Set recovery date","Recovery assigned"))),IF(B102&lt;'Dashboard'!$B$5,"Escalate and record recovery","Work to acceptance standard")))</x:f>
        <x:v>Work to acceptance standard</x:v>
      </x:c>
      <x:c r="T102" s="26" t="str">
        <x:v>T0067</x:v>
      </x:c>
      <x:c r="U102" s="26" t="str">
        <x:v>Fix a failing live agent beforestarting the next build. If an agent is still not working 48 hours after its due date, activate the manual SOP. Roll back a live failure within 1 hour. Release build reserve when no approved work remains.</x:v>
      </x:c>
      <x:c r="V102" s="31" t="n">
        <x:v>4</x:v>
      </x:c>
      <x:c r="W102" s="26" t="str"/>
      <x:c r="X102" s="26" t="str">
        <x:v>DSI Reset PDF: lane responsibilities and dated runbook; dated allocation proposed for this tracker.</x:v>
      </x:c>
      <x:c r="Y102" s="30" t="n">
        <x:f>B102-WEEKDAY(B102,2)+1</x:f>
        <x:v>46328</x:v>
      </x:c>
      <x:c r="Z102" s="2" t="str">
        <x:v>checklist</x:v>
      </x:c>
      <x:c r="AA102" s="2" t="n">
        <x:f>IF(Q102=1,IF(P102&gt;B102,1,0),0)</x:f>
        <x:v>0</x:v>
      </x:c>
      <x:c r="AB102" s="2" t="n">
        <x:f>IF(AND(Q102=1,P102&lt;='Dashboard'!$B$5),0,MAX(0,'Dashboard'!$B$5-B102))</x:f>
        <x:v>0</x:v>
      </x:c>
      <x:c r="AC102" s="28" t="str"/>
      <x:c r="AD102" s="2" t="str">
        <x:f>IF(AND(ISNUMBER(F102),ISNUMBER(G102)),G102-F102,"")</x:f>
      </x:c>
      <x:c r="AE102" s="2" t="n">
        <x:f>IF(AND(I102="Accepted",K102&lt;&gt;"",O102&lt;&gt;"",ISNUMBER(P102),P102&gt;0,P102&lt;='Dashboard'!$B$5,IF(ISNUMBER(F102),ISNUMBER(G102),TRUE),IF(ISNUMBER(F102),G102&gt;=F102,TRUE)),1,0)</x:f>
        <x:v>0</x:v>
      </x:c>
    </x:row>
    <x:row r="103" ht="58" customHeight="1">
      <x:c r="A103" s="2" t="str">
        <x:v>T0091</x:v>
      </x:c>
      <x:c r="B103" s="30" t="n">
        <x:v>46330</x:v>
      </x:c>
      <x:c r="C103" s="2" t="str">
        <x:v>Ludwig</x:v>
      </x:c>
      <x:c r="D103" s="2" t="str">
        <x:v>Integration Engineer</x:v>
      </x:c>
      <x:c r="E103" s="26" t="str">
        <x:v>Webhook/error/dead-letter check; top assigned integration ticket or verified no-ticket note</x:v>
      </x:c>
      <x:c r="F103" s="2" t="n">
        <x:v>1</x:v>
      </x:c>
      <x:c r="G103" s="20"/>
      <x:c r="H103" s="2" t="str">
        <x:v>accepted output</x:v>
      </x:c>
      <x:c r="I103" s="20" t="str">
        <x:v>Ready</x:v>
      </x:c>
      <x:c r="J103" s="2" t="str">
        <x:v>16:45</x:v>
      </x:c>
      <x:c r="K103" s="28" t="str"/>
      <x:c r="L103" s="28" t="str"/>
      <x:c r="M103" s="20" t="str"/>
      <x:c r="N103" s="33"/>
      <x:c r="O103" s="20" t="str"/>
      <x:c r="P103" s="33"/>
      <x:c r="Q103" s="2" t="n">
        <x:f>IF(AND(AE103=1,COUNTIFS($A$7:$A$500,"T0067",$AE$7:$AE$500,1)=1,COUNTIFS($A$7:$A$500,"T0055",$AE$7:$AE$500,1)=1),1,0)</x:f>
        <x:v>0</x:v>
      </x:c>
      <x:c r="R103" s="2" t="str">
        <x:f>IF(AND(Q103=1,P103&lt;='Dashboard'!$B$5),IF(P103&gt;B103,"Accepted late","Accepted"),IF(B103&lt;'Dashboard'!$B$5,"Overdue",IF(I103="Blocked","Blocked",IF(B103='Dashboard'!$B$5,"Due today","Planned"))))</x:f>
        <x:v>Planned</x:v>
      </x:c>
      <x:c r="S103" s="26" t="str">
        <x:f>IF(I103="Accepted",IF(K103="","Add evidence",IF(O103="","Add reviewer",IF(P103="","Add accepted date",IF(AND(ISNUMBER(F103),COUNT(G103)=0),"Add actual quantity",IF(Q103=0,"Review target / date / dependencies","Complete"))))),IF(OR(I103="Blocked",I103="Deferred"),IF(L103="","Record blocker / reason",IF(M103="","Assign rescue owner",IF(N103="","Set recovery date","Recovery assigned"))),IF(B103&lt;'Dashboard'!$B$5,"Escalate and record recovery","Work to acceptance standard")))</x:f>
        <x:v>Work to acceptance standard</x:v>
      </x:c>
      <x:c r="T103" s="26" t="str">
        <x:v>T0067</x:v>
      </x:c>
      <x:c r="U103" s="26" t="str">
        <x:v>Only Emman’s priority queue; 100% test capture; runbook/retry/rollback evidence. If no fault/ticket, release reserve; do not invent work.</x:v>
      </x:c>
      <x:c r="V103" s="31" t="n">
        <x:v>1.6</x:v>
      </x:c>
      <x:c r="W103" s="26" t="str"/>
      <x:c r="X103" s="26" t="str">
        <x:v>DSI Reset PDF: lane responsibilities and dated runbook; dated allocation proposed for this tracker.</x:v>
      </x:c>
      <x:c r="Y103" s="30" t="n">
        <x:f>B103-WEEKDAY(B103,2)+1</x:f>
        <x:v>46328</x:v>
      </x:c>
      <x:c r="Z103" s="2" t="str">
        <x:v>checklist</x:v>
      </x:c>
      <x:c r="AA103" s="2" t="n">
        <x:f>IF(Q103=1,IF(P103&gt;B103,1,0),0)</x:f>
        <x:v>0</x:v>
      </x:c>
      <x:c r="AB103" s="2" t="n">
        <x:f>IF(AND(Q103=1,P103&lt;='Dashboard'!$B$5),0,MAX(0,'Dashboard'!$B$5-B103))</x:f>
        <x:v>0</x:v>
      </x:c>
      <x:c r="AC103" s="28" t="str"/>
      <x:c r="AD103" s="2" t="str">
        <x:f>IF(AND(ISNUMBER(F103),ISNUMBER(G103)),G103-F103,"")</x:f>
      </x:c>
      <x:c r="AE103" s="2" t="n">
        <x:f>IF(AND(I103="Accepted",K103&lt;&gt;"",O103&lt;&gt;"",ISNUMBER(P103),P103&gt;0,P103&lt;='Dashboard'!$B$5,IF(ISNUMBER(F103),ISNUMBER(G103),TRUE),IF(ISNUMBER(F103),G103&gt;=F103,TRUE)),1,0)</x:f>
        <x:v>0</x:v>
      </x:c>
    </x:row>
    <x:row r="104" ht="58" customHeight="1">
      <x:c r="A104" s="2" t="str">
        <x:v>T0092</x:v>
      </x:c>
      <x:c r="B104" s="30" t="n">
        <x:v>46330</x:v>
      </x:c>
      <x:c r="C104" s="2" t="str">
        <x:v>Alvin</x:v>
      </x:c>
      <x:c r="D104" s="2" t="str">
        <x:v>CQL/GHL Implementation</x:v>
      </x:c>
      <x:c r="E104" s="26" t="str">
        <x:v>Stage/calendar/reminder QA; due workflow fixes; approved post mirrors/evidence Publish approved post SOC02 (Educate); capture the live URL.</x:v>
      </x:c>
      <x:c r="F104" s="2" t="n">
        <x:v>1</x:v>
      </x:c>
      <x:c r="G104" s="20"/>
      <x:c r="H104" s="2" t="str">
        <x:v>accepted output</x:v>
      </x:c>
      <x:c r="I104" s="20" t="str">
        <x:v>Ready</x:v>
      </x:c>
      <x:c r="J104" s="2" t="str">
        <x:v>16:45</x:v>
      </x:c>
      <x:c r="K104" s="28" t="str"/>
      <x:c r="L104" s="28" t="str"/>
      <x:c r="M104" s="20" t="str"/>
      <x:c r="N104" s="33"/>
      <x:c r="O104" s="20" t="str"/>
      <x:c r="P104" s="33"/>
      <x:c r="Q104" s="2" t="n">
        <x:f>IF(AND(AE104=1,COUNTIFS($A$7:$A$500,"T0067",$AE$7:$AE$500,1)=1,COUNTIFS($A$7:$A$500,"T0055",$AE$7:$AE$500,1)=1),1,0)</x:f>
        <x:v>0</x:v>
      </x:c>
      <x:c r="R104" s="2" t="str">
        <x:f>IF(AND(Q104=1,P104&lt;='Dashboard'!$B$5),IF(P104&gt;B104,"Accepted late","Accepted"),IF(B104&lt;'Dashboard'!$B$5,"Overdue",IF(I104="Blocked","Blocked",IF(B104='Dashboard'!$B$5,"Due today","Planned"))))</x:f>
        <x:v>Planned</x:v>
      </x:c>
      <x:c r="S104" s="26" t="str">
        <x:f>IF(I104="Accepted",IF(K104="","Add evidence",IF(O104="","Add reviewer",IF(P104="","Add accepted date",IF(AND(ISNUMBER(F104),COUNT(G104)=0),"Add actual quantity",IF(Q104=0,"Review target / date / dependencies","Complete"))))),IF(OR(I104="Blocked",I104="Deferred"),IF(L104="","Record blocker / reason",IF(M104="","Assign rescue owner",IF(N104="","Set recovery date","Recovery assigned"))),IF(B104&lt;'Dashboard'!$B$5,"Escalate and record recovery","Work to acceptance standard")))</x:f>
        <x:v>Work to acceptance standard</x:v>
      </x:c>
      <x:c r="T104" s="26" t="str">
        <x:v>T0067</x:v>
      </x:c>
      <x:c r="U104" s="26" t="str">
        <x:v>No-show task&lt;=10 min; form/source fields correct; finish critical CRM defect same day. Facebook mirrors exact approved post; Instagram requires permissioned image.</x:v>
      </x:c>
      <x:c r="V104" s="31" t="n">
        <x:v>2</x:v>
      </x:c>
      <x:c r="W104" s="26" t="str"/>
      <x:c r="X104" s="26" t="str">
        <x:v>DSI Reset PDF: lane responsibilities and dated runbook; dated allocation proposed for this tracker.</x:v>
      </x:c>
      <x:c r="Y104" s="30" t="n">
        <x:f>B104-WEEKDAY(B104,2)+1</x:f>
        <x:v>46328</x:v>
      </x:c>
      <x:c r="Z104" s="2" t="str">
        <x:v>checklist</x:v>
      </x:c>
      <x:c r="AA104" s="2" t="n">
        <x:f>IF(Q104=1,IF(P104&gt;B104,1,0),0)</x:f>
        <x:v>0</x:v>
      </x:c>
      <x:c r="AB104" s="2" t="n">
        <x:f>IF(AND(Q104=1,P104&lt;='Dashboard'!$B$5),0,MAX(0,'Dashboard'!$B$5-B104))</x:f>
        <x:v>0</x:v>
      </x:c>
      <x:c r="AC104" s="28" t="str"/>
      <x:c r="AD104" s="2" t="str">
        <x:f>IF(AND(ISNUMBER(F104),ISNUMBER(G104)),G104-F104,"")</x:f>
      </x:c>
      <x:c r="AE104" s="2" t="n">
        <x:f>IF(AND(I104="Accepted",K104&lt;&gt;"",O104&lt;&gt;"",ISNUMBER(P104),P104&gt;0,P104&lt;='Dashboard'!$B$5,IF(ISNUMBER(F104),ISNUMBER(G104),TRUE),IF(ISNUMBER(F104),G104&gt;=F104,TRUE)),1,0)</x:f>
        <x:v>0</x:v>
      </x:c>
    </x:row>
    <x:row r="105" ht="58" customHeight="1">
      <x:c r="A105" s="2" t="str">
        <x:v>T0093</x:v>
      </x:c>
      <x:c r="B105" s="30" t="n">
        <x:v>46330</x:v>
      </x:c>
      <x:c r="C105" s="2" t="str">
        <x:v>Brian</x:v>
      </x:c>
      <x:c r="D105" s="2" t="str">
        <x:v>Web and Tracking</x:v>
      </x:c>
      <x:c r="E105" s="26" t="str">
        <x:v>One health-check result; at most one weekly change ticket or no-ticket note</x:v>
      </x:c>
      <x:c r="F105" s="2" t="n">
        <x:v>1</x:v>
      </x:c>
      <x:c r="G105" s="20"/>
      <x:c r="H105" s="2" t="str">
        <x:v>accepted output</x:v>
      </x:c>
      <x:c r="I105" s="20" t="str">
        <x:v>Ready</x:v>
      </x:c>
      <x:c r="J105" s="2" t="str">
        <x:v>16:45</x:v>
      </x:c>
      <x:c r="K105" s="28" t="str"/>
      <x:c r="L105" s="28" t="str"/>
      <x:c r="M105" s="20" t="str"/>
      <x:c r="N105" s="33"/>
      <x:c r="O105" s="20" t="str"/>
      <x:c r="P105" s="33"/>
      <x:c r="Q105" s="2" t="n">
        <x:f>IF(AND(AE105=1,COUNTIFS($A$7:$A$500,"T0067",$AE$7:$AE$500,1)=1,COUNTIFS($A$7:$A$500,"T0055",$AE$7:$AE$500,1)=1),1,0)</x:f>
        <x:v>0</x:v>
      </x:c>
      <x:c r="R105" s="2" t="str">
        <x:f>IF(AND(Q105=1,P105&lt;='Dashboard'!$B$5),IF(P105&gt;B105,"Accepted late","Accepted"),IF(B105&lt;'Dashboard'!$B$5,"Overdue",IF(I105="Blocked","Blocked",IF(B105='Dashboard'!$B$5,"Due today","Planned"))))</x:f>
        <x:v>Planned</x:v>
      </x:c>
      <x:c r="S105" s="26" t="str">
        <x:f>IF(I105="Accepted",IF(K105="","Add evidence",IF(O105="","Add reviewer",IF(P105="","Add accepted date",IF(AND(ISNUMBER(F105),COUNT(G105)=0),"Add actual quantity",IF(Q105=0,"Review target / date / dependencies","Complete"))))),IF(OR(I105="Blocked",I105="Deferred"),IF(L105="","Record blocker / reason",IF(M105="","Assign rescue owner",IF(N105="","Set recovery date","Recovery assigned"))),IF(B105&lt;'Dashboard'!$B$5,"Escalate and record recovery","Work to acceptance standard")))</x:f>
        <x:v>Work to acceptance standard</x:v>
      </x:c>
      <x:c r="T105" s="26" t="str">
        <x:v>T0067</x:v>
      </x:c>
      <x:c r="U105" s="26" t="str">
        <x:v>Form to CQL&lt;1 min; approved copy unchanged; no work manufactured if healthy; ongoing reserve&lt;=2 h/week.</x:v>
      </x:c>
      <x:c r="V105" s="31" t="n">
        <x:v>0.4</x:v>
      </x:c>
      <x:c r="W105" s="26" t="str"/>
      <x:c r="X105" s="26" t="str">
        <x:v>DSI Reset PDF: lane responsibilities and dated runbook; dated allocation proposed for this tracker.</x:v>
      </x:c>
      <x:c r="Y105" s="30" t="n">
        <x:f>B105-WEEKDAY(B105,2)+1</x:f>
        <x:v>46328</x:v>
      </x:c>
      <x:c r="Z105" s="2" t="str">
        <x:v>checklist</x:v>
      </x:c>
      <x:c r="AA105" s="2" t="n">
        <x:f>IF(Q105=1,IF(P105&gt;B105,1,0),0)</x:f>
        <x:v>0</x:v>
      </x:c>
      <x:c r="AB105" s="2" t="n">
        <x:f>IF(AND(Q105=1,P105&lt;='Dashboard'!$B$5),0,MAX(0,'Dashboard'!$B$5-B105))</x:f>
        <x:v>0</x:v>
      </x:c>
      <x:c r="AC105" s="28" t="str"/>
      <x:c r="AD105" s="2" t="str">
        <x:f>IF(AND(ISNUMBER(F105),ISNUMBER(G105)),G105-F105,"")</x:f>
      </x:c>
      <x:c r="AE105" s="2" t="n">
        <x:f>IF(AND(I105="Accepted",K105&lt;&gt;"",O105&lt;&gt;"",ISNUMBER(P105),P105&gt;0,P105&lt;='Dashboard'!$B$5,IF(ISNUMBER(F105),ISNUMBER(G105),TRUE),IF(ISNUMBER(F105),G105&gt;=F105,TRUE)),1,0)</x:f>
        <x:v>0</x:v>
      </x:c>
    </x:row>
    <x:row r="106" ht="58" customHeight="1">
      <x:c r="A106" s="2" t="str">
        <x:v>T0094</x:v>
      </x:c>
      <x:c r="B106" s="30" t="n">
        <x:v>46330</x:v>
      </x:c>
      <x:c r="C106" s="2" t="str">
        <x:v>Dexter</x:v>
      </x:c>
      <x:c r="D106" s="2" t="str">
        <x:v>LinkedIn Execution</x:v>
      </x:c>
      <x:c r="E106" s="26" t="str">
        <x:v>CQL logged DMs/accepts; eligible requests; referred interested replies; approved post evidence Publish approved post SOC02 (Educate); capture the live URL.</x:v>
      </x:c>
      <x:c r="F106" s="2" t="n">
        <x:v>25</x:v>
      </x:c>
      <x:c r="G106" s="20"/>
      <x:c r="H106" s="2" t="str">
        <x:v>new request working target; eligible pool required</x:v>
      </x:c>
      <x:c r="I106" s="20" t="str">
        <x:v>Ready</x:v>
      </x:c>
      <x:c r="J106" s="2" t="str">
        <x:v>16:45</x:v>
      </x:c>
      <x:c r="K106" s="28" t="str"/>
      <x:c r="L106" s="28" t="str"/>
      <x:c r="M106" s="20" t="str"/>
      <x:c r="N106" s="33"/>
      <x:c r="O106" s="20" t="str"/>
      <x:c r="P106" s="33"/>
      <x:c r="Q106" s="2" t="n">
        <x:f>IF(AND(AE106=1,COUNTIFS($A$7:$A$500,"T0067",$AE$7:$AE$500,1)=1,COUNTIFS($A$7:$A$500,"T0055",$AE$7:$AE$500,1)=1),1,0)</x:f>
        <x:v>0</x:v>
      </x:c>
      <x:c r="R106" s="2" t="str">
        <x:f>IF(AND(Q106=1,P106&lt;='Dashboard'!$B$5),IF(P106&gt;B106,"Accepted late","Accepted"),IF(B106&lt;'Dashboard'!$B$5,"Overdue",IF(I106="Blocked","Blocked",IF(B106='Dashboard'!$B$5,"Due today","Planned"))))</x:f>
        <x:v>Planned</x:v>
      </x:c>
      <x:c r="S106" s="26" t="str">
        <x:f>IF(I106="Accepted",IF(K106="","Add evidence",IF(O106="","Add reviewer",IF(P106="","Add accepted date",IF(AND(ISNUMBER(F106),COUNT(G106)=0),"Add actual quantity",IF(Q106=0,"Review target / date / dependencies","Complete"))))),IF(OR(I106="Blocked",I106="Deferred"),IF(L106="","Record blocker / reason",IF(M106="","Assign rescue owner",IF(N106="","Set recovery date","Recovery assigned"))),IF(B106&lt;'Dashboard'!$B$5,"Escalate and record recovery","Work to acceptance standard")))</x:f>
        <x:v>Work to acceptance standard</x:v>
      </x:c>
      <x:c r="T106" s="26" t="str">
        <x:v>T0067</x:v>
      </x:c>
      <x:c r="U106"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06" s="31" t="n">
        <x:v>3</x:v>
      </x:c>
      <x:c r="W106" s="26" t="str"/>
      <x:c r="X106" s="26" t="str">
        <x:v>DSI Reset PDF: lane responsibilities and dated runbook; dated allocation proposed for this tracker.</x:v>
      </x:c>
      <x:c r="Y106" s="30" t="n">
        <x:f>B106-WEEKDAY(B106,2)+1</x:f>
        <x:v>46328</x:v>
      </x:c>
      <x:c r="Z106" s="2" t="str">
        <x:v>capacity</x:v>
      </x:c>
      <x:c r="AA106" s="2" t="n">
        <x:f>IF(Q106=1,IF(P106&gt;B106,1,0),0)</x:f>
        <x:v>0</x:v>
      </x:c>
      <x:c r="AB106" s="2" t="n">
        <x:f>IF(AND(Q106=1,P106&lt;='Dashboard'!$B$5),0,MAX(0,'Dashboard'!$B$5-B106))</x:f>
        <x:v>0</x:v>
      </x:c>
      <x:c r="AC106" s="28" t="str"/>
      <x:c r="AD106" s="2" t="str">
        <x:f>IF(AND(ISNUMBER(F106),ISNUMBER(G106)),G106-F106,"")</x:f>
      </x:c>
      <x:c r="AE106" s="2" t="n">
        <x:f>IF(AND(I106="Accepted",K106&lt;&gt;"",O106&lt;&gt;"",ISNUMBER(P106),P106&gt;0,P106&lt;='Dashboard'!$B$5,IF(ISNUMBER(F106),ISNUMBER(G106),TRUE),IF(ISNUMBER(F106),OR(G106&gt;=F106,AC106&lt;&gt;""),TRUE)),1,0)</x:f>
        <x:v>0</x:v>
      </x:c>
    </x:row>
    <x:row r="107" ht="58" customHeight="1">
      <x:c r="A107" s="2" t="str">
        <x:v>T0095</x:v>
      </x:c>
      <x:c r="B107" s="30" t="n">
        <x:v>46330</x:v>
      </x:c>
      <x:c r="C107" s="2" t="str">
        <x:v>Setter 1</x:v>
      </x:c>
      <x:c r="D107" s="2" t="str">
        <x:v>Reply and Phone Setter</x:v>
      </x:c>
      <x:c r="E107" s="26" t="str">
        <x:v>SLA/call outcome log; bookings and next steps; handoff to Nova</x:v>
      </x:c>
      <x:c r="F107" s="2" t="n">
        <x:v>50</x:v>
      </x:c>
      <x:c r="G107" s="20"/>
      <x:c r="H107" s="2" t="str">
        <x:v>dial working target; inbound SLA takes priority</x:v>
      </x:c>
      <x:c r="I107" s="20" t="str">
        <x:v>Ready</x:v>
      </x:c>
      <x:c r="J107" s="2" t="str">
        <x:v>16:45</x:v>
      </x:c>
      <x:c r="K107" s="28" t="str"/>
      <x:c r="L107" s="28" t="str"/>
      <x:c r="M107" s="20" t="str"/>
      <x:c r="N107" s="33"/>
      <x:c r="O107" s="20" t="str"/>
      <x:c r="P107" s="33"/>
      <x:c r="Q107" s="2" t="n">
        <x:f>IF(AND(AE107=1,COUNTIFS($A$7:$A$500,"T0013",$AE$7:$AE$500,1)=1,COUNTIFS($A$7:$A$500,"T0055",$AE$7:$AE$500,1)=1),1,0)</x:f>
        <x:v>0</x:v>
      </x:c>
      <x:c r="R107" s="2" t="str">
        <x:f>IF(AND(Q107=1,P107&lt;='Dashboard'!$B$5),IF(P107&gt;B107,"Accepted late","Accepted"),IF(B107&lt;'Dashboard'!$B$5,"Overdue",IF(I107="Blocked","Blocked",IF(B107='Dashboard'!$B$5,"Due today","Planned"))))</x:f>
        <x:v>Planned</x:v>
      </x:c>
      <x:c r="S107" s="26" t="str">
        <x:f>IF(I107="Accepted",IF(K107="","Add evidence",IF(O107="","Add reviewer",IF(P107="","Add accepted date",IF(AND(ISNUMBER(F107),COUNT(G107)=0),"Add actual quantity",IF(Q107=0,"Review target / date / dependencies","Complete"))))),IF(OR(I107="Blocked",I107="Deferred"),IF(L107="","Record blocker / reason",IF(M107="","Assign rescue owner",IF(N107="","Set recovery date","Recovery assigned"))),IF(B107&lt;'Dashboard'!$B$5,"Escalate and record recovery","Work to acceptance standard")))</x:f>
        <x:v>Work to acceptance standard</x:v>
      </x:c>
      <x:c r="T107" s="26" t="str">
        <x:v>T0013; T0055</x:v>
      </x:c>
      <x:c r="U10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07" s="31" t="n">
        <x:v>7.5</x:v>
      </x:c>
      <x:c r="W107" s="26" t="str"/>
      <x:c r="X107" s="26" t="str">
        <x:v>DSI Reset PDF: lane responsibilities and dated runbook; dated allocation proposed for this tracker.</x:v>
      </x:c>
      <x:c r="Y107" s="30" t="n">
        <x:f>B107-WEEKDAY(B107,2)+1</x:f>
        <x:v>46328</x:v>
      </x:c>
      <x:c r="Z107" s="2" t="str">
        <x:v>capacity</x:v>
      </x:c>
      <x:c r="AA107" s="2" t="n">
        <x:f>IF(Q107=1,IF(P107&gt;B107,1,0),0)</x:f>
        <x:v>0</x:v>
      </x:c>
      <x:c r="AB107" s="2" t="n">
        <x:f>IF(AND(Q107=1,P107&lt;='Dashboard'!$B$5),0,MAX(0,'Dashboard'!$B$5-B107))</x:f>
        <x:v>0</x:v>
      </x:c>
      <x:c r="AC107" s="28" t="str"/>
      <x:c r="AD107" s="2" t="str">
        <x:f>IF(AND(ISNUMBER(F107),ISNUMBER(G107)),G107-F107,"")</x:f>
      </x:c>
      <x:c r="AE107" s="2" t="n">
        <x:f>IF(AND(I107="Accepted",K107&lt;&gt;"",O107&lt;&gt;"",ISNUMBER(P107),P107&gt;0,P107&lt;='Dashboard'!$B$5,IF(ISNUMBER(F107),ISNUMBER(G107),TRUE),IF(ISNUMBER(F107),OR(G107&gt;=F107,AC107&lt;&gt;""),TRUE)),1,0)</x:f>
        <x:v>0</x:v>
      </x:c>
    </x:row>
    <x:row r="108" ht="58" customHeight="1">
      <x:c r="A108" s="2" t="str">
        <x:v>T0096</x:v>
      </x:c>
      <x:c r="B108" s="30" t="n">
        <x:v>46330</x:v>
      </x:c>
      <x:c r="C108" s="2" t="str">
        <x:v>Setter 2</x:v>
      </x:c>
      <x:c r="D108" s="2" t="str">
        <x:v>Reply and Phone Setter</x:v>
      </x:c>
      <x:c r="E108" s="26" t="str">
        <x:v>SLA/call outcome log; bookings and next steps; handoff to Nova</x:v>
      </x:c>
      <x:c r="F108" s="2" t="n">
        <x:v>50</x:v>
      </x:c>
      <x:c r="G108" s="20"/>
      <x:c r="H108" s="2" t="str">
        <x:v>dial working target; inbound SLA takes priority</x:v>
      </x:c>
      <x:c r="I108" s="20" t="str">
        <x:v>Ready</x:v>
      </x:c>
      <x:c r="J108" s="2" t="str">
        <x:v>16:45</x:v>
      </x:c>
      <x:c r="K108" s="28" t="str"/>
      <x:c r="L108" s="28" t="str"/>
      <x:c r="M108" s="20" t="str"/>
      <x:c r="N108" s="33"/>
      <x:c r="O108" s="20" t="str"/>
      <x:c r="P108" s="33"/>
      <x:c r="Q108" s="2" t="n">
        <x:f>IF(AND(AE108=1,COUNTIFS($A$7:$A$500,"T0013",$AE$7:$AE$500,1)=1,COUNTIFS($A$7:$A$500,"T0055",$AE$7:$AE$500,1)=1),1,0)</x:f>
        <x:v>0</x:v>
      </x:c>
      <x:c r="R108" s="2" t="str">
        <x:f>IF(AND(Q108=1,P108&lt;='Dashboard'!$B$5),IF(P108&gt;B108,"Accepted late","Accepted"),IF(B108&lt;'Dashboard'!$B$5,"Overdue",IF(I108="Blocked","Blocked",IF(B108='Dashboard'!$B$5,"Due today","Planned"))))</x:f>
        <x:v>Planned</x:v>
      </x:c>
      <x:c r="S108" s="26" t="str">
        <x:f>IF(I108="Accepted",IF(K108="","Add evidence",IF(O108="","Add reviewer",IF(P108="","Add accepted date",IF(AND(ISNUMBER(F108),COUNT(G108)=0),"Add actual quantity",IF(Q108=0,"Review target / date / dependencies","Complete"))))),IF(OR(I108="Blocked",I108="Deferred"),IF(L108="","Record blocker / reason",IF(M108="","Assign rescue owner",IF(N108="","Set recovery date","Recovery assigned"))),IF(B108&lt;'Dashboard'!$B$5,"Escalate and record recovery","Work to acceptance standard")))</x:f>
        <x:v>Work to acceptance standard</x:v>
      </x:c>
      <x:c r="T108" s="26" t="str">
        <x:v>T0013; T0055</x:v>
      </x:c>
      <x:c r="U10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08" s="31" t="n">
        <x:v>7.5</x:v>
      </x:c>
      <x:c r="W108" s="26" t="str"/>
      <x:c r="X108" s="26" t="str">
        <x:v>DSI Reset PDF: lane responsibilities and dated runbook; dated allocation proposed for this tracker.</x:v>
      </x:c>
      <x:c r="Y108" s="30" t="n">
        <x:f>B108-WEEKDAY(B108,2)+1</x:f>
        <x:v>46328</x:v>
      </x:c>
      <x:c r="Z108" s="2" t="str">
        <x:v>capacity</x:v>
      </x:c>
      <x:c r="AA108" s="2" t="n">
        <x:f>IF(Q108=1,IF(P108&gt;B108,1,0),0)</x:f>
        <x:v>0</x:v>
      </x:c>
      <x:c r="AB108" s="2" t="n">
        <x:f>IF(AND(Q108=1,P108&lt;='Dashboard'!$B$5),0,MAX(0,'Dashboard'!$B$5-B108))</x:f>
        <x:v>0</x:v>
      </x:c>
      <x:c r="AC108" s="28" t="str"/>
      <x:c r="AD108" s="2" t="str">
        <x:f>IF(AND(ISNUMBER(F108),ISNUMBER(G108)),G108-F108,"")</x:f>
      </x:c>
      <x:c r="AE108" s="2" t="n">
        <x:f>IF(AND(I108="Accepted",K108&lt;&gt;"",O108&lt;&gt;"",ISNUMBER(P108),P108&gt;0,P108&lt;='Dashboard'!$B$5,IF(ISNUMBER(F108),ISNUMBER(G108),TRUE),IF(ISNUMBER(F108),OR(G108&gt;=F108,AC108&lt;&gt;""),TRUE)),1,0)</x:f>
        <x:v>0</x:v>
      </x:c>
    </x:row>
    <x:row r="109" ht="58" customHeight="1">
      <x:c r="A109" s="2" t="str">
        <x:v>T0438</x:v>
      </x:c>
      <x:c r="B109" s="30" t="n">
        <x:v>46330</x:v>
      </x:c>
      <x:c r="C109" s="2" t="str">
        <x:v>Nic</x:v>
      </x:c>
      <x:c r="D109" s="2" t="str">
        <x:v>Client dependency</x:v>
      </x:c>
      <x:c r="E109" s="26" t="str">
        <x:v>Call outcome/next step for every appointment due; first-case decisions</x:v>
      </x:c>
      <x:c r="F109" s="2" t="str"/>
      <x:c r="G109" s="20"/>
      <x:c r="H109" s="2" t="str">
        <x:v>all due appointments</x:v>
      </x:c>
      <x:c r="I109" s="20" t="str">
        <x:v>Ready</x:v>
      </x:c>
      <x:c r="J109" s="2" t="str">
        <x:v>16:45</x:v>
      </x:c>
      <x:c r="K109" s="28" t="str"/>
      <x:c r="L109" s="28" t="str"/>
      <x:c r="M109" s="20" t="str"/>
      <x:c r="N109" s="33"/>
      <x:c r="O109" s="20" t="str"/>
      <x:c r="P109" s="33"/>
      <x:c r="Q109" s="2" t="n">
        <x:f>IF(AND(AE109=1,COUNTIFS($A$7:$A$500,"T0028",$AE$7:$AE$500,1)=1),1,0)</x:f>
        <x:v>0</x:v>
      </x:c>
      <x:c r="R109" s="2" t="str">
        <x:f>IF(AND(Q109=1,P109&lt;='Dashboard'!$B$5),IF(P109&gt;B109,"Accepted late","Accepted"),IF(B109&lt;'Dashboard'!$B$5,"Overdue",IF(I109="Blocked","Blocked",IF(B109='Dashboard'!$B$5,"Due today","Planned"))))</x:f>
        <x:v>Planned</x:v>
      </x:c>
      <x:c r="S109" s="26" t="str">
        <x:f>IF(I109="Accepted",IF(K109="","Add evidence",IF(O109="","Add reviewer",IF(P109="","Add accepted date",IF(AND(ISNUMBER(F109),COUNT(G109)=0),"Add actual quantity",IF(Q109=0,"Review target / date / dependencies","Complete"))))),IF(OR(I109="Blocked",I109="Deferred"),IF(L109="","Record blocker / reason",IF(M109="","Assign rescue owner",IF(N109="","Set recovery date","Recovery assigned"))),IF(B109&lt;'Dashboard'!$B$5,"Escalate and record recovery","Work to acceptance standard")))</x:f>
        <x:v>Work to acceptance standard</x:v>
      </x:c>
      <x:c r="T109" s="26" t="str">
        <x:v>T0028</x:v>
      </x:c>
      <x:c r="U109" s="26" t="str">
        <x:v>Demand-linked: work actual approved calendar; setter brief present; outcome logged same day. No calls scheduled is N/A with calendar evidence.</x:v>
      </x:c>
      <x:c r="V109" s="31" t="n">
        <x:v>0.5</x:v>
      </x:c>
      <x:c r="W109" s="26" t="str"/>
      <x:c r="X109" s="26" t="str">
        <x:v>DSI Reset PDF: lane responsibilities and dated runbook; dated allocation proposed for this tracker.</x:v>
      </x:c>
      <x:c r="Y109" s="30" t="n">
        <x:f>B109-WEEKDAY(B109,2)+1</x:f>
        <x:v>46328</x:v>
      </x:c>
      <x:c r="Z109" s="2" t="str">
        <x:v>demand</x:v>
      </x:c>
      <x:c r="AA109" s="2" t="n">
        <x:f>IF(Q109=1,IF(P109&gt;B109,1,0),0)</x:f>
        <x:v>0</x:v>
      </x:c>
      <x:c r="AB109" s="2" t="n">
        <x:f>IF(AND(Q109=1,P109&lt;='Dashboard'!$B$5),0,MAX(0,'Dashboard'!$B$5-B109))</x:f>
        <x:v>0</x:v>
      </x:c>
      <x:c r="AC109" s="28" t="str"/>
      <x:c r="AD109" s="2" t="str">
        <x:f>IF(AND(ISNUMBER(F109),ISNUMBER(G109)),G109-F109,"")</x:f>
      </x:c>
      <x:c r="AE109" s="2" t="n">
        <x:f>IF(AND(I109="Accepted",K109&lt;&gt;"",O109&lt;&gt;"",ISNUMBER(P109),P109&gt;0,P109&lt;='Dashboard'!$B$5,IF(ISNUMBER(F109),ISNUMBER(G109),TRUE)),1,0)</x:f>
        <x:v>0</x:v>
      </x:c>
    </x:row>
    <x:row r="110" ht="58" customHeight="1">
      <x:c r="A110" s="2" t="str">
        <x:v>T0439</x:v>
      </x:c>
      <x:c r="B110" s="30" t="n">
        <x:v>46330</x:v>
      </x:c>
      <x:c r="C110" s="2" t="str">
        <x:v>Maseeha</x:v>
      </x:c>
      <x:c r="D110" s="2" t="str">
        <x:v>Client dependency</x:v>
      </x:c>
      <x:c r="E110" s="26" t="str">
        <x:v>Due intro verification; kit/case handoff; delivery/Day-30 dates; credit trigger log. Planned asks today: 2 unique existing accounts; cumulative 11.</x:v>
      </x:c>
      <x:c r="F110" s="2" t="str"/>
      <x:c r="G110" s="20"/>
      <x:c r="H110" s="2" t="str">
        <x:v>all due cases</x:v>
      </x:c>
      <x:c r="I110" s="20" t="str">
        <x:v>Ready</x:v>
      </x:c>
      <x:c r="J110" s="2" t="str">
        <x:v>16:45</x:v>
      </x:c>
      <x:c r="K110" s="28" t="str"/>
      <x:c r="L110" s="28" t="str"/>
      <x:c r="M110" s="20" t="str"/>
      <x:c r="N110" s="33"/>
      <x:c r="O110" s="20" t="str"/>
      <x:c r="P110" s="33"/>
      <x:c r="Q110" s="2" t="n">
        <x:f>IF(AND(AE110=1,COUNTIFS($A$7:$A$500,"T0028",$AE$7:$AE$500,1)=1),1,0)</x:f>
        <x:v>0</x:v>
      </x:c>
      <x:c r="R110" s="2" t="str">
        <x:f>IF(AND(Q110=1,P110&lt;='Dashboard'!$B$5),IF(P110&gt;B110,"Accepted late","Accepted"),IF(B110&lt;'Dashboard'!$B$5,"Overdue",IF(I110="Blocked","Blocked",IF(B110='Dashboard'!$B$5,"Due today","Planned"))))</x:f>
        <x:v>Planned</x:v>
      </x:c>
      <x:c r="S110" s="26" t="str">
        <x:f>IF(I110="Accepted",IF(K110="","Add evidence",IF(O110="","Add reviewer",IF(P110="","Add accepted date",IF(AND(ISNUMBER(F110),COUNT(G110)=0),"Add actual quantity",IF(Q110=0,"Review target / date / dependencies","Complete"))))),IF(OR(I110="Blocked",I110="Deferred"),IF(L110="","Record blocker / reason",IF(M110="","Assign rescue owner",IF(N110="","Set recovery date","Recovery assigned"))),IF(B110&lt;'Dashboard'!$B$5,"Escalate and record recovery","Work to acceptance standard")))</x:f>
        <x:v>Work to acceptance standard</x:v>
      </x:c>
      <x:c r="T110" s="26" t="str">
        <x:v>T0028</x:v>
      </x:c>
      <x:c r="U110" s="26" t="str">
        <x:v>Demand-linked: referral verification&lt;=2 business days; trial capacity respected; $200 credit only on eligible invoice paid.</x:v>
      </x:c>
      <x:c r="V110" s="31" t="n">
        <x:v>0.5</x:v>
      </x:c>
      <x:c r="W110" s="26" t="str"/>
      <x:c r="X110" s="26" t="str">
        <x:v>DSI Reset PDF: lane responsibilities and dated runbook; dated allocation proposed for this tracker.</x:v>
      </x:c>
      <x:c r="Y110" s="30" t="n">
        <x:f>B110-WEEKDAY(B110,2)+1</x:f>
        <x:v>46328</x:v>
      </x:c>
      <x:c r="Z110" s="2" t="str">
        <x:v>demand</x:v>
      </x:c>
      <x:c r="AA110" s="2" t="n">
        <x:f>IF(Q110=1,IF(P110&gt;B110,1,0),0)</x:f>
        <x:v>0</x:v>
      </x:c>
      <x:c r="AB110" s="2" t="n">
        <x:f>IF(AND(Q110=1,P110&lt;='Dashboard'!$B$5),0,MAX(0,'Dashboard'!$B$5-B110))</x:f>
        <x:v>0</x:v>
      </x:c>
      <x:c r="AC110" s="28" t="str"/>
      <x:c r="AD110" s="2" t="str">
        <x:f>IF(AND(ISNUMBER(F110),ISNUMBER(G110)),G110-F110,"")</x:f>
      </x:c>
      <x:c r="AE110" s="2" t="n">
        <x:f>IF(AND(I110="Accepted",K110&lt;&gt;"",O110&lt;&gt;"",ISNUMBER(P110),P110&gt;0,P110&lt;='Dashboard'!$B$5,IF(ISNUMBER(F110),ISNUMBER(G110),TRUE)),1,0)</x:f>
        <x:v>0</x:v>
      </x:c>
    </x:row>
    <x:row r="111" ht="58" customHeight="1">
      <x:c r="A111" s="2" t="str">
        <x:v>T0097</x:v>
      </x:c>
      <x:c r="B111" s="30" t="n">
        <x:v>46331</x:v>
      </x:c>
      <x:c r="C111" s="2" t="str">
        <x:v>Wyline</x:v>
      </x:c>
      <x:c r="D111" s="2" t="str">
        <x:v>Program Director</x:v>
      </x:c>
      <x:c r="E111" s="26" t="str">
        <x:v>Accepted-output register; actual-vs-target dashboard; blocker/rescue assignments</x:v>
      </x:c>
      <x:c r="F111" s="2" t="n">
        <x:v>1</x:v>
      </x:c>
      <x:c r="G111" s="20"/>
      <x:c r="H111" s="2" t="str">
        <x:v>accepted output</x:v>
      </x:c>
      <x:c r="I111" s="20" t="str">
        <x:v>Ready</x:v>
      </x:c>
      <x:c r="J111" s="2" t="str">
        <x:v>16:45</x:v>
      </x:c>
      <x:c r="K111" s="28" t="str"/>
      <x:c r="L111" s="28" t="str"/>
      <x:c r="M111" s="20" t="str"/>
      <x:c r="N111" s="33"/>
      <x:c r="O111" s="20" t="str"/>
      <x:c r="P111" s="33"/>
      <x:c r="Q111" s="2" t="n">
        <x:f>IF(AND(AE111=1,COUNTIFS($A$7:$A$500,"T0067",$AE$7:$AE$500,1)=1,COUNTIFS($A$7:$A$500,"T0055",$AE$7:$AE$500,1)=1),1,0)</x:f>
        <x:v>0</x:v>
      </x:c>
      <x:c r="R111" s="2" t="str">
        <x:f>IF(AND(Q111=1,P111&lt;='Dashboard'!$B$5),IF(P111&gt;B111,"Accepted late","Accepted"),IF(B111&lt;'Dashboard'!$B$5,"Overdue",IF(I111="Blocked","Blocked",IF(B111='Dashboard'!$B$5,"Due today","Planned"))))</x:f>
        <x:v>Planned</x:v>
      </x:c>
      <x:c r="S111" s="26" t="str">
        <x:f>IF(I111="Accepted",IF(K111="","Add evidence",IF(O111="","Add reviewer",IF(P111="","Add accepted date",IF(AND(ISNUMBER(F111),COUNT(G111)=0),"Add actual quantity",IF(Q111=0,"Review target / date / dependencies","Complete"))))),IF(OR(I111="Blocked",I111="Deferred"),IF(L111="","Record blocker / reason",IF(M111="","Assign rescue owner",IF(N111="","Set recovery date","Recovery assigned"))),IF(B111&lt;'Dashboard'!$B$5,"Escalate and record recovery","Work to acceptance standard")))</x:f>
        <x:v>Work to acceptance standard</x:v>
      </x:c>
      <x:c r="T111" s="26" t="str">
        <x:v>T0067</x:v>
      </x:c>
      <x:c r="U111" s="26" t="str">
        <x:v>09:00 standup; 13:00/16:30 recovery checks; 17:00 acceptance. Every overdue task keeps original date and named recovery owner.</x:v>
      </x:c>
      <x:c r="V111" s="31" t="n">
        <x:v>3</x:v>
      </x:c>
      <x:c r="W111" s="26" t="str"/>
      <x:c r="X111" s="26" t="str">
        <x:v>DSI Reset PDF: lane responsibilities and dated runbook; dated allocation proposed for this tracker.</x:v>
      </x:c>
      <x:c r="Y111" s="30" t="n">
        <x:f>B111-WEEKDAY(B111,2)+1</x:f>
        <x:v>46328</x:v>
      </x:c>
      <x:c r="Z111" s="2" t="str">
        <x:v>checklist</x:v>
      </x:c>
      <x:c r="AA111" s="2" t="n">
        <x:f>IF(Q111=1,IF(P111&gt;B111,1,0),0)</x:f>
        <x:v>0</x:v>
      </x:c>
      <x:c r="AB111" s="2" t="n">
        <x:f>IF(AND(Q111=1,P111&lt;='Dashboard'!$B$5),0,MAX(0,'Dashboard'!$B$5-B111))</x:f>
        <x:v>0</x:v>
      </x:c>
      <x:c r="AC111" s="28" t="str"/>
      <x:c r="AD111" s="2" t="str">
        <x:f>IF(AND(ISNUMBER(F111),ISNUMBER(G111)),G111-F111,"")</x:f>
      </x:c>
      <x:c r="AE111" s="2" t="n">
        <x:f>IF(AND(I111="Accepted",K111&lt;&gt;"",O111&lt;&gt;"",ISNUMBER(P111),P111&gt;0,P111&lt;='Dashboard'!$B$5,IF(ISNUMBER(F111),ISNUMBER(G111),TRUE),IF(ISNUMBER(F111),G111&gt;=F111,TRUE)),1,0)</x:f>
        <x:v>0</x:v>
      </x:c>
    </x:row>
    <x:row r="112" ht="58" customHeight="1">
      <x:c r="A112" s="2" t="str">
        <x:v>T0098</x:v>
      </x:c>
      <x:c r="B112" s="30" t="n">
        <x:v>46331</x:v>
      </x:c>
      <x:c r="C112" s="2" t="str">
        <x:v>Kenneth</x:v>
      </x:c>
      <x:c r="D112" s="2" t="str">
        <x:v>Message Orchestrator</x:v>
      </x:c>
      <x:c r="E112" s="26" t="str">
        <x:v>Approved proof block and permission evidence</x:v>
      </x:c>
      <x:c r="F112" s="2" t="n">
        <x:v>1</x:v>
      </x:c>
      <x:c r="G112" s="20"/>
      <x:c r="H112" s="2" t="str">
        <x:v>accepted output</x:v>
      </x:c>
      <x:c r="I112" s="20" t="str">
        <x:v>Ready</x:v>
      </x:c>
      <x:c r="J112" s="2" t="str">
        <x:v>16:45</x:v>
      </x:c>
      <x:c r="K112" s="28" t="str"/>
      <x:c r="L112" s="28" t="str"/>
      <x:c r="M112" s="20" t="str"/>
      <x:c r="N112" s="33"/>
      <x:c r="O112" s="20" t="str"/>
      <x:c r="P112" s="33"/>
      <x:c r="Q112" s="2" t="n">
        <x:f>IF(AND(AE112=1,COUNTIFS($A$7:$A$500,"T0067",$AE$7:$AE$500,1)=1,COUNTIFS($A$7:$A$500,"T0055",$AE$7:$AE$500,1)=1),1,0)</x:f>
        <x:v>0</x:v>
      </x:c>
      <x:c r="R112" s="2" t="str">
        <x:f>IF(AND(Q112=1,P112&lt;='Dashboard'!$B$5),IF(P112&gt;B112,"Accepted late","Accepted"),IF(B112&lt;'Dashboard'!$B$5,"Overdue",IF(I112="Blocked","Blocked",IF(B112='Dashboard'!$B$5,"Due today","Planned"))))</x:f>
        <x:v>Planned</x:v>
      </x:c>
      <x:c r="S112" s="26" t="str">
        <x:f>IF(I112="Accepted",IF(K112="","Add evidence",IF(O112="","Add reviewer",IF(P112="","Add accepted date",IF(AND(ISNUMBER(F112),COUNT(G112)=0),"Add actual quantity",IF(Q112=0,"Review target / date / dependencies","Complete"))))),IF(OR(I112="Blocked",I112="Deferred"),IF(L112="","Record blocker / reason",IF(M112="","Assign rescue owner",IF(N112="","Set recovery date","Recovery assigned"))),IF(B112&lt;'Dashboard'!$B$5,"Escalate and record recovery","Work to acceptance standard")))</x:f>
        <x:v>Work to acceptance standard</x:v>
      </x:c>
      <x:c r="T112" s="26" t="str">
        <x:v>T0067</x:v>
      </x:c>
      <x:c r="U112" s="26" t="str">
        <x:v>Missing proof holds email 2; no made-up result/turnaround.</x:v>
      </x:c>
      <x:c r="V112" s="31" t="n">
        <x:v>2.4</x:v>
      </x:c>
      <x:c r="W112" s="26" t="str"/>
      <x:c r="X112" s="26" t="str">
        <x:v>DSI Reset PDF: lane responsibilities and dated runbook; dated allocation proposed for this tracker.</x:v>
      </x:c>
      <x:c r="Y112" s="30" t="n">
        <x:f>B112-WEEKDAY(B112,2)+1</x:f>
        <x:v>46328</x:v>
      </x:c>
      <x:c r="Z112" s="2" t="str">
        <x:v>checklist</x:v>
      </x:c>
      <x:c r="AA112" s="2" t="n">
        <x:f>IF(Q112=1,IF(P112&gt;B112,1,0),0)</x:f>
        <x:v>0</x:v>
      </x:c>
      <x:c r="AB112" s="2" t="n">
        <x:f>IF(AND(Q112=1,P112&lt;='Dashboard'!$B$5),0,MAX(0,'Dashboard'!$B$5-B112))</x:f>
        <x:v>0</x:v>
      </x:c>
      <x:c r="AC112" s="28" t="str"/>
      <x:c r="AD112" s="2" t="str">
        <x:f>IF(AND(ISNUMBER(F112),ISNUMBER(G112)),G112-F112,"")</x:f>
      </x:c>
      <x:c r="AE112" s="2" t="n">
        <x:f>IF(AND(I112="Accepted",K112&lt;&gt;"",O112&lt;&gt;"",ISNUMBER(P112),P112&gt;0,P112&lt;='Dashboard'!$B$5,IF(ISNUMBER(F112),ISNUMBER(G112),TRUE),IF(ISNUMBER(F112),G112&gt;=F112,TRUE)),1,0)</x:f>
        <x:v>0</x:v>
      </x:c>
    </x:row>
    <x:row r="113" ht="58" customHeight="1">
      <x:c r="A113" s="2" t="str">
        <x:v>T0099</x:v>
      </x:c>
      <x:c r="B113" s="30" t="n">
        <x:v>46331</x:v>
      </x:c>
      <x:c r="C113" s="2" t="str">
        <x:v>Joey</x:v>
      </x:c>
      <x:c r="D113" s="2" t="str">
        <x:v>Data Orchestrator</x:v>
      </x:c>
      <x:c r="E113" s="26" t="str">
        <x:v>Mailbox/bounce/suppression log; ready verified records; due-follow up versus new-send capacity plan. Planned list output today: 50 new verified contacts; cumulative ready pool 450.</x:v>
      </x:c>
      <x:c r="F113" s="2" t="n">
        <x:v>50</x:v>
      </x:c>
      <x:c r="G113" s="20"/>
      <x:c r="H113" s="2" t="str">
        <x:v>new verified contacts; proposed daily pace</x:v>
      </x:c>
      <x:c r="I113" s="20" t="str">
        <x:v>Ready</x:v>
      </x:c>
      <x:c r="J113" s="2" t="str">
        <x:v>16:45</x:v>
      </x:c>
      <x:c r="K113" s="28" t="str"/>
      <x:c r="L113" s="28" t="str"/>
      <x:c r="M113" s="20" t="str"/>
      <x:c r="N113" s="33"/>
      <x:c r="O113" s="20" t="str"/>
      <x:c r="P113" s="33"/>
      <x:c r="Q113" s="2" t="n">
        <x:f>IF(AND(AE113=1,COUNTIFS($A$7:$A$500,"T0067",$AE$7:$AE$500,1)=1,COUNTIFS($A$7:$A$500,"T0055",$AE$7:$AE$500,1)=1),1,0)</x:f>
        <x:v>0</x:v>
      </x:c>
      <x:c r="R113" s="2" t="str">
        <x:f>IF(AND(Q113=1,P113&lt;='Dashboard'!$B$5),IF(P113&gt;B113,"Accepted late","Accepted"),IF(B113&lt;'Dashboard'!$B$5,"Overdue",IF(I113="Blocked","Blocked",IF(B113='Dashboard'!$B$5,"Due today","Planned"))))</x:f>
        <x:v>Planned</x:v>
      </x:c>
      <x:c r="S113" s="26" t="str">
        <x:f>IF(I113="Accepted",IF(K113="","Add evidence",IF(O113="","Add reviewer",IF(P113="","Add accepted date",IF(AND(ISNUMBER(F113),COUNT(G113)=0),"Add actual quantity",IF(Q113=0,"Review target / date / dependencies","Complete"))))),IF(OR(I113="Blocked",I113="Deferred"),IF(L113="","Record blocker / reason",IF(M113="","Assign rescue owner",IF(N113="","Set recovery date","Recovery assigned"))),IF(B113&lt;'Dashboard'!$B$5,"Escalate and record recovery","Work to acceptance standard")))</x:f>
        <x:v>Work to acceptance standard</x:v>
      </x:c>
      <x:c r="T113" s="26" t="str">
        <x:v>T0067</x:v>
      </x:c>
      <x:c r="U113" s="26" t="str">
        <x:v>Planning pool addition 50 contacts today; quality gate wins over quota. Total sends&lt;=150/day;&gt;3% bounce affected mailbox held. No new cold enrollments on reduced/buffer days.</x:v>
      </x:c>
      <x:c r="V113" s="31" t="n">
        <x:v>3</x:v>
      </x:c>
      <x:c r="W113" s="26" t="str"/>
      <x:c r="X113" s="26" t="str">
        <x:v>DSI Reset PDF: lane responsibilities and dated runbook; dated allocation proposed for this tracker.</x:v>
      </x:c>
      <x:c r="Y113" s="30" t="n">
        <x:f>B113-WEEKDAY(B113,2)+1</x:f>
        <x:v>46328</x:v>
      </x:c>
      <x:c r="Z113" s="2" t="str">
        <x:v>goal</x:v>
      </x:c>
      <x:c r="AA113" s="2" t="n">
        <x:f>IF(Q113=1,IF(P113&gt;B113,1,0),0)</x:f>
        <x:v>0</x:v>
      </x:c>
      <x:c r="AB113" s="2" t="n">
        <x:f>IF(AND(Q113=1,P113&lt;='Dashboard'!$B$5),0,MAX(0,'Dashboard'!$B$5-B113))</x:f>
        <x:v>0</x:v>
      </x:c>
      <x:c r="AC113" s="28" t="str"/>
      <x:c r="AD113" s="2" t="str">
        <x:f>IF(AND(ISNUMBER(F113),ISNUMBER(G113)),G113-F113,"")</x:f>
      </x:c>
      <x:c r="AE113" s="2" t="n">
        <x:f>IF(AND(I113="Accepted",K113&lt;&gt;"",O113&lt;&gt;"",ISNUMBER(P113),P113&gt;0,P113&lt;='Dashboard'!$B$5,IF(ISNUMBER(F113),ISNUMBER(G113),TRUE),IF(ISNUMBER(F113),G113&gt;=F113,TRUE)),1,0)</x:f>
        <x:v>0</x:v>
      </x:c>
    </x:row>
    <x:row r="114" ht="58" customHeight="1">
      <x:c r="A114" s="2" t="str">
        <x:v>T0100</x:v>
      </x:c>
      <x:c r="B114" s="30" t="n">
        <x:v>46331</x:v>
      </x:c>
      <x:c r="C114" s="2" t="str">
        <x:v>Nova</x:v>
      </x:c>
      <x:c r="D114" s="2" t="str">
        <x:v>Conversion Orchestrator</x:v>
      </x:c>
      <x:c r="E114" s="26" t="str">
        <x:v>Coverage/SLA evidence; 2 call reviews; booked/held updates; next-step and trial handoffs. Log each unique qualified inquiry with practice type, decision-maker access, case volume, service need and readiness timing.</x:v>
      </x:c>
      <x:c r="F114" s="2" t="n">
        <x:v>1</x:v>
      </x:c>
      <x:c r="G114" s="20"/>
      <x:c r="H114" s="2" t="str">
        <x:v>accepted output</x:v>
      </x:c>
      <x:c r="I114" s="20" t="str">
        <x:v>Ready</x:v>
      </x:c>
      <x:c r="J114" s="2" t="str">
        <x:v>16:45</x:v>
      </x:c>
      <x:c r="K114" s="28" t="str"/>
      <x:c r="L114" s="28" t="str"/>
      <x:c r="M114" s="20" t="str"/>
      <x:c r="N114" s="33"/>
      <x:c r="O114" s="20" t="str"/>
      <x:c r="P114" s="33"/>
      <x:c r="Q114" s="2" t="n">
        <x:f>IF(AND(AE114=1,COUNTIFS($A$7:$A$500,"T0067",$AE$7:$AE$500,1)=1,COUNTIFS($A$7:$A$500,"T0055",$AE$7:$AE$500,1)=1),1,0)</x:f>
        <x:v>0</x:v>
      </x:c>
      <x:c r="R114" s="2" t="str">
        <x:f>IF(AND(Q114=1,P114&lt;='Dashboard'!$B$5),IF(P114&gt;B114,"Accepted late","Accepted"),IF(B114&lt;'Dashboard'!$B$5,"Overdue",IF(I114="Blocked","Blocked",IF(B114='Dashboard'!$B$5,"Due today","Planned"))))</x:f>
        <x:v>Planned</x:v>
      </x:c>
      <x:c r="S114" s="26" t="str">
        <x:f>IF(I114="Accepted",IF(K114="","Add evidence",IF(O114="","Add reviewer",IF(P114="","Add accepted date",IF(AND(ISNUMBER(F114),COUNT(G114)=0),"Add actual quantity",IF(Q114=0,"Review target / date / dependencies","Complete"))))),IF(OR(I114="Blocked",I114="Deferred"),IF(L114="","Record blocker / reason",IF(M114="","Assign rescue owner",IF(N114="","Set recovery date","Recovery assigned"))),IF(B114&lt;'Dashboard'!$B$5,"Escalate and record recovery","Work to acceptance standard")))</x:f>
        <x:v>Work to acceptance standard</x:v>
      </x:c>
      <x:c r="T114" s="26" t="str">
        <x:v>T0067</x:v>
      </x:c>
      <x:c r="U114" s="26" t="str">
        <x:v>Every eligible reply&lt;=15 min; positive call&lt;=60 min; no opportunity without next step; booked brief to Nic; trial logistics to Maseeha. Raw contacts, opens and accepts never count as qualified inquiries; deduplicate across channels.</x:v>
      </x:c>
      <x:c r="V114" s="31" t="n">
        <x:v>4</x:v>
      </x:c>
      <x:c r="W114" s="26" t="str"/>
      <x:c r="X114" s="26" t="str">
        <x:v>DSI Reset PDF: lane responsibilities and dated runbook; dated allocation proposed for this tracker.</x:v>
      </x:c>
      <x:c r="Y114" s="30" t="n">
        <x:f>B114-WEEKDAY(B114,2)+1</x:f>
        <x:v>46328</x:v>
      </x:c>
      <x:c r="Z114" s="2" t="str">
        <x:v>checklist</x:v>
      </x:c>
      <x:c r="AA114" s="2" t="n">
        <x:f>IF(Q114=1,IF(P114&gt;B114,1,0),0)</x:f>
        <x:v>0</x:v>
      </x:c>
      <x:c r="AB114" s="2" t="n">
        <x:f>IF(AND(Q114=1,P114&lt;='Dashboard'!$B$5),0,MAX(0,'Dashboard'!$B$5-B114))</x:f>
        <x:v>0</x:v>
      </x:c>
      <x:c r="AC114" s="28" t="str"/>
      <x:c r="AD114" s="2" t="str">
        <x:f>IF(AND(ISNUMBER(F114),ISNUMBER(G114)),G114-F114,"")</x:f>
      </x:c>
      <x:c r="AE114" s="2" t="n">
        <x:f>IF(AND(I114="Accepted",K114&lt;&gt;"",O114&lt;&gt;"",ISNUMBER(P114),P114&gt;0,P114&lt;='Dashboard'!$B$5,IF(ISNUMBER(F114),ISNUMBER(G114),TRUE),IF(ISNUMBER(F114),G114&gt;=F114,TRUE)),1,0)</x:f>
        <x:v>0</x:v>
      </x:c>
    </x:row>
    <x:row r="115" ht="58" customHeight="1">
      <x:c r="A115" s="2" t="str">
        <x:v>T0101</x:v>
      </x:c>
      <x:c r="B115" s="30" t="n">
        <x:v>46331</x:v>
      </x:c>
      <x:c r="C115" s="2" t="str">
        <x:v>Emman</x:v>
      </x:c>
      <x:c r="D115" s="2" t="str">
        <x:v>AI Build Orchestrator</x:v>
      </x:c>
      <x:c r="E115" s="26" t="str">
        <x:v>Health/retry log; one acceptance-backed build increment; updated change log</x:v>
      </x:c>
      <x:c r="F115" s="2" t="n">
        <x:v>1</x:v>
      </x:c>
      <x:c r="G115" s="20"/>
      <x:c r="H115" s="2" t="str">
        <x:v>accepted output</x:v>
      </x:c>
      <x:c r="I115" s="20" t="str">
        <x:v>Ready</x:v>
      </x:c>
      <x:c r="J115" s="2" t="str">
        <x:v>16:45</x:v>
      </x:c>
      <x:c r="K115" s="28" t="str"/>
      <x:c r="L115" s="28" t="str"/>
      <x:c r="M115" s="20" t="str"/>
      <x:c r="N115" s="33"/>
      <x:c r="O115" s="20" t="str"/>
      <x:c r="P115" s="33"/>
      <x:c r="Q115" s="2" t="n">
        <x:f>IF(AND(AE115=1,COUNTIFS($A$7:$A$500,"T0067",$AE$7:$AE$500,1)=1,COUNTIFS($A$7:$A$500,"T0055",$AE$7:$AE$500,1)=1),1,0)</x:f>
        <x:v>0</x:v>
      </x:c>
      <x:c r="R115" s="2" t="str">
        <x:f>IF(AND(Q115=1,P115&lt;='Dashboard'!$B$5),IF(P115&gt;B115,"Accepted late","Accepted"),IF(B115&lt;'Dashboard'!$B$5,"Overdue",IF(I115="Blocked","Blocked",IF(B115='Dashboard'!$B$5,"Due today","Planned"))))</x:f>
        <x:v>Planned</x:v>
      </x:c>
      <x:c r="S115" s="26" t="str">
        <x:f>IF(I115="Accepted",IF(K115="","Add evidence",IF(O115="","Add reviewer",IF(P115="","Add accepted date",IF(AND(ISNUMBER(F115),COUNT(G115)=0),"Add actual quantity",IF(Q115=0,"Review target / date / dependencies","Complete"))))),IF(OR(I115="Blocked",I115="Deferred"),IF(L115="","Record blocker / reason",IF(M115="","Assign rescue owner",IF(N115="","Set recovery date","Recovery assigned"))),IF(B115&lt;'Dashboard'!$B$5,"Escalate and record recovery","Work to acceptance standard")))</x:f>
        <x:v>Work to acceptance standard</x:v>
      </x:c>
      <x:c r="T115" s="26" t="str">
        <x:v>T0067</x:v>
      </x:c>
      <x:c r="U115" s="26" t="str">
        <x:v>Fix a failing live agent beforestarting the next build. If an agent is still not working 48 hours after its due date, activate the manual SOP. Roll back a live failure within 1 hour. Release build reserve when no approved work remains.</x:v>
      </x:c>
      <x:c r="V115" s="31" t="n">
        <x:v>4</x:v>
      </x:c>
      <x:c r="W115" s="26" t="str"/>
      <x:c r="X115" s="26" t="str">
        <x:v>DSI Reset PDF: lane responsibilities and dated runbook; dated allocation proposed for this tracker.</x:v>
      </x:c>
      <x:c r="Y115" s="30" t="n">
        <x:f>B115-WEEKDAY(B115,2)+1</x:f>
        <x:v>46328</x:v>
      </x:c>
      <x:c r="Z115" s="2" t="str">
        <x:v>checklist</x:v>
      </x:c>
      <x:c r="AA115" s="2" t="n">
        <x:f>IF(Q115=1,IF(P115&gt;B115,1,0),0)</x:f>
        <x:v>0</x:v>
      </x:c>
      <x:c r="AB115" s="2" t="n">
        <x:f>IF(AND(Q115=1,P115&lt;='Dashboard'!$B$5),0,MAX(0,'Dashboard'!$B$5-B115))</x:f>
        <x:v>0</x:v>
      </x:c>
      <x:c r="AC115" s="28" t="str"/>
      <x:c r="AD115" s="2" t="str">
        <x:f>IF(AND(ISNUMBER(F115),ISNUMBER(G115)),G115-F115,"")</x:f>
      </x:c>
      <x:c r="AE115" s="2" t="n">
        <x:f>IF(AND(I115="Accepted",K115&lt;&gt;"",O115&lt;&gt;"",ISNUMBER(P115),P115&gt;0,P115&lt;='Dashboard'!$B$5,IF(ISNUMBER(F115),ISNUMBER(G115),TRUE),IF(ISNUMBER(F115),G115&gt;=F115,TRUE)),1,0)</x:f>
        <x:v>0</x:v>
      </x:c>
    </x:row>
    <x:row r="116" ht="58" customHeight="1">
      <x:c r="A116" s="2" t="str">
        <x:v>T0102</x:v>
      </x:c>
      <x:c r="B116" s="30" t="n">
        <x:v>46331</x:v>
      </x:c>
      <x:c r="C116" s="2" t="str">
        <x:v>Ludwig</x:v>
      </x:c>
      <x:c r="D116" s="2" t="str">
        <x:v>Integration Engineer</x:v>
      </x:c>
      <x:c r="E116" s="26" t="str">
        <x:v>Webhook/error/dead-letter check; top assigned integration ticket or verified no-ticket note</x:v>
      </x:c>
      <x:c r="F116" s="2" t="n">
        <x:v>1</x:v>
      </x:c>
      <x:c r="G116" s="20"/>
      <x:c r="H116" s="2" t="str">
        <x:v>accepted output</x:v>
      </x:c>
      <x:c r="I116" s="20" t="str">
        <x:v>Ready</x:v>
      </x:c>
      <x:c r="J116" s="2" t="str">
        <x:v>16:45</x:v>
      </x:c>
      <x:c r="K116" s="28" t="str"/>
      <x:c r="L116" s="28" t="str"/>
      <x:c r="M116" s="20" t="str"/>
      <x:c r="N116" s="33"/>
      <x:c r="O116" s="20" t="str"/>
      <x:c r="P116" s="33"/>
      <x:c r="Q116" s="2" t="n">
        <x:f>IF(AND(AE116=1,COUNTIFS($A$7:$A$500,"T0067",$AE$7:$AE$500,1)=1,COUNTIFS($A$7:$A$500,"T0055",$AE$7:$AE$500,1)=1),1,0)</x:f>
        <x:v>0</x:v>
      </x:c>
      <x:c r="R116" s="2" t="str">
        <x:f>IF(AND(Q116=1,P116&lt;='Dashboard'!$B$5),IF(P116&gt;B116,"Accepted late","Accepted"),IF(B116&lt;'Dashboard'!$B$5,"Overdue",IF(I116="Blocked","Blocked",IF(B116='Dashboard'!$B$5,"Due today","Planned"))))</x:f>
        <x:v>Planned</x:v>
      </x:c>
      <x:c r="S116" s="26" t="str">
        <x:f>IF(I116="Accepted",IF(K116="","Add evidence",IF(O116="","Add reviewer",IF(P116="","Add accepted date",IF(AND(ISNUMBER(F116),COUNT(G116)=0),"Add actual quantity",IF(Q116=0,"Review target / date / dependencies","Complete"))))),IF(OR(I116="Blocked",I116="Deferred"),IF(L116="","Record blocker / reason",IF(M116="","Assign rescue owner",IF(N116="","Set recovery date","Recovery assigned"))),IF(B116&lt;'Dashboard'!$B$5,"Escalate and record recovery","Work to acceptance standard")))</x:f>
        <x:v>Work to acceptance standard</x:v>
      </x:c>
      <x:c r="T116" s="26" t="str">
        <x:v>T0067</x:v>
      </x:c>
      <x:c r="U116" s="26" t="str">
        <x:v>Only Emman’s priority queue; 100% test capture; runbook/retry/rollback evidence. If no fault/ticket, release reserve; do not invent work.</x:v>
      </x:c>
      <x:c r="V116" s="31" t="n">
        <x:v>1.6</x:v>
      </x:c>
      <x:c r="W116" s="26" t="str"/>
      <x:c r="X116" s="26" t="str">
        <x:v>DSI Reset PDF: lane responsibilities and dated runbook; dated allocation proposed for this tracker.</x:v>
      </x:c>
      <x:c r="Y116" s="30" t="n">
        <x:f>B116-WEEKDAY(B116,2)+1</x:f>
        <x:v>46328</x:v>
      </x:c>
      <x:c r="Z116" s="2" t="str">
        <x:v>checklist</x:v>
      </x:c>
      <x:c r="AA116" s="2" t="n">
        <x:f>IF(Q116=1,IF(P116&gt;B116,1,0),0)</x:f>
        <x:v>0</x:v>
      </x:c>
      <x:c r="AB116" s="2" t="n">
        <x:f>IF(AND(Q116=1,P116&lt;='Dashboard'!$B$5),0,MAX(0,'Dashboard'!$B$5-B116))</x:f>
        <x:v>0</x:v>
      </x:c>
      <x:c r="AC116" s="28" t="str"/>
      <x:c r="AD116" s="2" t="str">
        <x:f>IF(AND(ISNUMBER(F116),ISNUMBER(G116)),G116-F116,"")</x:f>
      </x:c>
      <x:c r="AE116" s="2" t="n">
        <x:f>IF(AND(I116="Accepted",K116&lt;&gt;"",O116&lt;&gt;"",ISNUMBER(P116),P116&gt;0,P116&lt;='Dashboard'!$B$5,IF(ISNUMBER(F116),ISNUMBER(G116),TRUE),IF(ISNUMBER(F116),G116&gt;=F116,TRUE)),1,0)</x:f>
        <x:v>0</x:v>
      </x:c>
    </x:row>
    <x:row r="117" ht="58" customHeight="1">
      <x:c r="A117" s="2" t="str">
        <x:v>T0103</x:v>
      </x:c>
      <x:c r="B117" s="30" t="n">
        <x:v>46331</x:v>
      </x:c>
      <x:c r="C117" s="2" t="str">
        <x:v>Alvin</x:v>
      </x:c>
      <x:c r="D117" s="2" t="str">
        <x:v>CQL/GHL Implementation</x:v>
      </x:c>
      <x:c r="E117" s="26" t="str">
        <x:v>Stage/calendar/reminder QA; due workflow fixes; approved post mirrors/evidence Publish approved post SOC03 (Engage); capture the live URL.</x:v>
      </x:c>
      <x:c r="F117" s="2" t="n">
        <x:v>1</x:v>
      </x:c>
      <x:c r="G117" s="20"/>
      <x:c r="H117" s="2" t="str">
        <x:v>accepted output</x:v>
      </x:c>
      <x:c r="I117" s="20" t="str">
        <x:v>Ready</x:v>
      </x:c>
      <x:c r="J117" s="2" t="str">
        <x:v>16:45</x:v>
      </x:c>
      <x:c r="K117" s="28" t="str"/>
      <x:c r="L117" s="28" t="str"/>
      <x:c r="M117" s="20" t="str"/>
      <x:c r="N117" s="33"/>
      <x:c r="O117" s="20" t="str"/>
      <x:c r="P117" s="33"/>
      <x:c r="Q117" s="2" t="n">
        <x:f>IF(AND(AE117=1,COUNTIFS($A$7:$A$500,"T0067",$AE$7:$AE$500,1)=1,COUNTIFS($A$7:$A$500,"T0055",$AE$7:$AE$500,1)=1),1,0)</x:f>
        <x:v>0</x:v>
      </x:c>
      <x:c r="R117" s="2" t="str">
        <x:f>IF(AND(Q117=1,P117&lt;='Dashboard'!$B$5),IF(P117&gt;B117,"Accepted late","Accepted"),IF(B117&lt;'Dashboard'!$B$5,"Overdue",IF(I117="Blocked","Blocked",IF(B117='Dashboard'!$B$5,"Due today","Planned"))))</x:f>
        <x:v>Planned</x:v>
      </x:c>
      <x:c r="S117" s="26" t="str">
        <x:f>IF(I117="Accepted",IF(K117="","Add evidence",IF(O117="","Add reviewer",IF(P117="","Add accepted date",IF(AND(ISNUMBER(F117),COUNT(G117)=0),"Add actual quantity",IF(Q117=0,"Review target / date / dependencies","Complete"))))),IF(OR(I117="Blocked",I117="Deferred"),IF(L117="","Record blocker / reason",IF(M117="","Assign rescue owner",IF(N117="","Set recovery date","Recovery assigned"))),IF(B117&lt;'Dashboard'!$B$5,"Escalate and record recovery","Work to acceptance standard")))</x:f>
        <x:v>Work to acceptance standard</x:v>
      </x:c>
      <x:c r="T117" s="26" t="str">
        <x:v>T0067</x:v>
      </x:c>
      <x:c r="U117" s="26" t="str">
        <x:v>No-show task&lt;=10 min; form/source fields correct; finish critical CRM defect same day. Facebook mirrors exact approved post; Instagram requires permissioned image.</x:v>
      </x:c>
      <x:c r="V117" s="31" t="n">
        <x:v>2</x:v>
      </x:c>
      <x:c r="W117" s="26" t="str"/>
      <x:c r="X117" s="26" t="str">
        <x:v>DSI Reset PDF: lane responsibilities and dated runbook; dated allocation proposed for this tracker.</x:v>
      </x:c>
      <x:c r="Y117" s="30" t="n">
        <x:f>B117-WEEKDAY(B117,2)+1</x:f>
        <x:v>46328</x:v>
      </x:c>
      <x:c r="Z117" s="2" t="str">
        <x:v>checklist</x:v>
      </x:c>
      <x:c r="AA117" s="2" t="n">
        <x:f>IF(Q117=1,IF(P117&gt;B117,1,0),0)</x:f>
        <x:v>0</x:v>
      </x:c>
      <x:c r="AB117" s="2" t="n">
        <x:f>IF(AND(Q117=1,P117&lt;='Dashboard'!$B$5),0,MAX(0,'Dashboard'!$B$5-B117))</x:f>
        <x:v>0</x:v>
      </x:c>
      <x:c r="AC117" s="28" t="str"/>
      <x:c r="AD117" s="2" t="str">
        <x:f>IF(AND(ISNUMBER(F117),ISNUMBER(G117)),G117-F117,"")</x:f>
      </x:c>
      <x:c r="AE117" s="2" t="n">
        <x:f>IF(AND(I117="Accepted",K117&lt;&gt;"",O117&lt;&gt;"",ISNUMBER(P117),P117&gt;0,P117&lt;='Dashboard'!$B$5,IF(ISNUMBER(F117),ISNUMBER(G117),TRUE),IF(ISNUMBER(F117),G117&gt;=F117,TRUE)),1,0)</x:f>
        <x:v>0</x:v>
      </x:c>
    </x:row>
    <x:row r="118" ht="58" customHeight="1">
      <x:c r="A118" s="2" t="str">
        <x:v>T0104</x:v>
      </x:c>
      <x:c r="B118" s="30" t="n">
        <x:v>46331</x:v>
      </x:c>
      <x:c r="C118" s="2" t="str">
        <x:v>Brian</x:v>
      </x:c>
      <x:c r="D118" s="2" t="str">
        <x:v>Web and Tracking</x:v>
      </x:c>
      <x:c r="E118" s="26" t="str">
        <x:v>One health-check result; at most one weekly change ticket or no-ticket note</x:v>
      </x:c>
      <x:c r="F118" s="2" t="n">
        <x:v>1</x:v>
      </x:c>
      <x:c r="G118" s="20"/>
      <x:c r="H118" s="2" t="str">
        <x:v>accepted output</x:v>
      </x:c>
      <x:c r="I118" s="20" t="str">
        <x:v>Ready</x:v>
      </x:c>
      <x:c r="J118" s="2" t="str">
        <x:v>16:45</x:v>
      </x:c>
      <x:c r="K118" s="28" t="str"/>
      <x:c r="L118" s="28" t="str"/>
      <x:c r="M118" s="20" t="str"/>
      <x:c r="N118" s="33"/>
      <x:c r="O118" s="20" t="str"/>
      <x:c r="P118" s="33"/>
      <x:c r="Q118" s="2" t="n">
        <x:f>IF(AND(AE118=1,COUNTIFS($A$7:$A$500,"T0067",$AE$7:$AE$500,1)=1,COUNTIFS($A$7:$A$500,"T0055",$AE$7:$AE$500,1)=1),1,0)</x:f>
        <x:v>0</x:v>
      </x:c>
      <x:c r="R118" s="2" t="str">
        <x:f>IF(AND(Q118=1,P118&lt;='Dashboard'!$B$5),IF(P118&gt;B118,"Accepted late","Accepted"),IF(B118&lt;'Dashboard'!$B$5,"Overdue",IF(I118="Blocked","Blocked",IF(B118='Dashboard'!$B$5,"Due today","Planned"))))</x:f>
        <x:v>Planned</x:v>
      </x:c>
      <x:c r="S118" s="26" t="str">
        <x:f>IF(I118="Accepted",IF(K118="","Add evidence",IF(O118="","Add reviewer",IF(P118="","Add accepted date",IF(AND(ISNUMBER(F118),COUNT(G118)=0),"Add actual quantity",IF(Q118=0,"Review target / date / dependencies","Complete"))))),IF(OR(I118="Blocked",I118="Deferred"),IF(L118="","Record blocker / reason",IF(M118="","Assign rescue owner",IF(N118="","Set recovery date","Recovery assigned"))),IF(B118&lt;'Dashboard'!$B$5,"Escalate and record recovery","Work to acceptance standard")))</x:f>
        <x:v>Work to acceptance standard</x:v>
      </x:c>
      <x:c r="T118" s="26" t="str">
        <x:v>T0067</x:v>
      </x:c>
      <x:c r="U118" s="26" t="str">
        <x:v>Form to CQL&lt;1 min; approved copy unchanged; no work manufactured if healthy; ongoing reserve&lt;=2 h/week.</x:v>
      </x:c>
      <x:c r="V118" s="31" t="n">
        <x:v>0.4</x:v>
      </x:c>
      <x:c r="W118" s="26" t="str"/>
      <x:c r="X118" s="26" t="str">
        <x:v>DSI Reset PDF: lane responsibilities and dated runbook; dated allocation proposed for this tracker.</x:v>
      </x:c>
      <x:c r="Y118" s="30" t="n">
        <x:f>B118-WEEKDAY(B118,2)+1</x:f>
        <x:v>46328</x:v>
      </x:c>
      <x:c r="Z118" s="2" t="str">
        <x:v>checklist</x:v>
      </x:c>
      <x:c r="AA118" s="2" t="n">
        <x:f>IF(Q118=1,IF(P118&gt;B118,1,0),0)</x:f>
        <x:v>0</x:v>
      </x:c>
      <x:c r="AB118" s="2" t="n">
        <x:f>IF(AND(Q118=1,P118&lt;='Dashboard'!$B$5),0,MAX(0,'Dashboard'!$B$5-B118))</x:f>
        <x:v>0</x:v>
      </x:c>
      <x:c r="AC118" s="28" t="str"/>
      <x:c r="AD118" s="2" t="str">
        <x:f>IF(AND(ISNUMBER(F118),ISNUMBER(G118)),G118-F118,"")</x:f>
      </x:c>
      <x:c r="AE118" s="2" t="n">
        <x:f>IF(AND(I118="Accepted",K118&lt;&gt;"",O118&lt;&gt;"",ISNUMBER(P118),P118&gt;0,P118&lt;='Dashboard'!$B$5,IF(ISNUMBER(F118),ISNUMBER(G118),TRUE),IF(ISNUMBER(F118),G118&gt;=F118,TRUE)),1,0)</x:f>
        <x:v>0</x:v>
      </x:c>
    </x:row>
    <x:row r="119" ht="58" customHeight="1">
      <x:c r="A119" s="2" t="str">
        <x:v>T0105</x:v>
      </x:c>
      <x:c r="B119" s="30" t="n">
        <x:v>46331</x:v>
      </x:c>
      <x:c r="C119" s="2" t="str">
        <x:v>Dexter</x:v>
      </x:c>
      <x:c r="D119" s="2" t="str">
        <x:v>LinkedIn Execution</x:v>
      </x:c>
      <x:c r="E119" s="26" t="str">
        <x:v>CQL logged DMs/accepts; eligible requests; referred interested replies; approved post evidence Publish approved post SOC03 (Engage); capture the live URL.</x:v>
      </x:c>
      <x:c r="F119" s="2" t="n">
        <x:v>25</x:v>
      </x:c>
      <x:c r="G119" s="20"/>
      <x:c r="H119" s="2" t="str">
        <x:v>new request working target; eligible pool required</x:v>
      </x:c>
      <x:c r="I119" s="20" t="str">
        <x:v>Ready</x:v>
      </x:c>
      <x:c r="J119" s="2" t="str">
        <x:v>16:45</x:v>
      </x:c>
      <x:c r="K119" s="28" t="str"/>
      <x:c r="L119" s="28" t="str"/>
      <x:c r="M119" s="20" t="str"/>
      <x:c r="N119" s="33"/>
      <x:c r="O119" s="20" t="str"/>
      <x:c r="P119" s="33"/>
      <x:c r="Q119" s="2" t="n">
        <x:f>IF(AND(AE119=1,COUNTIFS($A$7:$A$500,"T0067",$AE$7:$AE$500,1)=1,COUNTIFS($A$7:$A$500,"T0055",$AE$7:$AE$500,1)=1),1,0)</x:f>
        <x:v>0</x:v>
      </x:c>
      <x:c r="R119" s="2" t="str">
        <x:f>IF(AND(Q119=1,P119&lt;='Dashboard'!$B$5),IF(P119&gt;B119,"Accepted late","Accepted"),IF(B119&lt;'Dashboard'!$B$5,"Overdue",IF(I119="Blocked","Blocked",IF(B119='Dashboard'!$B$5,"Due today","Planned"))))</x:f>
        <x:v>Planned</x:v>
      </x:c>
      <x:c r="S119" s="26" t="str">
        <x:f>IF(I119="Accepted",IF(K119="","Add evidence",IF(O119="","Add reviewer",IF(P119="","Add accepted date",IF(AND(ISNUMBER(F119),COUNT(G119)=0),"Add actual quantity",IF(Q119=0,"Review target / date / dependencies","Complete"))))),IF(OR(I119="Blocked",I119="Deferred"),IF(L119="","Record blocker / reason",IF(M119="","Assign rescue owner",IF(N119="","Set recovery date","Recovery assigned"))),IF(B119&lt;'Dashboard'!$B$5,"Escalate and record recovery","Work to acceptance standard")))</x:f>
        <x:v>Work to acceptance standard</x:v>
      </x:c>
      <x:c r="T119" s="26" t="str">
        <x:v>T0067</x:v>
      </x:c>
      <x:c r="U119"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19" s="31" t="n">
        <x:v>3</x:v>
      </x:c>
      <x:c r="W119" s="26" t="str"/>
      <x:c r="X119" s="26" t="str">
        <x:v>DSI Reset PDF: lane responsibilities and dated runbook; dated allocation proposed for this tracker.</x:v>
      </x:c>
      <x:c r="Y119" s="30" t="n">
        <x:f>B119-WEEKDAY(B119,2)+1</x:f>
        <x:v>46328</x:v>
      </x:c>
      <x:c r="Z119" s="2" t="str">
        <x:v>capacity</x:v>
      </x:c>
      <x:c r="AA119" s="2" t="n">
        <x:f>IF(Q119=1,IF(P119&gt;B119,1,0),0)</x:f>
        <x:v>0</x:v>
      </x:c>
      <x:c r="AB119" s="2" t="n">
        <x:f>IF(AND(Q119=1,P119&lt;='Dashboard'!$B$5),0,MAX(0,'Dashboard'!$B$5-B119))</x:f>
        <x:v>0</x:v>
      </x:c>
      <x:c r="AC119" s="28" t="str"/>
      <x:c r="AD119" s="2" t="str">
        <x:f>IF(AND(ISNUMBER(F119),ISNUMBER(G119)),G119-F119,"")</x:f>
      </x:c>
      <x:c r="AE119" s="2" t="n">
        <x:f>IF(AND(I119="Accepted",K119&lt;&gt;"",O119&lt;&gt;"",ISNUMBER(P119),P119&gt;0,P119&lt;='Dashboard'!$B$5,IF(ISNUMBER(F119),ISNUMBER(G119),TRUE),IF(ISNUMBER(F119),OR(G119&gt;=F119,AC119&lt;&gt;""),TRUE)),1,0)</x:f>
        <x:v>0</x:v>
      </x:c>
    </x:row>
    <x:row r="120" ht="58" customHeight="1">
      <x:c r="A120" s="2" t="str">
        <x:v>T0106</x:v>
      </x:c>
      <x:c r="B120" s="30" t="n">
        <x:v>46331</x:v>
      </x:c>
      <x:c r="C120" s="2" t="str">
        <x:v>Setter 1</x:v>
      </x:c>
      <x:c r="D120" s="2" t="str">
        <x:v>Reply and Phone Setter</x:v>
      </x:c>
      <x:c r="E120" s="26" t="str">
        <x:v>SLA/call outcome log; bookings and next steps; handoff to Nova</x:v>
      </x:c>
      <x:c r="F120" s="2" t="n">
        <x:v>50</x:v>
      </x:c>
      <x:c r="G120" s="20"/>
      <x:c r="H120" s="2" t="str">
        <x:v>dial working target; inbound SLA takes priority</x:v>
      </x:c>
      <x:c r="I120" s="20" t="str">
        <x:v>Ready</x:v>
      </x:c>
      <x:c r="J120" s="2" t="str">
        <x:v>16:45</x:v>
      </x:c>
      <x:c r="K120" s="28" t="str"/>
      <x:c r="L120" s="28" t="str"/>
      <x:c r="M120" s="20" t="str"/>
      <x:c r="N120" s="33"/>
      <x:c r="O120" s="20" t="str"/>
      <x:c r="P120" s="33"/>
      <x:c r="Q120" s="2" t="n">
        <x:f>IF(AND(AE120=1,COUNTIFS($A$7:$A$500,"T0013",$AE$7:$AE$500,1)=1,COUNTIFS($A$7:$A$500,"T0055",$AE$7:$AE$500,1)=1),1,0)</x:f>
        <x:v>0</x:v>
      </x:c>
      <x:c r="R120" s="2" t="str">
        <x:f>IF(AND(Q120=1,P120&lt;='Dashboard'!$B$5),IF(P120&gt;B120,"Accepted late","Accepted"),IF(B120&lt;'Dashboard'!$B$5,"Overdue",IF(I120="Blocked","Blocked",IF(B120='Dashboard'!$B$5,"Due today","Planned"))))</x:f>
        <x:v>Planned</x:v>
      </x:c>
      <x:c r="S120" s="26" t="str">
        <x:f>IF(I120="Accepted",IF(K120="","Add evidence",IF(O120="","Add reviewer",IF(P120="","Add accepted date",IF(AND(ISNUMBER(F120),COUNT(G120)=0),"Add actual quantity",IF(Q120=0,"Review target / date / dependencies","Complete"))))),IF(OR(I120="Blocked",I120="Deferred"),IF(L120="","Record blocker / reason",IF(M120="","Assign rescue owner",IF(N120="","Set recovery date","Recovery assigned"))),IF(B120&lt;'Dashboard'!$B$5,"Escalate and record recovery","Work to acceptance standard")))</x:f>
        <x:v>Work to acceptance standard</x:v>
      </x:c>
      <x:c r="T120" s="26" t="str">
        <x:v>T0013; T0055</x:v>
      </x:c>
      <x:c r="U120"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20" s="31" t="n">
        <x:v>7.5</x:v>
      </x:c>
      <x:c r="W120" s="26" t="str"/>
      <x:c r="X120" s="26" t="str">
        <x:v>DSI Reset PDF: lane responsibilities and dated runbook; dated allocation proposed for this tracker.</x:v>
      </x:c>
      <x:c r="Y120" s="30" t="n">
        <x:f>B120-WEEKDAY(B120,2)+1</x:f>
        <x:v>46328</x:v>
      </x:c>
      <x:c r="Z120" s="2" t="str">
        <x:v>capacity</x:v>
      </x:c>
      <x:c r="AA120" s="2" t="n">
        <x:f>IF(Q120=1,IF(P120&gt;B120,1,0),0)</x:f>
        <x:v>0</x:v>
      </x:c>
      <x:c r="AB120" s="2" t="n">
        <x:f>IF(AND(Q120=1,P120&lt;='Dashboard'!$B$5),0,MAX(0,'Dashboard'!$B$5-B120))</x:f>
        <x:v>0</x:v>
      </x:c>
      <x:c r="AC120" s="28" t="str"/>
      <x:c r="AD120" s="2" t="str">
        <x:f>IF(AND(ISNUMBER(F120),ISNUMBER(G120)),G120-F120,"")</x:f>
      </x:c>
      <x:c r="AE120" s="2" t="n">
        <x:f>IF(AND(I120="Accepted",K120&lt;&gt;"",O120&lt;&gt;"",ISNUMBER(P120),P120&gt;0,P120&lt;='Dashboard'!$B$5,IF(ISNUMBER(F120),ISNUMBER(G120),TRUE),IF(ISNUMBER(F120),OR(G120&gt;=F120,AC120&lt;&gt;""),TRUE)),1,0)</x:f>
        <x:v>0</x:v>
      </x:c>
    </x:row>
    <x:row r="121" ht="58" customHeight="1">
      <x:c r="A121" s="2" t="str">
        <x:v>T0107</x:v>
      </x:c>
      <x:c r="B121" s="30" t="n">
        <x:v>46331</x:v>
      </x:c>
      <x:c r="C121" s="2" t="str">
        <x:v>Setter 2</x:v>
      </x:c>
      <x:c r="D121" s="2" t="str">
        <x:v>Reply and Phone Setter</x:v>
      </x:c>
      <x:c r="E121" s="26" t="str">
        <x:v>SLA/call outcome log; bookings and next steps; handoff to Nova</x:v>
      </x:c>
      <x:c r="F121" s="2" t="n">
        <x:v>50</x:v>
      </x:c>
      <x:c r="G121" s="20"/>
      <x:c r="H121" s="2" t="str">
        <x:v>dial working target; inbound SLA takes priority</x:v>
      </x:c>
      <x:c r="I121" s="20" t="str">
        <x:v>Ready</x:v>
      </x:c>
      <x:c r="J121" s="2" t="str">
        <x:v>16:45</x:v>
      </x:c>
      <x:c r="K121" s="28" t="str"/>
      <x:c r="L121" s="28" t="str"/>
      <x:c r="M121" s="20" t="str"/>
      <x:c r="N121" s="33"/>
      <x:c r="O121" s="20" t="str"/>
      <x:c r="P121" s="33"/>
      <x:c r="Q121" s="2" t="n">
        <x:f>IF(AND(AE121=1,COUNTIFS($A$7:$A$500,"T0013",$AE$7:$AE$500,1)=1,COUNTIFS($A$7:$A$500,"T0055",$AE$7:$AE$500,1)=1),1,0)</x:f>
        <x:v>0</x:v>
      </x:c>
      <x:c r="R121" s="2" t="str">
        <x:f>IF(AND(Q121=1,P121&lt;='Dashboard'!$B$5),IF(P121&gt;B121,"Accepted late","Accepted"),IF(B121&lt;'Dashboard'!$B$5,"Overdue",IF(I121="Blocked","Blocked",IF(B121='Dashboard'!$B$5,"Due today","Planned"))))</x:f>
        <x:v>Planned</x:v>
      </x:c>
      <x:c r="S121" s="26" t="str">
        <x:f>IF(I121="Accepted",IF(K121="","Add evidence",IF(O121="","Add reviewer",IF(P121="","Add accepted date",IF(AND(ISNUMBER(F121),COUNT(G121)=0),"Add actual quantity",IF(Q121=0,"Review target / date / dependencies","Complete"))))),IF(OR(I121="Blocked",I121="Deferred"),IF(L121="","Record blocker / reason",IF(M121="","Assign rescue owner",IF(N121="","Set recovery date","Recovery assigned"))),IF(B121&lt;'Dashboard'!$B$5,"Escalate and record recovery","Work to acceptance standard")))</x:f>
        <x:v>Work to acceptance standard</x:v>
      </x:c>
      <x:c r="T121" s="26" t="str">
        <x:v>T0013; T0055</x:v>
      </x:c>
      <x:c r="U121"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21" s="31" t="n">
        <x:v>7.5</x:v>
      </x:c>
      <x:c r="W121" s="26" t="str"/>
      <x:c r="X121" s="26" t="str">
        <x:v>DSI Reset PDF: lane responsibilities and dated runbook; dated allocation proposed for this tracker.</x:v>
      </x:c>
      <x:c r="Y121" s="30" t="n">
        <x:f>B121-WEEKDAY(B121,2)+1</x:f>
        <x:v>46328</x:v>
      </x:c>
      <x:c r="Z121" s="2" t="str">
        <x:v>capacity</x:v>
      </x:c>
      <x:c r="AA121" s="2" t="n">
        <x:f>IF(Q121=1,IF(P121&gt;B121,1,0),0)</x:f>
        <x:v>0</x:v>
      </x:c>
      <x:c r="AB121" s="2" t="n">
        <x:f>IF(AND(Q121=1,P121&lt;='Dashboard'!$B$5),0,MAX(0,'Dashboard'!$B$5-B121))</x:f>
        <x:v>0</x:v>
      </x:c>
      <x:c r="AC121" s="28" t="str"/>
      <x:c r="AD121" s="2" t="str">
        <x:f>IF(AND(ISNUMBER(F121),ISNUMBER(G121)),G121-F121,"")</x:f>
      </x:c>
      <x:c r="AE121" s="2" t="n">
        <x:f>IF(AND(I121="Accepted",K121&lt;&gt;"",O121&lt;&gt;"",ISNUMBER(P121),P121&gt;0,P121&lt;='Dashboard'!$B$5,IF(ISNUMBER(F121),ISNUMBER(G121),TRUE),IF(ISNUMBER(F121),OR(G121&gt;=F121,AC121&lt;&gt;""),TRUE)),1,0)</x:f>
        <x:v>0</x:v>
      </x:c>
    </x:row>
    <x:row r="122" ht="58" customHeight="1">
      <x:c r="A122" s="2" t="str">
        <x:v>T0440</x:v>
      </x:c>
      <x:c r="B122" s="30" t="n">
        <x:v>46331</x:v>
      </x:c>
      <x:c r="C122" s="2" t="str">
        <x:v>Nic</x:v>
      </x:c>
      <x:c r="D122" s="2" t="str">
        <x:v>Client dependency</x:v>
      </x:c>
      <x:c r="E122" s="26" t="str">
        <x:v>Call outcome/next step for every appointment due; first-case decisions</x:v>
      </x:c>
      <x:c r="F122" s="2" t="str"/>
      <x:c r="G122" s="20"/>
      <x:c r="H122" s="2" t="str">
        <x:v>all due appointments</x:v>
      </x:c>
      <x:c r="I122" s="20" t="str">
        <x:v>Ready</x:v>
      </x:c>
      <x:c r="J122" s="2" t="str">
        <x:v>16:45</x:v>
      </x:c>
      <x:c r="K122" s="28" t="str"/>
      <x:c r="L122" s="28" t="str"/>
      <x:c r="M122" s="20" t="str"/>
      <x:c r="N122" s="33"/>
      <x:c r="O122" s="20" t="str"/>
      <x:c r="P122" s="33"/>
      <x:c r="Q122" s="2" t="n">
        <x:f>IF(AND(AE122=1,COUNTIFS($A$7:$A$500,"T0028",$AE$7:$AE$500,1)=1),1,0)</x:f>
        <x:v>0</x:v>
      </x:c>
      <x:c r="R122" s="2" t="str">
        <x:f>IF(AND(Q122=1,P122&lt;='Dashboard'!$B$5),IF(P122&gt;B122,"Accepted late","Accepted"),IF(B122&lt;'Dashboard'!$B$5,"Overdue",IF(I122="Blocked","Blocked",IF(B122='Dashboard'!$B$5,"Due today","Planned"))))</x:f>
        <x:v>Planned</x:v>
      </x:c>
      <x:c r="S122" s="26" t="str">
        <x:f>IF(I122="Accepted",IF(K122="","Add evidence",IF(O122="","Add reviewer",IF(P122="","Add accepted date",IF(AND(ISNUMBER(F122),COUNT(G122)=0),"Add actual quantity",IF(Q122=0,"Review target / date / dependencies","Complete"))))),IF(OR(I122="Blocked",I122="Deferred"),IF(L122="","Record blocker / reason",IF(M122="","Assign rescue owner",IF(N122="","Set recovery date","Recovery assigned"))),IF(B122&lt;'Dashboard'!$B$5,"Escalate and record recovery","Work to acceptance standard")))</x:f>
        <x:v>Work to acceptance standard</x:v>
      </x:c>
      <x:c r="T122" s="26" t="str">
        <x:v>T0028</x:v>
      </x:c>
      <x:c r="U122" s="26" t="str">
        <x:v>Demand-linked: work actual approved calendar; setter brief present; outcome logged same day. No calls scheduled is N/A with calendar evidence.</x:v>
      </x:c>
      <x:c r="V122" s="31" t="n">
        <x:v>0.5</x:v>
      </x:c>
      <x:c r="W122" s="26" t="str"/>
      <x:c r="X122" s="26" t="str">
        <x:v>DSI Reset PDF: lane responsibilities and dated runbook; dated allocation proposed for this tracker.</x:v>
      </x:c>
      <x:c r="Y122" s="30" t="n">
        <x:f>B122-WEEKDAY(B122,2)+1</x:f>
        <x:v>46328</x:v>
      </x:c>
      <x:c r="Z122" s="2" t="str">
        <x:v>demand</x:v>
      </x:c>
      <x:c r="AA122" s="2" t="n">
        <x:f>IF(Q122=1,IF(P122&gt;B122,1,0),0)</x:f>
        <x:v>0</x:v>
      </x:c>
      <x:c r="AB122" s="2" t="n">
        <x:f>IF(AND(Q122=1,P122&lt;='Dashboard'!$B$5),0,MAX(0,'Dashboard'!$B$5-B122))</x:f>
        <x:v>0</x:v>
      </x:c>
      <x:c r="AC122" s="28" t="str"/>
      <x:c r="AD122" s="2" t="str">
        <x:f>IF(AND(ISNUMBER(F122),ISNUMBER(G122)),G122-F122,"")</x:f>
      </x:c>
      <x:c r="AE122" s="2" t="n">
        <x:f>IF(AND(I122="Accepted",K122&lt;&gt;"",O122&lt;&gt;"",ISNUMBER(P122),P122&gt;0,P122&lt;='Dashboard'!$B$5,IF(ISNUMBER(F122),ISNUMBER(G122),TRUE)),1,0)</x:f>
        <x:v>0</x:v>
      </x:c>
    </x:row>
    <x:row r="123" ht="58" customHeight="1">
      <x:c r="A123" s="2" t="str">
        <x:v>T0441</x:v>
      </x:c>
      <x:c r="B123" s="30" t="n">
        <x:v>46331</x:v>
      </x:c>
      <x:c r="C123" s="2" t="str">
        <x:v>Maseeha</x:v>
      </x:c>
      <x:c r="D123" s="2" t="str">
        <x:v>Client dependency</x:v>
      </x:c>
      <x:c r="E123" s="26" t="str">
        <x:v>Due intro verification; kit/case handoff; delivery/Day-30 dates; credit trigger log. Planned asks today: 2 unique existing accounts; cumulative 13.</x:v>
      </x:c>
      <x:c r="F123" s="2" t="str"/>
      <x:c r="G123" s="20"/>
      <x:c r="H123" s="2" t="str">
        <x:v>all due cases</x:v>
      </x:c>
      <x:c r="I123" s="20" t="str">
        <x:v>Ready</x:v>
      </x:c>
      <x:c r="J123" s="2" t="str">
        <x:v>16:45</x:v>
      </x:c>
      <x:c r="K123" s="28" t="str"/>
      <x:c r="L123" s="28" t="str"/>
      <x:c r="M123" s="20" t="str"/>
      <x:c r="N123" s="33"/>
      <x:c r="O123" s="20" t="str"/>
      <x:c r="P123" s="33"/>
      <x:c r="Q123" s="2" t="n">
        <x:f>IF(AND(AE123=1,COUNTIFS($A$7:$A$500,"T0028",$AE$7:$AE$500,1)=1),1,0)</x:f>
        <x:v>0</x:v>
      </x:c>
      <x:c r="R123" s="2" t="str">
        <x:f>IF(AND(Q123=1,P123&lt;='Dashboard'!$B$5),IF(P123&gt;B123,"Accepted late","Accepted"),IF(B123&lt;'Dashboard'!$B$5,"Overdue",IF(I123="Blocked","Blocked",IF(B123='Dashboard'!$B$5,"Due today","Planned"))))</x:f>
        <x:v>Planned</x:v>
      </x:c>
      <x:c r="S123" s="26" t="str">
        <x:f>IF(I123="Accepted",IF(K123="","Add evidence",IF(O123="","Add reviewer",IF(P123="","Add accepted date",IF(AND(ISNUMBER(F123),COUNT(G123)=0),"Add actual quantity",IF(Q123=0,"Review target / date / dependencies","Complete"))))),IF(OR(I123="Blocked",I123="Deferred"),IF(L123="","Record blocker / reason",IF(M123="","Assign rescue owner",IF(N123="","Set recovery date","Recovery assigned"))),IF(B123&lt;'Dashboard'!$B$5,"Escalate and record recovery","Work to acceptance standard")))</x:f>
        <x:v>Work to acceptance standard</x:v>
      </x:c>
      <x:c r="T123" s="26" t="str">
        <x:v>T0028</x:v>
      </x:c>
      <x:c r="U123" s="26" t="str">
        <x:v>Demand-linked: referral verification&lt;=2 business days; trial capacity respected; $200 credit only on eligible invoice paid.</x:v>
      </x:c>
      <x:c r="V123" s="31" t="n">
        <x:v>0.5</x:v>
      </x:c>
      <x:c r="W123" s="26" t="str"/>
      <x:c r="X123" s="26" t="str">
        <x:v>DSI Reset PDF: lane responsibilities and dated runbook; dated allocation proposed for this tracker.</x:v>
      </x:c>
      <x:c r="Y123" s="30" t="n">
        <x:f>B123-WEEKDAY(B123,2)+1</x:f>
        <x:v>46328</x:v>
      </x:c>
      <x:c r="Z123" s="2" t="str">
        <x:v>demand</x:v>
      </x:c>
      <x:c r="AA123" s="2" t="n">
        <x:f>IF(Q123=1,IF(P123&gt;B123,1,0),0)</x:f>
        <x:v>0</x:v>
      </x:c>
      <x:c r="AB123" s="2" t="n">
        <x:f>IF(AND(Q123=1,P123&lt;='Dashboard'!$B$5),0,MAX(0,'Dashboard'!$B$5-B123))</x:f>
        <x:v>0</x:v>
      </x:c>
      <x:c r="AC123" s="28" t="str"/>
      <x:c r="AD123" s="2" t="str">
        <x:f>IF(AND(ISNUMBER(F123),ISNUMBER(G123)),G123-F123,"")</x:f>
      </x:c>
      <x:c r="AE123" s="2" t="n">
        <x:f>IF(AND(I123="Accepted",K123&lt;&gt;"",O123&lt;&gt;"",ISNUMBER(P123),P123&gt;0,P123&lt;='Dashboard'!$B$5,IF(ISNUMBER(F123),ISNUMBER(G123),TRUE)),1,0)</x:f>
        <x:v>0</x:v>
      </x:c>
    </x:row>
    <x:row r="124" ht="58" customHeight="1">
      <x:c r="A124" s="2" t="str">
        <x:v>T0108</x:v>
      </x:c>
      <x:c r="B124" s="30" t="n">
        <x:v>46332</x:v>
      </x:c>
      <x:c r="C124" s="2" t="str">
        <x:v>Wyline</x:v>
      </x:c>
      <x:c r="D124" s="2" t="str">
        <x:v>Program Director</x:v>
      </x:c>
      <x:c r="E124" s="26" t="str">
        <x:v>Accepted-output register; actual-vs-target dashboard; blocker/rescue assignments</x:v>
      </x:c>
      <x:c r="F124" s="2" t="n">
        <x:v>1</x:v>
      </x:c>
      <x:c r="G124" s="20"/>
      <x:c r="H124" s="2" t="str">
        <x:v>accepted output</x:v>
      </x:c>
      <x:c r="I124" s="20" t="str">
        <x:v>Ready</x:v>
      </x:c>
      <x:c r="J124" s="2" t="str">
        <x:v>16:45</x:v>
      </x:c>
      <x:c r="K124" s="28" t="str"/>
      <x:c r="L124" s="28" t="str"/>
      <x:c r="M124" s="20" t="str"/>
      <x:c r="N124" s="33"/>
      <x:c r="O124" s="20" t="str"/>
      <x:c r="P124" s="33"/>
      <x:c r="Q124" s="2" t="n">
        <x:f>IF(AND(AE124=1,COUNTIFS($A$7:$A$500,"T0067",$AE$7:$AE$500,1)=1,COUNTIFS($A$7:$A$500,"T0055",$AE$7:$AE$500,1)=1),1,0)</x:f>
        <x:v>0</x:v>
      </x:c>
      <x:c r="R124" s="2" t="str">
        <x:f>IF(AND(Q124=1,P124&lt;='Dashboard'!$B$5),IF(P124&gt;B124,"Accepted late","Accepted"),IF(B124&lt;'Dashboard'!$B$5,"Overdue",IF(I124="Blocked","Blocked",IF(B124='Dashboard'!$B$5,"Due today","Planned"))))</x:f>
        <x:v>Planned</x:v>
      </x:c>
      <x:c r="S124" s="26" t="str">
        <x:f>IF(I124="Accepted",IF(K124="","Add evidence",IF(O124="","Add reviewer",IF(P124="","Add accepted date",IF(AND(ISNUMBER(F124),COUNT(G124)=0),"Add actual quantity",IF(Q124=0,"Review target / date / dependencies","Complete"))))),IF(OR(I124="Blocked",I124="Deferred"),IF(L124="","Record blocker / reason",IF(M124="","Assign rescue owner",IF(N124="","Set recovery date","Recovery assigned"))),IF(B124&lt;'Dashboard'!$B$5,"Escalate and record recovery","Work to acceptance standard")))</x:f>
        <x:v>Work to acceptance standard</x:v>
      </x:c>
      <x:c r="T124" s="26" t="str">
        <x:v>T0067</x:v>
      </x:c>
      <x:c r="U124" s="26" t="str">
        <x:v>09:00 standup; 13:00/16:30 recovery checks; 17:00 acceptance. Every overdue task keeps original date and named recovery owner.</x:v>
      </x:c>
      <x:c r="V124" s="31" t="n">
        <x:v>3</x:v>
      </x:c>
      <x:c r="W124" s="26" t="str"/>
      <x:c r="X124" s="26" t="str">
        <x:v>DSI Reset PDF: lane responsibilities and dated runbook; dated allocation proposed for this tracker.</x:v>
      </x:c>
      <x:c r="Y124" s="30" t="n">
        <x:f>B124-WEEKDAY(B124,2)+1</x:f>
        <x:v>46328</x:v>
      </x:c>
      <x:c r="Z124" s="2" t="str">
        <x:v>checklist</x:v>
      </x:c>
      <x:c r="AA124" s="2" t="n">
        <x:f>IF(Q124=1,IF(P124&gt;B124,1,0),0)</x:f>
        <x:v>0</x:v>
      </x:c>
      <x:c r="AB124" s="2" t="n">
        <x:f>IF(AND(Q124=1,P124&lt;='Dashboard'!$B$5),0,MAX(0,'Dashboard'!$B$5-B124))</x:f>
        <x:v>0</x:v>
      </x:c>
      <x:c r="AC124" s="28" t="str"/>
      <x:c r="AD124" s="2" t="str">
        <x:f>IF(AND(ISNUMBER(F124),ISNUMBER(G124)),G124-F124,"")</x:f>
      </x:c>
      <x:c r="AE124" s="2" t="n">
        <x:f>IF(AND(I124="Accepted",K124&lt;&gt;"",O124&lt;&gt;"",ISNUMBER(P124),P124&gt;0,P124&lt;='Dashboard'!$B$5,IF(ISNUMBER(F124),ISNUMBER(G124),TRUE),IF(ISNUMBER(F124),G124&gt;=F124,TRUE)),1,0)</x:f>
        <x:v>0</x:v>
      </x:c>
    </x:row>
    <x:row r="125" ht="58" customHeight="1">
      <x:c r="A125" s="2" t="str">
        <x:v>T0109</x:v>
      </x:c>
      <x:c r="B125" s="30" t="n">
        <x:v>46332</x:v>
      </x:c>
      <x:c r="C125" s="2" t="str">
        <x:v>Kenneth</x:v>
      </x:c>
      <x:c r="D125" s="2" t="str">
        <x:v>Message Orchestrator</x:v>
      </x:c>
      <x:c r="E125" s="26" t="str">
        <x:v>Five-call review with Nova; 3 next-week posts with proof links; one controlled test decision</x:v>
      </x:c>
      <x:c r="F125" s="2" t="n">
        <x:v>1</x:v>
      </x:c>
      <x:c r="G125" s="20"/>
      <x:c r="H125" s="2" t="str">
        <x:v>accepted output</x:v>
      </x:c>
      <x:c r="I125" s="20" t="str">
        <x:v>Ready</x:v>
      </x:c>
      <x:c r="J125" s="2" t="str">
        <x:v>16:45</x:v>
      </x:c>
      <x:c r="K125" s="28" t="str"/>
      <x:c r="L125" s="28" t="str"/>
      <x:c r="M125" s="20" t="str"/>
      <x:c r="N125" s="33"/>
      <x:c r="O125" s="20" t="str"/>
      <x:c r="P125" s="33"/>
      <x:c r="Q125" s="2" t="n">
        <x:f>IF(AND(AE125=1,COUNTIFS($A$7:$A$500,"T0067",$AE$7:$AE$500,1)=1,COUNTIFS($A$7:$A$500,"T0055",$AE$7:$AE$500,1)=1),1,0)</x:f>
        <x:v>0</x:v>
      </x:c>
      <x:c r="R125" s="2" t="str">
        <x:f>IF(AND(Q125=1,P125&lt;='Dashboard'!$B$5),IF(P125&gt;B125,"Accepted late","Accepted"),IF(B125&lt;'Dashboard'!$B$5,"Overdue",IF(I125="Blocked","Blocked",IF(B125='Dashboard'!$B$5,"Due today","Planned"))))</x:f>
        <x:v>Planned</x:v>
      </x:c>
      <x:c r="S125" s="26" t="str">
        <x:f>IF(I125="Accepted",IF(K125="","Add evidence",IF(O125="","Add reviewer",IF(P125="","Add accepted date",IF(AND(ISNUMBER(F125),COUNT(G125)=0),"Add actual quantity",IF(Q125=0,"Review target / date / dependencies","Complete"))))),IF(OR(I125="Blocked",I125="Deferred"),IF(L125="","Record blocker / reason",IF(M125="","Assign rescue owner",IF(N125="","Set recovery date","Recovery assigned"))),IF(B125&lt;'Dashboard'!$B$5,"Escalate and record recovery","Work to acceptance standard")))</x:f>
        <x:v>Work to acceptance standard</x:v>
      </x:c>
      <x:c r="T125" s="26" t="str">
        <x:v>T0067</x:v>
      </x:c>
      <x:c r="U125" s="26" t="str">
        <x:v>Two hours per week reserved for social within Kenneth’s cap. Across each 12-post cycle use 6 Engage / 4 Educate / 2 Promote, with promotion no more than once per fortnight. Wyline approves the exact version before publishing.</x:v>
      </x:c>
      <x:c r="V125" s="31" t="n">
        <x:v>2.4</x:v>
      </x:c>
      <x:c r="W125" s="26" t="str"/>
      <x:c r="X125" s="26" t="str">
        <x:v>DSI Reset PDF: lane responsibilities and dated runbook; dated allocation proposed for this tracker.</x:v>
      </x:c>
      <x:c r="Y125" s="30" t="n">
        <x:f>B125-WEEKDAY(B125,2)+1</x:f>
        <x:v>46328</x:v>
      </x:c>
      <x:c r="Z125" s="2" t="str">
        <x:v>checklist</x:v>
      </x:c>
      <x:c r="AA125" s="2" t="n">
        <x:f>IF(Q125=1,IF(P125&gt;B125,1,0),0)</x:f>
        <x:v>0</x:v>
      </x:c>
      <x:c r="AB125" s="2" t="n">
        <x:f>IF(AND(Q125=1,P125&lt;='Dashboard'!$B$5),0,MAX(0,'Dashboard'!$B$5-B125))</x:f>
        <x:v>0</x:v>
      </x:c>
      <x:c r="AC125" s="28" t="str"/>
      <x:c r="AD125" s="2" t="str">
        <x:f>IF(AND(ISNUMBER(F125),ISNUMBER(G125)),G125-F125,"")</x:f>
      </x:c>
      <x:c r="AE125" s="2" t="n">
        <x:f>IF(AND(I125="Accepted",K125&lt;&gt;"",O125&lt;&gt;"",ISNUMBER(P125),P125&gt;0,P125&lt;='Dashboard'!$B$5,IF(ISNUMBER(F125),ISNUMBER(G125),TRUE),IF(ISNUMBER(F125),G125&gt;=F125,TRUE)),1,0)</x:f>
        <x:v>0</x:v>
      </x:c>
    </x:row>
    <x:row r="126" ht="58" customHeight="1">
      <x:c r="A126" s="2" t="str">
        <x:v>T0110</x:v>
      </x:c>
      <x:c r="B126" s="30" t="n">
        <x:v>46332</x:v>
      </x:c>
      <x:c r="C126" s="2" t="str">
        <x:v>Joey</x:v>
      </x:c>
      <x:c r="D126" s="2" t="str">
        <x:v>Data Orchestrator</x:v>
      </x:c>
      <x:c r="E126" s="26" t="str">
        <x:v>500 cumulative verified records+50-row QA. Planned list output today: 50 new verified contacts; cumulative ready pool 500.</x:v>
      </x:c>
      <x:c r="F126" s="2" t="n">
        <x:v>50</x:v>
      </x:c>
      <x:c r="G126" s="20"/>
      <x:c r="H126" s="2" t="str">
        <x:v>new verified contacts; proposed daily pace</x:v>
      </x:c>
      <x:c r="I126" s="20" t="str">
        <x:v>Ready</x:v>
      </x:c>
      <x:c r="J126" s="2" t="str">
        <x:v>16:45</x:v>
      </x:c>
      <x:c r="K126" s="28" t="str"/>
      <x:c r="L126" s="28" t="str"/>
      <x:c r="M126" s="20" t="str"/>
      <x:c r="N126" s="33"/>
      <x:c r="O126" s="20" t="str"/>
      <x:c r="P126" s="33"/>
      <x:c r="Q126" s="2" t="n">
        <x:f>IF(AND(AE126=1,COUNTIFS($A$7:$A$500,"T0067",$AE$7:$AE$500,1)=1,COUNTIFS($A$7:$A$500,"T0055",$AE$7:$AE$500,1)=1),1,0)</x:f>
        <x:v>0</x:v>
      </x:c>
      <x:c r="R126" s="2" t="str">
        <x:f>IF(AND(Q126=1,P126&lt;='Dashboard'!$B$5),IF(P126&gt;B126,"Accepted late","Accepted"),IF(B126&lt;'Dashboard'!$B$5,"Overdue",IF(I126="Blocked","Blocked",IF(B126='Dashboard'!$B$5,"Due today","Planned"))))</x:f>
        <x:v>Planned</x:v>
      </x:c>
      <x:c r="S126" s="26" t="str">
        <x:f>IF(I126="Accepted",IF(K126="","Add evidence",IF(O126="","Add reviewer",IF(P126="","Add accepted date",IF(AND(ISNUMBER(F126),COUNT(G126)=0),"Add actual quantity",IF(Q126=0,"Review target / date / dependencies","Complete"))))),IF(OR(I126="Blocked",I126="Deferred"),IF(L126="","Record blocker / reason",IF(M126="","Assign rescue owner",IF(N126="","Set recovery date","Recovery assigned"))),IF(B126&lt;'Dashboard'!$B$5,"Escalate and record recovery","Work to acceptance standard")))</x:f>
        <x:v>Work to acceptance standard</x:v>
      </x:c>
      <x:c r="T126" s="26" t="str">
        <x:v>T0067</x:v>
      </x:c>
      <x:c r="U126" s="26" t="str">
        <x:v>Source criteria pass; Wave 2 suppression refreshed.</x:v>
      </x:c>
      <x:c r="V126" s="31" t="n">
        <x:v>3</x:v>
      </x:c>
      <x:c r="W126" s="26" t="str"/>
      <x:c r="X126" s="26" t="str">
        <x:v>DSI Reset PDF: lane responsibilities and dated runbook; dated allocation proposed for this tracker.</x:v>
      </x:c>
      <x:c r="Y126" s="30" t="n">
        <x:f>B126-WEEKDAY(B126,2)+1</x:f>
        <x:v>46328</x:v>
      </x:c>
      <x:c r="Z126" s="2" t="str">
        <x:v>goal</x:v>
      </x:c>
      <x:c r="AA126" s="2" t="n">
        <x:f>IF(Q126=1,IF(P126&gt;B126,1,0),0)</x:f>
        <x:v>0</x:v>
      </x:c>
      <x:c r="AB126" s="2" t="n">
        <x:f>IF(AND(Q126=1,P126&lt;='Dashboard'!$B$5),0,MAX(0,'Dashboard'!$B$5-B126))</x:f>
        <x:v>0</x:v>
      </x:c>
      <x:c r="AC126" s="28" t="str"/>
      <x:c r="AD126" s="2" t="str">
        <x:f>IF(AND(ISNUMBER(F126),ISNUMBER(G126)),G126-F126,"")</x:f>
      </x:c>
      <x:c r="AE126" s="2" t="n">
        <x:f>IF(AND(I126="Accepted",K126&lt;&gt;"",O126&lt;&gt;"",ISNUMBER(P126),P126&gt;0,P126&lt;='Dashboard'!$B$5,IF(ISNUMBER(F126),ISNUMBER(G126),TRUE),IF(ISNUMBER(F126),G126&gt;=F126,TRUE)),1,0)</x:f>
        <x:v>0</x:v>
      </x:c>
    </x:row>
    <x:row r="127" ht="58" customHeight="1">
      <x:c r="A127" s="2" t="str">
        <x:v>T0111</x:v>
      </x:c>
      <x:c r="B127" s="30" t="n">
        <x:v>46332</x:v>
      </x:c>
      <x:c r="C127" s="2" t="str">
        <x:v>Nova</x:v>
      </x:c>
      <x:c r="D127" s="2" t="str">
        <x:v>Conversion Orchestrator</x:v>
      </x:c>
      <x:c r="E127" s="26" t="str">
        <x:v>Launch-week goal: 4 qualified inquiries, 2 bookings and 1 held conversation. Secure at least the first verified inquiry, first booking and first held call; log actual results and specific recovery action if short.</x:v>
      </x:c>
      <x:c r="F127" s="2" t="n">
        <x:v>1</x:v>
      </x:c>
      <x:c r="G127" s="20"/>
      <x:c r="H127" s="2" t="str">
        <x:v>accepted output</x:v>
      </x:c>
      <x:c r="I127" s="20" t="str">
        <x:v>Ready</x:v>
      </x:c>
      <x:c r="J127" s="2" t="str">
        <x:v>16:45</x:v>
      </x:c>
      <x:c r="K127" s="28" t="str"/>
      <x:c r="L127" s="28" t="str"/>
      <x:c r="M127" s="20" t="str"/>
      <x:c r="N127" s="33"/>
      <x:c r="O127" s="20" t="str"/>
      <x:c r="P127" s="33"/>
      <x:c r="Q127" s="2" t="n">
        <x:f>IF(AND(AE127=1,COUNTIFS($A$7:$A$500,"T0067",$AE$7:$AE$500,1)=1,COUNTIFS($A$7:$A$500,"T0055",$AE$7:$AE$500,1)=1),1,0)</x:f>
        <x:v>0</x:v>
      </x:c>
      <x:c r="R127" s="2" t="str">
        <x:f>IF(AND(Q127=1,P127&lt;='Dashboard'!$B$5),IF(P127&gt;B127,"Accepted late","Accepted"),IF(B127&lt;'Dashboard'!$B$5,"Overdue",IF(I127="Blocked","Blocked",IF(B127='Dashboard'!$B$5,"Due today","Planned"))))</x:f>
        <x:v>Planned</x:v>
      </x:c>
      <x:c r="S127" s="26" t="str">
        <x:f>IF(I127="Accepted",IF(K127="","Add evidence",IF(O127="","Add reviewer",IF(P127="","Add accepted date",IF(AND(ISNUMBER(F127),COUNT(G127)=0),"Add actual quantity",IF(Q127=0,"Review target / date / dependencies","Complete"))))),IF(OR(I127="Blocked",I127="Deferred"),IF(L127="","Record blocker / reason",IF(M127="","Assign rescue owner",IF(N127="","Set recovery date","Recovery assigned"))),IF(B127&lt;'Dashboard'!$B$5,"Escalate and record recovery","Work to acceptance standard")))</x:f>
        <x:v>Work to acceptance standard</x:v>
      </x:c>
      <x:c r="T127" s="26" t="str">
        <x:v>T0067</x:v>
      </x:c>
      <x:c r="U127" s="26" t="str">
        <x:v>Use unique CQL records and real calendar outcomes. Any absent first win triggers Wyline’s same-day review of qualified replies, phone handoff and available Nic slots.</x:v>
      </x:c>
      <x:c r="V127" s="31" t="n">
        <x:v>4</x:v>
      </x:c>
      <x:c r="W127" s="26" t="str"/>
      <x:c r="X127" s="26" t="str">
        <x:v>DSI Reset PDF: lane responsibilities and dated runbook; dated allocation proposed for this tracker.</x:v>
      </x:c>
      <x:c r="Y127" s="30" t="n">
        <x:f>B127-WEEKDAY(B127,2)+1</x:f>
        <x:v>46328</x:v>
      </x:c>
      <x:c r="Z127" s="2" t="str">
        <x:v>checklist</x:v>
      </x:c>
      <x:c r="AA127" s="2" t="n">
        <x:f>IF(Q127=1,IF(P127&gt;B127,1,0),0)</x:f>
        <x:v>0</x:v>
      </x:c>
      <x:c r="AB127" s="2" t="n">
        <x:f>IF(AND(Q127=1,P127&lt;='Dashboard'!$B$5),0,MAX(0,'Dashboard'!$B$5-B127))</x:f>
        <x:v>0</x:v>
      </x:c>
      <x:c r="AC127" s="28" t="str"/>
      <x:c r="AD127" s="2" t="str">
        <x:f>IF(AND(ISNUMBER(F127),ISNUMBER(G127)),G127-F127,"")</x:f>
      </x:c>
      <x:c r="AE127" s="2" t="n">
        <x:f>IF(AND(I127="Accepted",K127&lt;&gt;"",O127&lt;&gt;"",ISNUMBER(P127),P127&gt;0,P127&lt;='Dashboard'!$B$5,IF(ISNUMBER(F127),ISNUMBER(G127),TRUE),IF(ISNUMBER(F127),G127&gt;=F127,TRUE)),1,0)</x:f>
        <x:v>0</x:v>
      </x:c>
    </x:row>
    <x:row r="128" ht="58" customHeight="1">
      <x:c r="A128" s="2" t="str">
        <x:v>T0112</x:v>
      </x:c>
      <x:c r="B128" s="30" t="n">
        <x:v>46332</x:v>
      </x:c>
      <x:c r="C128" s="2" t="str">
        <x:v>Emman</x:v>
      </x:c>
      <x:c r="D128" s="2" t="str">
        <x:v>AI Build Orchestrator</x:v>
      </x:c>
      <x:c r="E128" s="26" t="str">
        <x:v>2 signed acceptance reports and SOPs</x:v>
      </x:c>
      <x:c r="F128" s="2" t="n">
        <x:v>1</x:v>
      </x:c>
      <x:c r="G128" s="20"/>
      <x:c r="H128" s="2" t="str">
        <x:v>accepted output</x:v>
      </x:c>
      <x:c r="I128" s="20" t="str">
        <x:v>Ready</x:v>
      </x:c>
      <x:c r="J128" s="2" t="str">
        <x:v>16:45</x:v>
      </x:c>
      <x:c r="K128" s="28" t="str"/>
      <x:c r="L128" s="28" t="str"/>
      <x:c r="M128" s="20" t="str"/>
      <x:c r="N128" s="33"/>
      <x:c r="O128" s="20" t="str"/>
      <x:c r="P128" s="33"/>
      <x:c r="Q128" s="2" t="n">
        <x:f>IF(AND(AE128=1,COUNTIFS($A$7:$A$500,"T0067",$AE$7:$AE$500,1)=1,COUNTIFS($A$7:$A$500,"T0055",$AE$7:$AE$500,1)=1),1,0)</x:f>
        <x:v>0</x:v>
      </x:c>
      <x:c r="R128" s="2" t="str">
        <x:f>IF(AND(Q128=1,P128&lt;='Dashboard'!$B$5),IF(P128&gt;B128,"Accepted late","Accepted"),IF(B128&lt;'Dashboard'!$B$5,"Overdue",IF(I128="Blocked","Blocked",IF(B128='Dashboard'!$B$5,"Due today","Planned"))))</x:f>
        <x:v>Planned</x:v>
      </x:c>
      <x:c r="S128" s="26" t="str">
        <x:f>IF(I128="Accepted",IF(K128="","Add evidence",IF(O128="","Add reviewer",IF(P128="","Add accepted date",IF(AND(ISNUMBER(F128),COUNT(G128)=0),"Add actual quantity",IF(Q128=0,"Review target / date / dependencies","Complete"))))),IF(OR(I128="Blocked",I128="Deferred"),IF(L128="","Record blocker / reason",IF(M128="","Assign rescue owner",IF(N128="","Set recovery date","Recovery assigned"))),IF(B128&lt;'Dashboard'!$B$5,"Escalate and record recovery","Work to acceptance standard")))</x:f>
        <x:v>Work to acceptance standard</x:v>
      </x:c>
      <x:c r="T128" s="26" t="str">
        <x:v>T0067</x:v>
      </x:c>
      <x:c r="U128" s="26" t="str">
        <x:v>Phone admin&lt;6 min; LI list 07:00; manual actions only; fallback if failed.</x:v>
      </x:c>
      <x:c r="V128" s="31" t="n">
        <x:v>4</x:v>
      </x:c>
      <x:c r="W128" s="26" t="str"/>
      <x:c r="X128" s="26" t="str">
        <x:v>DSI Reset PDF: lane responsibilities and dated runbook; dated allocation proposed for this tracker.</x:v>
      </x:c>
      <x:c r="Y128" s="30" t="n">
        <x:f>B128-WEEKDAY(B128,2)+1</x:f>
        <x:v>46328</x:v>
      </x:c>
      <x:c r="Z128" s="2" t="str">
        <x:v>checklist</x:v>
      </x:c>
      <x:c r="AA128" s="2" t="n">
        <x:f>IF(Q128=1,IF(P128&gt;B128,1,0),0)</x:f>
        <x:v>0</x:v>
      </x:c>
      <x:c r="AB128" s="2" t="n">
        <x:f>IF(AND(Q128=1,P128&lt;='Dashboard'!$B$5),0,MAX(0,'Dashboard'!$B$5-B128))</x:f>
        <x:v>0</x:v>
      </x:c>
      <x:c r="AC128" s="28" t="str"/>
      <x:c r="AD128" s="2" t="str">
        <x:f>IF(AND(ISNUMBER(F128),ISNUMBER(G128)),G128-F128,"")</x:f>
      </x:c>
      <x:c r="AE128" s="2" t="n">
        <x:f>IF(AND(I128="Accepted",K128&lt;&gt;"",O128&lt;&gt;"",ISNUMBER(P128),P128&gt;0,P128&lt;='Dashboard'!$B$5,IF(ISNUMBER(F128),ISNUMBER(G128),TRUE),IF(ISNUMBER(F128),G128&gt;=F128,TRUE)),1,0)</x:f>
        <x:v>0</x:v>
      </x:c>
    </x:row>
    <x:row r="129" ht="58" customHeight="1">
      <x:c r="A129" s="2" t="str">
        <x:v>T0113</x:v>
      </x:c>
      <x:c r="B129" s="30" t="n">
        <x:v>46332</x:v>
      </x:c>
      <x:c r="C129" s="2" t="str">
        <x:v>Ludwig</x:v>
      </x:c>
      <x:c r="D129" s="2" t="str">
        <x:v>Integration Engineer</x:v>
      </x:c>
      <x:c r="E129" s="26" t="str">
        <x:v>Webhook/error/dead-letter check; top assigned integration ticket or verified no-ticket note</x:v>
      </x:c>
      <x:c r="F129" s="2" t="n">
        <x:v>1</x:v>
      </x:c>
      <x:c r="G129" s="20"/>
      <x:c r="H129" s="2" t="str">
        <x:v>accepted output</x:v>
      </x:c>
      <x:c r="I129" s="20" t="str">
        <x:v>Ready</x:v>
      </x:c>
      <x:c r="J129" s="2" t="str">
        <x:v>16:45</x:v>
      </x:c>
      <x:c r="K129" s="28" t="str"/>
      <x:c r="L129" s="28" t="str"/>
      <x:c r="M129" s="20" t="str"/>
      <x:c r="N129" s="33"/>
      <x:c r="O129" s="20" t="str"/>
      <x:c r="P129" s="33"/>
      <x:c r="Q129" s="2" t="n">
        <x:f>IF(AND(AE129=1,COUNTIFS($A$7:$A$500,"T0067",$AE$7:$AE$500,1)=1,COUNTIFS($A$7:$A$500,"T0055",$AE$7:$AE$500,1)=1),1,0)</x:f>
        <x:v>0</x:v>
      </x:c>
      <x:c r="R129" s="2" t="str">
        <x:f>IF(AND(Q129=1,P129&lt;='Dashboard'!$B$5),IF(P129&gt;B129,"Accepted late","Accepted"),IF(B129&lt;'Dashboard'!$B$5,"Overdue",IF(I129="Blocked","Blocked",IF(B129='Dashboard'!$B$5,"Due today","Planned"))))</x:f>
        <x:v>Planned</x:v>
      </x:c>
      <x:c r="S129" s="26" t="str">
        <x:f>IF(I129="Accepted",IF(K129="","Add evidence",IF(O129="","Add reviewer",IF(P129="","Add accepted date",IF(AND(ISNUMBER(F129),COUNT(G129)=0),"Add actual quantity",IF(Q129=0,"Review target / date / dependencies","Complete"))))),IF(OR(I129="Blocked",I129="Deferred"),IF(L129="","Record blocker / reason",IF(M129="","Assign rescue owner",IF(N129="","Set recovery date","Recovery assigned"))),IF(B129&lt;'Dashboard'!$B$5,"Escalate and record recovery","Work to acceptance standard")))</x:f>
        <x:v>Work to acceptance standard</x:v>
      </x:c>
      <x:c r="T129" s="26" t="str">
        <x:v>T0067</x:v>
      </x:c>
      <x:c r="U129" s="26" t="str">
        <x:v>Only Emman’s priority queue; 100% test capture; runbook/retry/rollback evidence. If no fault/ticket, release reserve; do not invent work.</x:v>
      </x:c>
      <x:c r="V129" s="31" t="n">
        <x:v>1.6</x:v>
      </x:c>
      <x:c r="W129" s="26" t="str"/>
      <x:c r="X129" s="26" t="str">
        <x:v>DSI Reset PDF: lane responsibilities and dated runbook; dated allocation proposed for this tracker.</x:v>
      </x:c>
      <x:c r="Y129" s="30" t="n">
        <x:f>B129-WEEKDAY(B129,2)+1</x:f>
        <x:v>46328</x:v>
      </x:c>
      <x:c r="Z129" s="2" t="str">
        <x:v>checklist</x:v>
      </x:c>
      <x:c r="AA129" s="2" t="n">
        <x:f>IF(Q129=1,IF(P129&gt;B129,1,0),0)</x:f>
        <x:v>0</x:v>
      </x:c>
      <x:c r="AB129" s="2" t="n">
        <x:f>IF(AND(Q129=1,P129&lt;='Dashboard'!$B$5),0,MAX(0,'Dashboard'!$B$5-B129))</x:f>
        <x:v>0</x:v>
      </x:c>
      <x:c r="AC129" s="28" t="str"/>
      <x:c r="AD129" s="2" t="str">
        <x:f>IF(AND(ISNUMBER(F129),ISNUMBER(G129)),G129-F129,"")</x:f>
      </x:c>
      <x:c r="AE129" s="2" t="n">
        <x:f>IF(AND(I129="Accepted",K129&lt;&gt;"",O129&lt;&gt;"",ISNUMBER(P129),P129&gt;0,P129&lt;='Dashboard'!$B$5,IF(ISNUMBER(F129),ISNUMBER(G129),TRUE),IF(ISNUMBER(F129),G129&gt;=F129,TRUE)),1,0)</x:f>
        <x:v>0</x:v>
      </x:c>
    </x:row>
    <x:row r="130" ht="58" customHeight="1">
      <x:c r="A130" s="2" t="str">
        <x:v>T0114</x:v>
      </x:c>
      <x:c r="B130" s="30" t="n">
        <x:v>46332</x:v>
      </x:c>
      <x:c r="C130" s="2" t="str">
        <x:v>Alvin</x:v>
      </x:c>
      <x:c r="D130" s="2" t="str">
        <x:v>CQL/GHL Implementation</x:v>
      </x:c>
      <x:c r="E130" s="26" t="str">
        <x:v>Stage/calendar/reminder QA; due workflow fixes</x:v>
      </x:c>
      <x:c r="F130" s="2" t="n">
        <x:v>1</x:v>
      </x:c>
      <x:c r="G130" s="20"/>
      <x:c r="H130" s="2" t="str">
        <x:v>accepted output</x:v>
      </x:c>
      <x:c r="I130" s="20" t="str">
        <x:v>Ready</x:v>
      </x:c>
      <x:c r="J130" s="2" t="str">
        <x:v>16:45</x:v>
      </x:c>
      <x:c r="K130" s="28" t="str"/>
      <x:c r="L130" s="28" t="str"/>
      <x:c r="M130" s="20" t="str"/>
      <x:c r="N130" s="33"/>
      <x:c r="O130" s="20" t="str"/>
      <x:c r="P130" s="33"/>
      <x:c r="Q130" s="2" t="n">
        <x:f>IF(AND(AE130=1,COUNTIFS($A$7:$A$500,"T0067",$AE$7:$AE$500,1)=1,COUNTIFS($A$7:$A$500,"T0055",$AE$7:$AE$500,1)=1),1,0)</x:f>
        <x:v>0</x:v>
      </x:c>
      <x:c r="R130" s="2" t="str">
        <x:f>IF(AND(Q130=1,P130&lt;='Dashboard'!$B$5),IF(P130&gt;B130,"Accepted late","Accepted"),IF(B130&lt;'Dashboard'!$B$5,"Overdue",IF(I130="Blocked","Blocked",IF(B130='Dashboard'!$B$5,"Due today","Planned"))))</x:f>
        <x:v>Planned</x:v>
      </x:c>
      <x:c r="S130" s="26" t="str">
        <x:f>IF(I130="Accepted",IF(K130="","Add evidence",IF(O130="","Add reviewer",IF(P130="","Add accepted date",IF(AND(ISNUMBER(F130),COUNT(G130)=0),"Add actual quantity",IF(Q130=0,"Review target / date / dependencies","Complete"))))),IF(OR(I130="Blocked",I130="Deferred"),IF(L130="","Record blocker / reason",IF(M130="","Assign rescue owner",IF(N130="","Set recovery date","Recovery assigned"))),IF(B130&lt;'Dashboard'!$B$5,"Escalate and record recovery","Work to acceptance standard")))</x:f>
        <x:v>Work to acceptance standard</x:v>
      </x:c>
      <x:c r="T130" s="26" t="str">
        <x:v>T0067</x:v>
      </x:c>
      <x:c r="U130" s="26" t="str">
        <x:v>No-show task&lt;=10 min; form/source fields correct; finish critical CRM defect same day. Facebook mirrors exact approved post; Instagram requires permissioned image.</x:v>
      </x:c>
      <x:c r="V130" s="31" t="n">
        <x:v>2</x:v>
      </x:c>
      <x:c r="W130" s="26" t="str"/>
      <x:c r="X130" s="26" t="str">
        <x:v>DSI Reset PDF: lane responsibilities and dated runbook; dated allocation proposed for this tracker.</x:v>
      </x:c>
      <x:c r="Y130" s="30" t="n">
        <x:f>B130-WEEKDAY(B130,2)+1</x:f>
        <x:v>46328</x:v>
      </x:c>
      <x:c r="Z130" s="2" t="str">
        <x:v>checklist</x:v>
      </x:c>
      <x:c r="AA130" s="2" t="n">
        <x:f>IF(Q130=1,IF(P130&gt;B130,1,0),0)</x:f>
        <x:v>0</x:v>
      </x:c>
      <x:c r="AB130" s="2" t="n">
        <x:f>IF(AND(Q130=1,P130&lt;='Dashboard'!$B$5),0,MAX(0,'Dashboard'!$B$5-B130))</x:f>
        <x:v>0</x:v>
      </x:c>
      <x:c r="AC130" s="28" t="str"/>
      <x:c r="AD130" s="2" t="str">
        <x:f>IF(AND(ISNUMBER(F130),ISNUMBER(G130)),G130-F130,"")</x:f>
      </x:c>
      <x:c r="AE130" s="2" t="n">
        <x:f>IF(AND(I130="Accepted",K130&lt;&gt;"",O130&lt;&gt;"",ISNUMBER(P130),P130&gt;0,P130&lt;='Dashboard'!$B$5,IF(ISNUMBER(F130),ISNUMBER(G130),TRUE),IF(ISNUMBER(F130),G130&gt;=F130,TRUE)),1,0)</x:f>
        <x:v>0</x:v>
      </x:c>
    </x:row>
    <x:row r="131" ht="58" customHeight="1">
      <x:c r="A131" s="2" t="str">
        <x:v>T0115</x:v>
      </x:c>
      <x:c r="B131" s="30" t="n">
        <x:v>46332</x:v>
      </x:c>
      <x:c r="C131" s="2" t="str">
        <x:v>Brian</x:v>
      </x:c>
      <x:c r="D131" s="2" t="str">
        <x:v>Web and Tracking</x:v>
      </x:c>
      <x:c r="E131" s="26" t="str">
        <x:v>One health-check result; at most one weekly change ticket or no-ticket note</x:v>
      </x:c>
      <x:c r="F131" s="2" t="n">
        <x:v>1</x:v>
      </x:c>
      <x:c r="G131" s="20"/>
      <x:c r="H131" s="2" t="str">
        <x:v>accepted output</x:v>
      </x:c>
      <x:c r="I131" s="20" t="str">
        <x:v>Ready</x:v>
      </x:c>
      <x:c r="J131" s="2" t="str">
        <x:v>16:45</x:v>
      </x:c>
      <x:c r="K131" s="28" t="str"/>
      <x:c r="L131" s="28" t="str"/>
      <x:c r="M131" s="20" t="str"/>
      <x:c r="N131" s="33"/>
      <x:c r="O131" s="20" t="str"/>
      <x:c r="P131" s="33"/>
      <x:c r="Q131" s="2" t="n">
        <x:f>IF(AND(AE131=1,COUNTIFS($A$7:$A$500,"T0067",$AE$7:$AE$500,1)=1,COUNTIFS($A$7:$A$500,"T0055",$AE$7:$AE$500,1)=1),1,0)</x:f>
        <x:v>0</x:v>
      </x:c>
      <x:c r="R131" s="2" t="str">
        <x:f>IF(AND(Q131=1,P131&lt;='Dashboard'!$B$5),IF(P131&gt;B131,"Accepted late","Accepted"),IF(B131&lt;'Dashboard'!$B$5,"Overdue",IF(I131="Blocked","Blocked",IF(B131='Dashboard'!$B$5,"Due today","Planned"))))</x:f>
        <x:v>Planned</x:v>
      </x:c>
      <x:c r="S131" s="26" t="str">
        <x:f>IF(I131="Accepted",IF(K131="","Add evidence",IF(O131="","Add reviewer",IF(P131="","Add accepted date",IF(AND(ISNUMBER(F131),COUNT(G131)=0),"Add actual quantity",IF(Q131=0,"Review target / date / dependencies","Complete"))))),IF(OR(I131="Blocked",I131="Deferred"),IF(L131="","Record blocker / reason",IF(M131="","Assign rescue owner",IF(N131="","Set recovery date","Recovery assigned"))),IF(B131&lt;'Dashboard'!$B$5,"Escalate and record recovery","Work to acceptance standard")))</x:f>
        <x:v>Work to acceptance standard</x:v>
      </x:c>
      <x:c r="T131" s="26" t="str">
        <x:v>T0067</x:v>
      </x:c>
      <x:c r="U131" s="26" t="str">
        <x:v>Form to CQL&lt;1 min; approved copy unchanged; no work manufactured if healthy; ongoing reserve&lt;=2 h/week.</x:v>
      </x:c>
      <x:c r="V131" s="31" t="n">
        <x:v>0.4</x:v>
      </x:c>
      <x:c r="W131" s="26" t="str"/>
      <x:c r="X131" s="26" t="str">
        <x:v>DSI Reset PDF: lane responsibilities and dated runbook; dated allocation proposed for this tracker.</x:v>
      </x:c>
      <x:c r="Y131" s="30" t="n">
        <x:f>B131-WEEKDAY(B131,2)+1</x:f>
        <x:v>46328</x:v>
      </x:c>
      <x:c r="Z131" s="2" t="str">
        <x:v>checklist</x:v>
      </x:c>
      <x:c r="AA131" s="2" t="n">
        <x:f>IF(Q131=1,IF(P131&gt;B131,1,0),0)</x:f>
        <x:v>0</x:v>
      </x:c>
      <x:c r="AB131" s="2" t="n">
        <x:f>IF(AND(Q131=1,P131&lt;='Dashboard'!$B$5),0,MAX(0,'Dashboard'!$B$5-B131))</x:f>
        <x:v>0</x:v>
      </x:c>
      <x:c r="AC131" s="28" t="str"/>
      <x:c r="AD131" s="2" t="str">
        <x:f>IF(AND(ISNUMBER(F131),ISNUMBER(G131)),G131-F131,"")</x:f>
      </x:c>
      <x:c r="AE131" s="2" t="n">
        <x:f>IF(AND(I131="Accepted",K131&lt;&gt;"",O131&lt;&gt;"",ISNUMBER(P131),P131&gt;0,P131&lt;='Dashboard'!$B$5,IF(ISNUMBER(F131),ISNUMBER(G131),TRUE),IF(ISNUMBER(F131),G131&gt;=F131,TRUE)),1,0)</x:f>
        <x:v>0</x:v>
      </x:c>
    </x:row>
    <x:row r="132" ht="58" customHeight="1">
      <x:c r="A132" s="2" t="str">
        <x:v>T0116</x:v>
      </x:c>
      <x:c r="B132" s="30" t="n">
        <x:v>46332</x:v>
      </x:c>
      <x:c r="C132" s="2" t="str">
        <x:v>Dexter</x:v>
      </x:c>
      <x:c r="D132" s="2" t="str">
        <x:v>LinkedIn Execution</x:v>
      </x:c>
      <x:c r="E132" s="26" t="str">
        <x:v>CQL logged DMs/accepts; eligible requests; referred interested replies; approved post evidence</x:v>
      </x:c>
      <x:c r="F132" s="2" t="n">
        <x:v>25</x:v>
      </x:c>
      <x:c r="G132" s="20"/>
      <x:c r="H132" s="2" t="str">
        <x:v>new request working target; eligible pool required</x:v>
      </x:c>
      <x:c r="I132" s="20" t="str">
        <x:v>Ready</x:v>
      </x:c>
      <x:c r="J132" s="2" t="str">
        <x:v>16:45</x:v>
      </x:c>
      <x:c r="K132" s="28" t="str"/>
      <x:c r="L132" s="28" t="str"/>
      <x:c r="M132" s="20" t="str"/>
      <x:c r="N132" s="33"/>
      <x:c r="O132" s="20" t="str"/>
      <x:c r="P132" s="33"/>
      <x:c r="Q132" s="2" t="n">
        <x:f>IF(AND(AE132=1,COUNTIFS($A$7:$A$500,"T0067",$AE$7:$AE$500,1)=1,COUNTIFS($A$7:$A$500,"T0055",$AE$7:$AE$500,1)=1),1,0)</x:f>
        <x:v>0</x:v>
      </x:c>
      <x:c r="R132" s="2" t="str">
        <x:f>IF(AND(Q132=1,P132&lt;='Dashboard'!$B$5),IF(P132&gt;B132,"Accepted late","Accepted"),IF(B132&lt;'Dashboard'!$B$5,"Overdue",IF(I132="Blocked","Blocked",IF(B132='Dashboard'!$B$5,"Due today","Planned"))))</x:f>
        <x:v>Planned</x:v>
      </x:c>
      <x:c r="S132" s="26" t="str">
        <x:f>IF(I132="Accepted",IF(K132="","Add evidence",IF(O132="","Add reviewer",IF(P132="","Add accepted date",IF(AND(ISNUMBER(F132),COUNT(G132)=0),"Add actual quantity",IF(Q132=0,"Review target / date / dependencies","Complete"))))),IF(OR(I132="Blocked",I132="Deferred"),IF(L132="","Record blocker / reason",IF(M132="","Assign rescue owner",IF(N132="","Set recovery date","Recovery assigned"))),IF(B132&lt;'Dashboard'!$B$5,"Escalate and record recovery","Work to acceptance standard")))</x:f>
        <x:v>Work to acceptance standard</x:v>
      </x:c>
      <x:c r="T132" s="26" t="str">
        <x:v>T0067</x:v>
      </x:c>
      <x:c r="U132"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32" s="31" t="n">
        <x:v>3</x:v>
      </x:c>
      <x:c r="W132" s="26" t="str"/>
      <x:c r="X132" s="26" t="str">
        <x:v>DSI Reset PDF: lane responsibilities and dated runbook; dated allocation proposed for this tracker.</x:v>
      </x:c>
      <x:c r="Y132" s="30" t="n">
        <x:f>B132-WEEKDAY(B132,2)+1</x:f>
        <x:v>46328</x:v>
      </x:c>
      <x:c r="Z132" s="2" t="str">
        <x:v>capacity</x:v>
      </x:c>
      <x:c r="AA132" s="2" t="n">
        <x:f>IF(Q132=1,IF(P132&gt;B132,1,0),0)</x:f>
        <x:v>0</x:v>
      </x:c>
      <x:c r="AB132" s="2" t="n">
        <x:f>IF(AND(Q132=1,P132&lt;='Dashboard'!$B$5),0,MAX(0,'Dashboard'!$B$5-B132))</x:f>
        <x:v>0</x:v>
      </x:c>
      <x:c r="AC132" s="28" t="str"/>
      <x:c r="AD132" s="2" t="str">
        <x:f>IF(AND(ISNUMBER(F132),ISNUMBER(G132)),G132-F132,"")</x:f>
      </x:c>
      <x:c r="AE132" s="2" t="n">
        <x:f>IF(AND(I132="Accepted",K132&lt;&gt;"",O132&lt;&gt;"",ISNUMBER(P132),P132&gt;0,P132&lt;='Dashboard'!$B$5,IF(ISNUMBER(F132),ISNUMBER(G132),TRUE),IF(ISNUMBER(F132),OR(G132&gt;=F132,AC132&lt;&gt;""),TRUE)),1,0)</x:f>
        <x:v>0</x:v>
      </x:c>
    </x:row>
    <x:row r="133" ht="58" customHeight="1">
      <x:c r="A133" s="2" t="str">
        <x:v>T0117</x:v>
      </x:c>
      <x:c r="B133" s="30" t="n">
        <x:v>46332</x:v>
      </x:c>
      <x:c r="C133" s="2" t="str">
        <x:v>Setter 1</x:v>
      </x:c>
      <x:c r="D133" s="2" t="str">
        <x:v>Reply and Phone Setter</x:v>
      </x:c>
      <x:c r="E133" s="26" t="str">
        <x:v>SLA/call outcome log; bookings and next steps; handoff to Nova</x:v>
      </x:c>
      <x:c r="F133" s="2" t="n">
        <x:v>50</x:v>
      </x:c>
      <x:c r="G133" s="20"/>
      <x:c r="H133" s="2" t="str">
        <x:v>dial working target; inbound SLA takes priority</x:v>
      </x:c>
      <x:c r="I133" s="20" t="str">
        <x:v>Ready</x:v>
      </x:c>
      <x:c r="J133" s="2" t="str">
        <x:v>16:45</x:v>
      </x:c>
      <x:c r="K133" s="28" t="str"/>
      <x:c r="L133" s="28" t="str"/>
      <x:c r="M133" s="20" t="str"/>
      <x:c r="N133" s="33"/>
      <x:c r="O133" s="20" t="str"/>
      <x:c r="P133" s="33"/>
      <x:c r="Q133" s="2" t="n">
        <x:f>IF(AND(AE133=1,COUNTIFS($A$7:$A$500,"T0013",$AE$7:$AE$500,1)=1,COUNTIFS($A$7:$A$500,"T0055",$AE$7:$AE$500,1)=1),1,0)</x:f>
        <x:v>0</x:v>
      </x:c>
      <x:c r="R133" s="2" t="str">
        <x:f>IF(AND(Q133=1,P133&lt;='Dashboard'!$B$5),IF(P133&gt;B133,"Accepted late","Accepted"),IF(B133&lt;'Dashboard'!$B$5,"Overdue",IF(I133="Blocked","Blocked",IF(B133='Dashboard'!$B$5,"Due today","Planned"))))</x:f>
        <x:v>Planned</x:v>
      </x:c>
      <x:c r="S133" s="26" t="str">
        <x:f>IF(I133="Accepted",IF(K133="","Add evidence",IF(O133="","Add reviewer",IF(P133="","Add accepted date",IF(AND(ISNUMBER(F133),COUNT(G133)=0),"Add actual quantity",IF(Q133=0,"Review target / date / dependencies","Complete"))))),IF(OR(I133="Blocked",I133="Deferred"),IF(L133="","Record blocker / reason",IF(M133="","Assign rescue owner",IF(N133="","Set recovery date","Recovery assigned"))),IF(B133&lt;'Dashboard'!$B$5,"Escalate and record recovery","Work to acceptance standard")))</x:f>
        <x:v>Work to acceptance standard</x:v>
      </x:c>
      <x:c r="T133" s="26" t="str">
        <x:v>T0013; T0055</x:v>
      </x:c>
      <x:c r="U133"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33" s="31" t="n">
        <x:v>7.5</x:v>
      </x:c>
      <x:c r="W133" s="26" t="str"/>
      <x:c r="X133" s="26" t="str">
        <x:v>DSI Reset PDF: lane responsibilities and dated runbook; dated allocation proposed for this tracker.</x:v>
      </x:c>
      <x:c r="Y133" s="30" t="n">
        <x:f>B133-WEEKDAY(B133,2)+1</x:f>
        <x:v>46328</x:v>
      </x:c>
      <x:c r="Z133" s="2" t="str">
        <x:v>capacity</x:v>
      </x:c>
      <x:c r="AA133" s="2" t="n">
        <x:f>IF(Q133=1,IF(P133&gt;B133,1,0),0)</x:f>
        <x:v>0</x:v>
      </x:c>
      <x:c r="AB133" s="2" t="n">
        <x:f>IF(AND(Q133=1,P133&lt;='Dashboard'!$B$5),0,MAX(0,'Dashboard'!$B$5-B133))</x:f>
        <x:v>0</x:v>
      </x:c>
      <x:c r="AC133" s="28" t="str"/>
      <x:c r="AD133" s="2" t="str">
        <x:f>IF(AND(ISNUMBER(F133),ISNUMBER(G133)),G133-F133,"")</x:f>
      </x:c>
      <x:c r="AE133" s="2" t="n">
        <x:f>IF(AND(I133="Accepted",K133&lt;&gt;"",O133&lt;&gt;"",ISNUMBER(P133),P133&gt;0,P133&lt;='Dashboard'!$B$5,IF(ISNUMBER(F133),ISNUMBER(G133),TRUE),IF(ISNUMBER(F133),OR(G133&gt;=F133,AC133&lt;&gt;""),TRUE)),1,0)</x:f>
        <x:v>0</x:v>
      </x:c>
    </x:row>
    <x:row r="134" ht="58" customHeight="1">
      <x:c r="A134" s="2" t="str">
        <x:v>T0118</x:v>
      </x:c>
      <x:c r="B134" s="30" t="n">
        <x:v>46332</x:v>
      </x:c>
      <x:c r="C134" s="2" t="str">
        <x:v>Setter 2</x:v>
      </x:c>
      <x:c r="D134" s="2" t="str">
        <x:v>Reply and Phone Setter</x:v>
      </x:c>
      <x:c r="E134" s="26" t="str">
        <x:v>SLA/call outcome log; bookings and next steps; handoff to Nova</x:v>
      </x:c>
      <x:c r="F134" s="2" t="n">
        <x:v>50</x:v>
      </x:c>
      <x:c r="G134" s="20"/>
      <x:c r="H134" s="2" t="str">
        <x:v>dial working target; inbound SLA takes priority</x:v>
      </x:c>
      <x:c r="I134" s="20" t="str">
        <x:v>Ready</x:v>
      </x:c>
      <x:c r="J134" s="2" t="str">
        <x:v>16:45</x:v>
      </x:c>
      <x:c r="K134" s="28" t="str"/>
      <x:c r="L134" s="28" t="str"/>
      <x:c r="M134" s="20" t="str"/>
      <x:c r="N134" s="33"/>
      <x:c r="O134" s="20" t="str"/>
      <x:c r="P134" s="33"/>
      <x:c r="Q134" s="2" t="n">
        <x:f>IF(AND(AE134=1,COUNTIFS($A$7:$A$500,"T0013",$AE$7:$AE$500,1)=1,COUNTIFS($A$7:$A$500,"T0055",$AE$7:$AE$500,1)=1),1,0)</x:f>
        <x:v>0</x:v>
      </x:c>
      <x:c r="R134" s="2" t="str">
        <x:f>IF(AND(Q134=1,P134&lt;='Dashboard'!$B$5),IF(P134&gt;B134,"Accepted late","Accepted"),IF(B134&lt;'Dashboard'!$B$5,"Overdue",IF(I134="Blocked","Blocked",IF(B134='Dashboard'!$B$5,"Due today","Planned"))))</x:f>
        <x:v>Planned</x:v>
      </x:c>
      <x:c r="S134" s="26" t="str">
        <x:f>IF(I134="Accepted",IF(K134="","Add evidence",IF(O134="","Add reviewer",IF(P134="","Add accepted date",IF(AND(ISNUMBER(F134),COUNT(G134)=0),"Add actual quantity",IF(Q134=0,"Review target / date / dependencies","Complete"))))),IF(OR(I134="Blocked",I134="Deferred"),IF(L134="","Record blocker / reason",IF(M134="","Assign rescue owner",IF(N134="","Set recovery date","Recovery assigned"))),IF(B134&lt;'Dashboard'!$B$5,"Escalate and record recovery","Work to acceptance standard")))</x:f>
        <x:v>Work to acceptance standard</x:v>
      </x:c>
      <x:c r="T134" s="26" t="str">
        <x:v>T0013; T0055</x:v>
      </x:c>
      <x:c r="U13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34" s="31" t="n">
        <x:v>7.5</x:v>
      </x:c>
      <x:c r="W134" s="26" t="str"/>
      <x:c r="X134" s="26" t="str">
        <x:v>DSI Reset PDF: lane responsibilities and dated runbook; dated allocation proposed for this tracker.</x:v>
      </x:c>
      <x:c r="Y134" s="30" t="n">
        <x:f>B134-WEEKDAY(B134,2)+1</x:f>
        <x:v>46328</x:v>
      </x:c>
      <x:c r="Z134" s="2" t="str">
        <x:v>capacity</x:v>
      </x:c>
      <x:c r="AA134" s="2" t="n">
        <x:f>IF(Q134=1,IF(P134&gt;B134,1,0),0)</x:f>
        <x:v>0</x:v>
      </x:c>
      <x:c r="AB134" s="2" t="n">
        <x:f>IF(AND(Q134=1,P134&lt;='Dashboard'!$B$5),0,MAX(0,'Dashboard'!$B$5-B134))</x:f>
        <x:v>0</x:v>
      </x:c>
      <x:c r="AC134" s="28" t="str"/>
      <x:c r="AD134" s="2" t="str">
        <x:f>IF(AND(ISNUMBER(F134),ISNUMBER(G134)),G134-F134,"")</x:f>
      </x:c>
      <x:c r="AE134" s="2" t="n">
        <x:f>IF(AND(I134="Accepted",K134&lt;&gt;"",O134&lt;&gt;"",ISNUMBER(P134),P134&gt;0,P134&lt;='Dashboard'!$B$5,IF(ISNUMBER(F134),ISNUMBER(G134),TRUE),IF(ISNUMBER(F134),OR(G134&gt;=F134,AC134&lt;&gt;""),TRUE)),1,0)</x:f>
        <x:v>0</x:v>
      </x:c>
    </x:row>
    <x:row r="135" ht="58" customHeight="1">
      <x:c r="A135" s="2" t="str">
        <x:v>T0431</x:v>
      </x:c>
      <x:c r="B135" s="30" t="n">
        <x:v>46332</x:v>
      </x:c>
      <x:c r="C135" s="2" t="str">
        <x:v>Nic</x:v>
      </x:c>
      <x:c r="D135" s="2" t="str">
        <x:v>Client dependency</x:v>
      </x:c>
      <x:c r="E135" s="26" t="str">
        <x:v>5 unique Tier A calls/outcomes</x:v>
      </x:c>
      <x:c r="F135" s="2" t="n">
        <x:v>1</x:v>
      </x:c>
      <x:c r="G135" s="20"/>
      <x:c r="H135" s="2" t="str">
        <x:v>accepted output</x:v>
      </x:c>
      <x:c r="I135" s="20" t="str">
        <x:v>Ready</x:v>
      </x:c>
      <x:c r="J135" s="2" t="str">
        <x:v>16:45</x:v>
      </x:c>
      <x:c r="K135" s="28" t="str"/>
      <x:c r="L135" s="28" t="str"/>
      <x:c r="M135" s="20" t="str"/>
      <x:c r="N135" s="33"/>
      <x:c r="O135" s="20" t="str"/>
      <x:c r="P135" s="33"/>
      <x:c r="Q135" s="2" t="n">
        <x:f>IF(AND(AE135=1,COUNTIFS($A$7:$A$500,"T0028",$AE$7:$AE$500,1)=1),1,0)</x:f>
        <x:v>0</x:v>
      </x:c>
      <x:c r="R135" s="2" t="str">
        <x:f>IF(AND(Q135=1,P135&lt;='Dashboard'!$B$5),IF(P135&gt;B135,"Accepted late","Accepted"),IF(B135&lt;'Dashboard'!$B$5,"Overdue",IF(I135="Blocked","Blocked",IF(B135='Dashboard'!$B$5,"Due today","Planned"))))</x:f>
        <x:v>Planned</x:v>
      </x:c>
      <x:c r="S135" s="26" t="str">
        <x:f>IF(I135="Accepted",IF(K135="","Add evidence",IF(O135="","Add reviewer",IF(P135="","Add accepted date",IF(AND(ISNUMBER(F135),COUNT(G135)=0),"Add actual quantity",IF(Q135=0,"Review target / date / dependencies","Complete"))))),IF(OR(I135="Blocked",I135="Deferred"),IF(L135="","Record blocker / reason",IF(M135="","Assign rescue owner",IF(N135="","Set recovery date","Recovery assigned"))),IF(B135&lt;'Dashboard'!$B$5,"Escalate and record recovery","Work to acceptance standard")))</x:f>
        <x:v>Work to acceptance standard</x:v>
      </x:c>
      <x:c r="T135" s="26" t="str">
        <x:v>T0028</x:v>
      </x:c>
      <x:c r="U135" s="26" t="str">
        <x:v>Name/introduction request and next step logged; no assumed result.</x:v>
      </x:c>
      <x:c r="V135" s="31" t="n">
        <x:v>1.5</x:v>
      </x:c>
      <x:c r="W135" s="26" t="str"/>
      <x:c r="X135" s="26" t="str">
        <x:v>DSI Reset PDF: lane responsibilities and dated runbook; dated allocation proposed for this tracker.</x:v>
      </x:c>
      <x:c r="Y135" s="30" t="n">
        <x:f>B135-WEEKDAY(B135,2)+1</x:f>
        <x:v>46328</x:v>
      </x:c>
      <x:c r="Z135" s="2" t="str">
        <x:v>checklist</x:v>
      </x:c>
      <x:c r="AA135" s="2" t="n">
        <x:f>IF(Q135=1,IF(P135&gt;B135,1,0),0)</x:f>
        <x:v>0</x:v>
      </x:c>
      <x:c r="AB135" s="2" t="n">
        <x:f>IF(AND(Q135=1,P135&lt;='Dashboard'!$B$5),0,MAX(0,'Dashboard'!$B$5-B135))</x:f>
        <x:v>0</x:v>
      </x:c>
      <x:c r="AC135" s="28" t="str"/>
      <x:c r="AD135" s="2" t="str">
        <x:f>IF(AND(ISNUMBER(F135),ISNUMBER(G135)),G135-F135,"")</x:f>
      </x:c>
      <x:c r="AE135" s="2" t="n">
        <x:f>IF(AND(I135="Accepted",K135&lt;&gt;"",O135&lt;&gt;"",ISNUMBER(P135),P135&gt;0,P135&lt;='Dashboard'!$B$5,IF(ISNUMBER(F135),ISNUMBER(G135),TRUE),IF(ISNUMBER(F135),G135&gt;=F135,TRUE)),1,0)</x:f>
        <x:v>0</x:v>
      </x:c>
    </x:row>
    <x:row r="136" ht="58" customHeight="1">
      <x:c r="A136" s="2" t="str">
        <x:v>T0442</x:v>
      </x:c>
      <x:c r="B136" s="30" t="n">
        <x:v>46332</x:v>
      </x:c>
      <x:c r="C136" s="2" t="str">
        <x:v>Maseeha</x:v>
      </x:c>
      <x:c r="D136" s="2" t="str">
        <x:v>Client dependency</x:v>
      </x:c>
      <x:c r="E136" s="26" t="str">
        <x:v>Due intro verification; kit/case handoff; delivery/Day-30 dates; credit trigger log. Planned asks today: 2 unique existing accounts; cumulative 15.</x:v>
      </x:c>
      <x:c r="F136" s="2" t="str"/>
      <x:c r="G136" s="20"/>
      <x:c r="H136" s="2" t="str">
        <x:v>all due cases</x:v>
      </x:c>
      <x:c r="I136" s="20" t="str">
        <x:v>Ready</x:v>
      </x:c>
      <x:c r="J136" s="2" t="str">
        <x:v>16:45</x:v>
      </x:c>
      <x:c r="K136" s="28" t="str"/>
      <x:c r="L136" s="28" t="str"/>
      <x:c r="M136" s="20" t="str"/>
      <x:c r="N136" s="33"/>
      <x:c r="O136" s="20" t="str"/>
      <x:c r="P136" s="33"/>
      <x:c r="Q136" s="2" t="n">
        <x:f>IF(AND(AE136=1,COUNTIFS($A$7:$A$500,"T0028",$AE$7:$AE$500,1)=1),1,0)</x:f>
        <x:v>0</x:v>
      </x:c>
      <x:c r="R136" s="2" t="str">
        <x:f>IF(AND(Q136=1,P136&lt;='Dashboard'!$B$5),IF(P136&gt;B136,"Accepted late","Accepted"),IF(B136&lt;'Dashboard'!$B$5,"Overdue",IF(I136="Blocked","Blocked",IF(B136='Dashboard'!$B$5,"Due today","Planned"))))</x:f>
        <x:v>Planned</x:v>
      </x:c>
      <x:c r="S136" s="26" t="str">
        <x:f>IF(I136="Accepted",IF(K136="","Add evidence",IF(O136="","Add reviewer",IF(P136="","Add accepted date",IF(AND(ISNUMBER(F136),COUNT(G136)=0),"Add actual quantity",IF(Q136=0,"Review target / date / dependencies","Complete"))))),IF(OR(I136="Blocked",I136="Deferred"),IF(L136="","Record blocker / reason",IF(M136="","Assign rescue owner",IF(N136="","Set recovery date","Recovery assigned"))),IF(B136&lt;'Dashboard'!$B$5,"Escalate and record recovery","Work to acceptance standard")))</x:f>
        <x:v>Work to acceptance standard</x:v>
      </x:c>
      <x:c r="T136" s="26" t="str">
        <x:v>T0028</x:v>
      </x:c>
      <x:c r="U136" s="26" t="str">
        <x:v>Demand-linked: referral verification&lt;=2 business days; trial capacity respected; $200 credit only on eligible invoice paid.</x:v>
      </x:c>
      <x:c r="V136" s="31" t="n">
        <x:v>0.5</x:v>
      </x:c>
      <x:c r="W136" s="26" t="str"/>
      <x:c r="X136" s="26" t="str">
        <x:v>DSI Reset PDF: lane responsibilities and dated runbook; dated allocation proposed for this tracker.</x:v>
      </x:c>
      <x:c r="Y136" s="30" t="n">
        <x:f>B136-WEEKDAY(B136,2)+1</x:f>
        <x:v>46328</x:v>
      </x:c>
      <x:c r="Z136" s="2" t="str">
        <x:v>demand</x:v>
      </x:c>
      <x:c r="AA136" s="2" t="n">
        <x:f>IF(Q136=1,IF(P136&gt;B136,1,0),0)</x:f>
        <x:v>0</x:v>
      </x:c>
      <x:c r="AB136" s="2" t="n">
        <x:f>IF(AND(Q136=1,P136&lt;='Dashboard'!$B$5),0,MAX(0,'Dashboard'!$B$5-B136))</x:f>
        <x:v>0</x:v>
      </x:c>
      <x:c r="AC136" s="28" t="str"/>
      <x:c r="AD136" s="2" t="str">
        <x:f>IF(AND(ISNUMBER(F136),ISNUMBER(G136)),G136-F136,"")</x:f>
      </x:c>
      <x:c r="AE136" s="2" t="n">
        <x:f>IF(AND(I136="Accepted",K136&lt;&gt;"",O136&lt;&gt;"",ISNUMBER(P136),P136&gt;0,P136&lt;='Dashboard'!$B$5,IF(ISNUMBER(F136),ISNUMBER(G136),TRUE)),1,0)</x:f>
        <x:v>0</x:v>
      </x:c>
    </x:row>
    <x:row r="137" ht="58" customHeight="1">
      <x:c r="A137" s="2" t="str">
        <x:v>T0119</x:v>
      </x:c>
      <x:c r="B137" s="30" t="n">
        <x:v>46335</x:v>
      </x:c>
      <x:c r="C137" s="2" t="str">
        <x:v>Wyline</x:v>
      </x:c>
      <x:c r="D137" s="2" t="str">
        <x:v>Program Director</x:v>
      </x:c>
      <x:c r="E137" s="26" t="str">
        <x:v>Accepted-output register; actual-vs-target dashboard; blocker/rescue assignments</x:v>
      </x:c>
      <x:c r="F137" s="2" t="n">
        <x:v>1</x:v>
      </x:c>
      <x:c r="G137" s="20"/>
      <x:c r="H137" s="2" t="str">
        <x:v>accepted output</x:v>
      </x:c>
      <x:c r="I137" s="20" t="str">
        <x:v>Ready</x:v>
      </x:c>
      <x:c r="J137" s="2" t="str">
        <x:v>16:45</x:v>
      </x:c>
      <x:c r="K137" s="28" t="str"/>
      <x:c r="L137" s="28" t="str"/>
      <x:c r="M137" s="20" t="str"/>
      <x:c r="N137" s="33"/>
      <x:c r="O137" s="20" t="str"/>
      <x:c r="P137" s="33"/>
      <x:c r="Q137" s="2" t="n">
        <x:f>IF(AND(AE137=1,COUNTIFS($A$7:$A$500,"T0067",$AE$7:$AE$500,1)=1,COUNTIFS($A$7:$A$500,"T0055",$AE$7:$AE$500,1)=1),1,0)</x:f>
        <x:v>0</x:v>
      </x:c>
      <x:c r="R137" s="2" t="str">
        <x:f>IF(AND(Q137=1,P137&lt;='Dashboard'!$B$5),IF(P137&gt;B137,"Accepted late","Accepted"),IF(B137&lt;'Dashboard'!$B$5,"Overdue",IF(I137="Blocked","Blocked",IF(B137='Dashboard'!$B$5,"Due today","Planned"))))</x:f>
        <x:v>Planned</x:v>
      </x:c>
      <x:c r="S137" s="26" t="str">
        <x:f>IF(I137="Accepted",IF(K137="","Add evidence",IF(O137="","Add reviewer",IF(P137="","Add accepted date",IF(AND(ISNUMBER(F137),COUNT(G137)=0),"Add actual quantity",IF(Q137=0,"Review target / date / dependencies","Complete"))))),IF(OR(I137="Blocked",I137="Deferred"),IF(L137="","Record blocker / reason",IF(M137="","Assign rescue owner",IF(N137="","Set recovery date","Recovery assigned"))),IF(B137&lt;'Dashboard'!$B$5,"Escalate and record recovery","Work to acceptance standard")))</x:f>
        <x:v>Work to acceptance standard</x:v>
      </x:c>
      <x:c r="T137" s="26" t="str">
        <x:v>T0067</x:v>
      </x:c>
      <x:c r="U137" s="26" t="str">
        <x:v>09:00 standup; 13:00/16:30 recovery checks; 17:00 acceptance. Every overdue task keeps original date and named recovery owner.</x:v>
      </x:c>
      <x:c r="V137" s="31" t="n">
        <x:v>3</x:v>
      </x:c>
      <x:c r="W137" s="26" t="str"/>
      <x:c r="X137" s="26" t="str">
        <x:v>DSI Reset PDF: lane responsibilities and dated runbook; dated allocation proposed for this tracker.</x:v>
      </x:c>
      <x:c r="Y137" s="30" t="n">
        <x:f>B137-WEEKDAY(B137,2)+1</x:f>
        <x:v>46335</x:v>
      </x:c>
      <x:c r="Z137" s="2" t="str">
        <x:v>checklist</x:v>
      </x:c>
      <x:c r="AA137" s="2" t="n">
        <x:f>IF(Q137=1,IF(P137&gt;B137,1,0),0)</x:f>
        <x:v>0</x:v>
      </x:c>
      <x:c r="AB137" s="2" t="n">
        <x:f>IF(AND(Q137=1,P137&lt;='Dashboard'!$B$5),0,MAX(0,'Dashboard'!$B$5-B137))</x:f>
        <x:v>0</x:v>
      </x:c>
      <x:c r="AC137" s="28" t="str"/>
      <x:c r="AD137" s="2" t="str">
        <x:f>IF(AND(ISNUMBER(F137),ISNUMBER(G137)),G137-F137,"")</x:f>
      </x:c>
      <x:c r="AE137" s="2" t="n">
        <x:f>IF(AND(I137="Accepted",K137&lt;&gt;"",O137&lt;&gt;"",ISNUMBER(P137),P137&gt;0,P137&lt;='Dashboard'!$B$5,IF(ISNUMBER(F137),ISNUMBER(G137),TRUE),IF(ISNUMBER(F137),G137&gt;=F137,TRUE)),1,0)</x:f>
        <x:v>0</x:v>
      </x:c>
    </x:row>
    <x:row r="138" ht="58" customHeight="1">
      <x:c r="A138" s="2" t="str">
        <x:v>T0120</x:v>
      </x:c>
      <x:c r="B138" s="30" t="n">
        <x:v>46335</x:v>
      </x:c>
      <x:c r="C138" s="2" t="str">
        <x:v>Kenneth</x:v>
      </x:c>
      <x:c r="D138" s="2" t="str">
        <x:v>Message Orchestrator</x:v>
      </x:c>
      <x:c r="E138" s="26" t="str">
        <x:v>Human-reply insights; 5 Inbox draft checks; approved first lines; claim exceptions</x:v>
      </x:c>
      <x:c r="F138" s="2" t="n">
        <x:v>1</x:v>
      </x:c>
      <x:c r="G138" s="20"/>
      <x:c r="H138" s="2" t="str">
        <x:v>accepted output</x:v>
      </x:c>
      <x:c r="I138" s="20" t="str">
        <x:v>Ready</x:v>
      </x:c>
      <x:c r="J138" s="2" t="str">
        <x:v>16:45</x:v>
      </x:c>
      <x:c r="K138" s="28" t="str"/>
      <x:c r="L138" s="28" t="str"/>
      <x:c r="M138" s="20" t="str"/>
      <x:c r="N138" s="33"/>
      <x:c r="O138" s="20" t="str"/>
      <x:c r="P138" s="33"/>
      <x:c r="Q138" s="2" t="n">
        <x:f>IF(AND(AE138=1,COUNTIFS($A$7:$A$500,"T0067",$AE$7:$AE$500,1)=1,COUNTIFS($A$7:$A$500,"T0055",$AE$7:$AE$500,1)=1),1,0)</x:f>
        <x:v>0</x:v>
      </x:c>
      <x:c r="R138" s="2" t="str">
        <x:f>IF(AND(Q138=1,P138&lt;='Dashboard'!$B$5),IF(P138&gt;B138,"Accepted late","Accepted"),IF(B138&lt;'Dashboard'!$B$5,"Overdue",IF(I138="Blocked","Blocked",IF(B138='Dashboard'!$B$5,"Due today","Planned"))))</x:f>
        <x:v>Planned</x:v>
      </x:c>
      <x:c r="S138" s="26" t="str">
        <x:f>IF(I138="Accepted",IF(K138="","Add evidence",IF(O138="","Add reviewer",IF(P138="","Add accepted date",IF(AND(ISNUMBER(F138),COUNT(G138)=0),"Add actual quantity",IF(Q138=0,"Review target / date / dependencies","Complete"))))),IF(OR(I138="Blocked",I138="Deferred"),IF(L138="","Record blocker / reason",IF(M138="","Assign rescue owner",IF(N138="","Set recovery date","Recovery assigned"))),IF(B138&lt;'Dashboard'!$B$5,"Escalate and record recovery","Work to acceptance standard")))</x:f>
        <x:v>Work to acceptance standard</x:v>
      </x:c>
      <x:c r="T138" s="26" t="str">
        <x:v>T0067</x:v>
      </x:c>
      <x:c r="U138" s="26" t="str">
        <x:v>Zero invented claims. If any draft fails facts, stop drafting/retrain; no offer change without approval.</x:v>
      </x:c>
      <x:c r="V138" s="31" t="n">
        <x:v>2.4</x:v>
      </x:c>
      <x:c r="W138" s="26" t="str"/>
      <x:c r="X138" s="26" t="str">
        <x:v>DSI Reset PDF: lane responsibilities and dated runbook; dated allocation proposed for this tracker.</x:v>
      </x:c>
      <x:c r="Y138" s="30" t="n">
        <x:f>B138-WEEKDAY(B138,2)+1</x:f>
        <x:v>46335</x:v>
      </x:c>
      <x:c r="Z138" s="2" t="str">
        <x:v>checklist</x:v>
      </x:c>
      <x:c r="AA138" s="2" t="n">
        <x:f>IF(Q138=1,IF(P138&gt;B138,1,0),0)</x:f>
        <x:v>0</x:v>
      </x:c>
      <x:c r="AB138" s="2" t="n">
        <x:f>IF(AND(Q138=1,P138&lt;='Dashboard'!$B$5),0,MAX(0,'Dashboard'!$B$5-B138))</x:f>
        <x:v>0</x:v>
      </x:c>
      <x:c r="AC138" s="28" t="str"/>
      <x:c r="AD138" s="2" t="str">
        <x:f>IF(AND(ISNUMBER(F138),ISNUMBER(G138)),G138-F138,"")</x:f>
      </x:c>
      <x:c r="AE138" s="2" t="n">
        <x:f>IF(AND(I138="Accepted",K138&lt;&gt;"",O138&lt;&gt;"",ISNUMBER(P138),P138&gt;0,P138&lt;='Dashboard'!$B$5,IF(ISNUMBER(F138),ISNUMBER(G138),TRUE),IF(ISNUMBER(F138),G138&gt;=F138,TRUE)),1,0)</x:f>
        <x:v>0</x:v>
      </x:c>
    </x:row>
    <x:row r="139" ht="58" customHeight="1">
      <x:c r="A139" s="2" t="str">
        <x:v>T0121</x:v>
      </x:c>
      <x:c r="B139" s="30" t="n">
        <x:v>46335</x:v>
      </x:c>
      <x:c r="C139" s="2" t="str">
        <x:v>Joey</x:v>
      </x:c>
      <x:c r="D139" s="2" t="str">
        <x:v>Data Orchestrator</x:v>
      </x:c>
      <x:c r="E139" s="26" t="str">
        <x:v>Wave 2 release plan plus follow-up queue</x:v>
      </x:c>
      <x:c r="F139" s="2" t="n">
        <x:v>1</x:v>
      </x:c>
      <x:c r="G139" s="20"/>
      <x:c r="H139" s="2" t="str">
        <x:v>verified queue and health check</x:v>
      </x:c>
      <x:c r="I139" s="20" t="str">
        <x:v>Ready</x:v>
      </x:c>
      <x:c r="J139" s="2" t="str">
        <x:v>16:45</x:v>
      </x:c>
      <x:c r="K139" s="28" t="str"/>
      <x:c r="L139" s="28" t="str"/>
      <x:c r="M139" s="20" t="str"/>
      <x:c r="N139" s="33"/>
      <x:c r="O139" s="20" t="str"/>
      <x:c r="P139" s="33"/>
      <x:c r="Q139" s="2" t="n">
        <x:f>IF(AND(AE139=1,COUNTIFS($A$7:$A$500,"T0067",$AE$7:$AE$500,1)=1,COUNTIFS($A$7:$A$500,"T0055",$AE$7:$AE$500,1)=1),1,0)</x:f>
        <x:v>0</x:v>
      </x:c>
      <x:c r="R139" s="2" t="str">
        <x:f>IF(AND(Q139=1,P139&lt;='Dashboard'!$B$5),IF(P139&gt;B139,"Accepted late","Accepted"),IF(B139&lt;'Dashboard'!$B$5,"Overdue",IF(I139="Blocked","Blocked",IF(B139='Dashboard'!$B$5,"Due today","Planned"))))</x:f>
        <x:v>Planned</x:v>
      </x:c>
      <x:c r="S139" s="26" t="str">
        <x:f>IF(I139="Accepted",IF(K139="","Add evidence",IF(O139="","Add reviewer",IF(P139="","Add accepted date",IF(AND(ISNUMBER(F139),COUNT(G139)=0),"Add actual quantity",IF(Q139=0,"Review target / date / dependencies","Complete"))))),IF(OR(I139="Blocked",I139="Deferred"),IF(L139="","Record blocker / reason",IF(M139="","Assign rescue owner",IF(N139="","Set recovery date","Recovery assigned"))),IF(B139&lt;'Dashboard'!$B$5,"Escalate and record recovery","Work to acceptance standard")))</x:f>
        <x:v>Work to acceptance standard</x:v>
      </x:c>
      <x:c r="T139" s="26" t="str">
        <x:v>T0067</x:v>
      </x:c>
      <x:c r="U139" s="26" t="str">
        <x:v>Due follow-ups fit 150/day total; new enrollments yield to reply coverage.</x:v>
      </x:c>
      <x:c r="V139" s="31" t="n">
        <x:v>3</x:v>
      </x:c>
      <x:c r="W139" s="26" t="str"/>
      <x:c r="X139" s="26" t="str">
        <x:v>DSI Reset PDF: lane responsibilities and dated runbook; dated allocation proposed for this tracker.</x:v>
      </x:c>
      <x:c r="Y139" s="30" t="n">
        <x:f>B139-WEEKDAY(B139,2)+1</x:f>
        <x:v>46335</x:v>
      </x:c>
      <x:c r="Z139" s="2" t="str">
        <x:v>checklist</x:v>
      </x:c>
      <x:c r="AA139" s="2" t="n">
        <x:f>IF(Q139=1,IF(P139&gt;B139,1,0),0)</x:f>
        <x:v>0</x:v>
      </x:c>
      <x:c r="AB139" s="2" t="n">
        <x:f>IF(AND(Q139=1,P139&lt;='Dashboard'!$B$5),0,MAX(0,'Dashboard'!$B$5-B139))</x:f>
        <x:v>0</x:v>
      </x:c>
      <x:c r="AC139" s="28" t="str"/>
      <x:c r="AD139" s="2" t="str">
        <x:f>IF(AND(ISNUMBER(F139),ISNUMBER(G139)),G139-F139,"")</x:f>
      </x:c>
      <x:c r="AE139" s="2" t="n">
        <x:f>IF(AND(I139="Accepted",K139&lt;&gt;"",O139&lt;&gt;"",ISNUMBER(P139),P139&gt;0,P139&lt;='Dashboard'!$B$5,IF(ISNUMBER(F139),ISNUMBER(G139),TRUE),IF(ISNUMBER(F139),G139&gt;=F139,TRUE)),1,0)</x:f>
        <x:v>0</x:v>
      </x:c>
    </x:row>
    <x:row r="140" ht="58" customHeight="1">
      <x:c r="A140" s="2" t="str">
        <x:v>T0122</x:v>
      </x:c>
      <x:c r="B140" s="30" t="n">
        <x:v>46335</x:v>
      </x:c>
      <x:c r="C140" s="2" t="str">
        <x:v>Nova</x:v>
      </x:c>
      <x:c r="D140" s="2" t="str">
        <x:v>Conversion Orchestrator</x:v>
      </x:c>
      <x:c r="E140" s="26" t="str">
        <x:v>Coverage/SLA evidence; 2 call reviews; booked/held updates; next-step and trial handoffs. Log each unique qualified inquiry with practice type, decision-maker access, case volume, service need and readiness timing.</x:v>
      </x:c>
      <x:c r="F140" s="2" t="n">
        <x:v>1</x:v>
      </x:c>
      <x:c r="G140" s="20"/>
      <x:c r="H140" s="2" t="str">
        <x:v>accepted output</x:v>
      </x:c>
      <x:c r="I140" s="20" t="str">
        <x:v>Ready</x:v>
      </x:c>
      <x:c r="J140" s="2" t="str">
        <x:v>16:45</x:v>
      </x:c>
      <x:c r="K140" s="28" t="str"/>
      <x:c r="L140" s="28" t="str"/>
      <x:c r="M140" s="20" t="str"/>
      <x:c r="N140" s="33"/>
      <x:c r="O140" s="20" t="str"/>
      <x:c r="P140" s="33"/>
      <x:c r="Q140" s="2" t="n">
        <x:f>IF(AND(AE140=1,COUNTIFS($A$7:$A$500,"T0067",$AE$7:$AE$500,1)=1,COUNTIFS($A$7:$A$500,"T0055",$AE$7:$AE$500,1)=1),1,0)</x:f>
        <x:v>0</x:v>
      </x:c>
      <x:c r="R140" s="2" t="str">
        <x:f>IF(AND(Q140=1,P140&lt;='Dashboard'!$B$5),IF(P140&gt;B140,"Accepted late","Accepted"),IF(B140&lt;'Dashboard'!$B$5,"Overdue",IF(I140="Blocked","Blocked",IF(B140='Dashboard'!$B$5,"Due today","Planned"))))</x:f>
        <x:v>Planned</x:v>
      </x:c>
      <x:c r="S140" s="26" t="str">
        <x:f>IF(I140="Accepted",IF(K140="","Add evidence",IF(O140="","Add reviewer",IF(P140="","Add accepted date",IF(AND(ISNUMBER(F140),COUNT(G140)=0),"Add actual quantity",IF(Q140=0,"Review target / date / dependencies","Complete"))))),IF(OR(I140="Blocked",I140="Deferred"),IF(L140="","Record blocker / reason",IF(M140="","Assign rescue owner",IF(N140="","Set recovery date","Recovery assigned"))),IF(B140&lt;'Dashboard'!$B$5,"Escalate and record recovery","Work to acceptance standard")))</x:f>
        <x:v>Work to acceptance standard</x:v>
      </x:c>
      <x:c r="T140" s="26" t="str">
        <x:v>T0067</x:v>
      </x:c>
      <x:c r="U140" s="26" t="str">
        <x:v>Every eligible reply&lt;=15 min; positive call&lt;=60 min; no opportunity without next step; booked brief to Nic; trial logistics to Maseeha. Raw contacts, opens and accepts never count as qualified inquiries; deduplicate across channels.</x:v>
      </x:c>
      <x:c r="V140" s="31" t="n">
        <x:v>4</x:v>
      </x:c>
      <x:c r="W140" s="26" t="str"/>
      <x:c r="X140" s="26" t="str">
        <x:v>DSI Reset PDF: lane responsibilities and dated runbook; dated allocation proposed for this tracker.</x:v>
      </x:c>
      <x:c r="Y140" s="30" t="n">
        <x:f>B140-WEEKDAY(B140,2)+1</x:f>
        <x:v>46335</x:v>
      </x:c>
      <x:c r="Z140" s="2" t="str">
        <x:v>checklist</x:v>
      </x:c>
      <x:c r="AA140" s="2" t="n">
        <x:f>IF(Q140=1,IF(P140&gt;B140,1,0),0)</x:f>
        <x:v>0</x:v>
      </x:c>
      <x:c r="AB140" s="2" t="n">
        <x:f>IF(AND(Q140=1,P140&lt;='Dashboard'!$B$5),0,MAX(0,'Dashboard'!$B$5-B140))</x:f>
        <x:v>0</x:v>
      </x:c>
      <x:c r="AC140" s="28" t="str"/>
      <x:c r="AD140" s="2" t="str">
        <x:f>IF(AND(ISNUMBER(F140),ISNUMBER(G140)),G140-F140,"")</x:f>
      </x:c>
      <x:c r="AE140" s="2" t="n">
        <x:f>IF(AND(I140="Accepted",K140&lt;&gt;"",O140&lt;&gt;"",ISNUMBER(P140),P140&gt;0,P140&lt;='Dashboard'!$B$5,IF(ISNUMBER(F140),ISNUMBER(G140),TRUE),IF(ISNUMBER(F140),G140&gt;=F140,TRUE)),1,0)</x:f>
        <x:v>0</x:v>
      </x:c>
    </x:row>
    <x:row r="141" ht="58" customHeight="1">
      <x:c r="A141" s="2" t="str">
        <x:v>T0123</x:v>
      </x:c>
      <x:c r="B141" s="30" t="n">
        <x:v>46335</x:v>
      </x:c>
      <x:c r="C141" s="2" t="str">
        <x:v>Emman</x:v>
      </x:c>
      <x:c r="D141" s="2" t="str">
        <x:v>AI Build Orchestrator</x:v>
      </x:c>
      <x:c r="E141" s="26" t="str">
        <x:v>Health/retry log; one acceptance-backed build increment; updated change log</x:v>
      </x:c>
      <x:c r="F141" s="2" t="n">
        <x:v>1</x:v>
      </x:c>
      <x:c r="G141" s="20"/>
      <x:c r="H141" s="2" t="str">
        <x:v>accepted output</x:v>
      </x:c>
      <x:c r="I141" s="20" t="str">
        <x:v>Ready</x:v>
      </x:c>
      <x:c r="J141" s="2" t="str">
        <x:v>16:45</x:v>
      </x:c>
      <x:c r="K141" s="28" t="str"/>
      <x:c r="L141" s="28" t="str"/>
      <x:c r="M141" s="20" t="str"/>
      <x:c r="N141" s="33"/>
      <x:c r="O141" s="20" t="str"/>
      <x:c r="P141" s="33"/>
      <x:c r="Q141" s="2" t="n">
        <x:f>IF(AND(AE141=1,COUNTIFS($A$7:$A$500,"T0067",$AE$7:$AE$500,1)=1,COUNTIFS($A$7:$A$500,"T0055",$AE$7:$AE$500,1)=1),1,0)</x:f>
        <x:v>0</x:v>
      </x:c>
      <x:c r="R141" s="2" t="str">
        <x:f>IF(AND(Q141=1,P141&lt;='Dashboard'!$B$5),IF(P141&gt;B141,"Accepted late","Accepted"),IF(B141&lt;'Dashboard'!$B$5,"Overdue",IF(I141="Blocked","Blocked",IF(B141='Dashboard'!$B$5,"Due today","Planned"))))</x:f>
        <x:v>Planned</x:v>
      </x:c>
      <x:c r="S141" s="26" t="str">
        <x:f>IF(I141="Accepted",IF(K141="","Add evidence",IF(O141="","Add reviewer",IF(P141="","Add accepted date",IF(AND(ISNUMBER(F141),COUNT(G141)=0),"Add actual quantity",IF(Q141=0,"Review target / date / dependencies","Complete"))))),IF(OR(I141="Blocked",I141="Deferred"),IF(L141="","Record blocker / reason",IF(M141="","Assign rescue owner",IF(N141="","Set recovery date","Recovery assigned"))),IF(B141&lt;'Dashboard'!$B$5,"Escalate and record recovery","Work to acceptance standard")))</x:f>
        <x:v>Work to acceptance standard</x:v>
      </x:c>
      <x:c r="T141" s="26" t="str">
        <x:v>T0067</x:v>
      </x:c>
      <x:c r="U141" s="26" t="str">
        <x:v>Fix a failing live agent beforestarting the next build. If an agent is still not working 48 hours after its due date, activate the manual SOP. Roll back a live failure within 1 hour. Release build reserve when no approved work remains.</x:v>
      </x:c>
      <x:c r="V141" s="31" t="n">
        <x:v>4</x:v>
      </x:c>
      <x:c r="W141" s="26" t="str"/>
      <x:c r="X141" s="26" t="str">
        <x:v>DSI Reset PDF: lane responsibilities and dated runbook; dated allocation proposed for this tracker.</x:v>
      </x:c>
      <x:c r="Y141" s="30" t="n">
        <x:f>B141-WEEKDAY(B141,2)+1</x:f>
        <x:v>46335</x:v>
      </x:c>
      <x:c r="Z141" s="2" t="str">
        <x:v>checklist</x:v>
      </x:c>
      <x:c r="AA141" s="2" t="n">
        <x:f>IF(Q141=1,IF(P141&gt;B141,1,0),0)</x:f>
        <x:v>0</x:v>
      </x:c>
      <x:c r="AB141" s="2" t="n">
        <x:f>IF(AND(Q141=1,P141&lt;='Dashboard'!$B$5),0,MAX(0,'Dashboard'!$B$5-B141))</x:f>
        <x:v>0</x:v>
      </x:c>
      <x:c r="AC141" s="28" t="str"/>
      <x:c r="AD141" s="2" t="str">
        <x:f>IF(AND(ISNUMBER(F141),ISNUMBER(G141)),G141-F141,"")</x:f>
      </x:c>
      <x:c r="AE141" s="2" t="n">
        <x:f>IF(AND(I141="Accepted",K141&lt;&gt;"",O141&lt;&gt;"",ISNUMBER(P141),P141&gt;0,P141&lt;='Dashboard'!$B$5,IF(ISNUMBER(F141),ISNUMBER(G141),TRUE),IF(ISNUMBER(F141),G141&gt;=F141,TRUE)),1,0)</x:f>
        <x:v>0</x:v>
      </x:c>
    </x:row>
    <x:row r="142" ht="58" customHeight="1">
      <x:c r="A142" s="2" t="str">
        <x:v>T0124</x:v>
      </x:c>
      <x:c r="B142" s="30" t="n">
        <x:v>46335</x:v>
      </x:c>
      <x:c r="C142" s="2" t="str">
        <x:v>Ludwig</x:v>
      </x:c>
      <x:c r="D142" s="2" t="str">
        <x:v>Integration Engineer</x:v>
      </x:c>
      <x:c r="E142" s="26" t="str">
        <x:v>Webhook/error/dead-letter check; top assigned integration ticket or verified no-ticket note</x:v>
      </x:c>
      <x:c r="F142" s="2" t="n">
        <x:v>1</x:v>
      </x:c>
      <x:c r="G142" s="20"/>
      <x:c r="H142" s="2" t="str">
        <x:v>accepted output</x:v>
      </x:c>
      <x:c r="I142" s="20" t="str">
        <x:v>Ready</x:v>
      </x:c>
      <x:c r="J142" s="2" t="str">
        <x:v>16:45</x:v>
      </x:c>
      <x:c r="K142" s="28" t="str"/>
      <x:c r="L142" s="28" t="str"/>
      <x:c r="M142" s="20" t="str"/>
      <x:c r="N142" s="33"/>
      <x:c r="O142" s="20" t="str"/>
      <x:c r="P142" s="33"/>
      <x:c r="Q142" s="2" t="n">
        <x:f>IF(AND(AE142=1,COUNTIFS($A$7:$A$500,"T0067",$AE$7:$AE$500,1)=1,COUNTIFS($A$7:$A$500,"T0055",$AE$7:$AE$500,1)=1),1,0)</x:f>
        <x:v>0</x:v>
      </x:c>
      <x:c r="R142" s="2" t="str">
        <x:f>IF(AND(Q142=1,P142&lt;='Dashboard'!$B$5),IF(P142&gt;B142,"Accepted late","Accepted"),IF(B142&lt;'Dashboard'!$B$5,"Overdue",IF(I142="Blocked","Blocked",IF(B142='Dashboard'!$B$5,"Due today","Planned"))))</x:f>
        <x:v>Planned</x:v>
      </x:c>
      <x:c r="S142" s="26" t="str">
        <x:f>IF(I142="Accepted",IF(K142="","Add evidence",IF(O142="","Add reviewer",IF(P142="","Add accepted date",IF(AND(ISNUMBER(F142),COUNT(G142)=0),"Add actual quantity",IF(Q142=0,"Review target / date / dependencies","Complete"))))),IF(OR(I142="Blocked",I142="Deferred"),IF(L142="","Record blocker / reason",IF(M142="","Assign rescue owner",IF(N142="","Set recovery date","Recovery assigned"))),IF(B142&lt;'Dashboard'!$B$5,"Escalate and record recovery","Work to acceptance standard")))</x:f>
        <x:v>Work to acceptance standard</x:v>
      </x:c>
      <x:c r="T142" s="26" t="str">
        <x:v>T0067</x:v>
      </x:c>
      <x:c r="U142" s="26" t="str">
        <x:v>Only Emman’s priority queue; 100% test capture; runbook/retry/rollback evidence. If no fault/ticket, release reserve; do not invent work.</x:v>
      </x:c>
      <x:c r="V142" s="31" t="n">
        <x:v>1.6</x:v>
      </x:c>
      <x:c r="W142" s="26" t="str"/>
      <x:c r="X142" s="26" t="str">
        <x:v>DSI Reset PDF: lane responsibilities and dated runbook; dated allocation proposed for this tracker.</x:v>
      </x:c>
      <x:c r="Y142" s="30" t="n">
        <x:f>B142-WEEKDAY(B142,2)+1</x:f>
        <x:v>46335</x:v>
      </x:c>
      <x:c r="Z142" s="2" t="str">
        <x:v>checklist</x:v>
      </x:c>
      <x:c r="AA142" s="2" t="n">
        <x:f>IF(Q142=1,IF(P142&gt;B142,1,0),0)</x:f>
        <x:v>0</x:v>
      </x:c>
      <x:c r="AB142" s="2" t="n">
        <x:f>IF(AND(Q142=1,P142&lt;='Dashboard'!$B$5),0,MAX(0,'Dashboard'!$B$5-B142))</x:f>
        <x:v>0</x:v>
      </x:c>
      <x:c r="AC142" s="28" t="str"/>
      <x:c r="AD142" s="2" t="str">
        <x:f>IF(AND(ISNUMBER(F142),ISNUMBER(G142)),G142-F142,"")</x:f>
      </x:c>
      <x:c r="AE142" s="2" t="n">
        <x:f>IF(AND(I142="Accepted",K142&lt;&gt;"",O142&lt;&gt;"",ISNUMBER(P142),P142&gt;0,P142&lt;='Dashboard'!$B$5,IF(ISNUMBER(F142),ISNUMBER(G142),TRUE),IF(ISNUMBER(F142),G142&gt;=F142,TRUE)),1,0)</x:f>
        <x:v>0</x:v>
      </x:c>
    </x:row>
    <x:row r="143" ht="58" customHeight="1">
      <x:c r="A143" s="2" t="str">
        <x:v>T0125</x:v>
      </x:c>
      <x:c r="B143" s="30" t="n">
        <x:v>46335</x:v>
      </x:c>
      <x:c r="C143" s="2" t="str">
        <x:v>Alvin</x:v>
      </x:c>
      <x:c r="D143" s="2" t="str">
        <x:v>CQL/GHL Implementation</x:v>
      </x:c>
      <x:c r="E143" s="26" t="str">
        <x:v>Stage/calendar/reminder QA; due workflow fixes</x:v>
      </x:c>
      <x:c r="F143" s="2" t="n">
        <x:v>1</x:v>
      </x:c>
      <x:c r="G143" s="20"/>
      <x:c r="H143" s="2" t="str">
        <x:v>accepted output</x:v>
      </x:c>
      <x:c r="I143" s="20" t="str">
        <x:v>Ready</x:v>
      </x:c>
      <x:c r="J143" s="2" t="str">
        <x:v>16:45</x:v>
      </x:c>
      <x:c r="K143" s="28" t="str"/>
      <x:c r="L143" s="28" t="str"/>
      <x:c r="M143" s="20" t="str"/>
      <x:c r="N143" s="33"/>
      <x:c r="O143" s="20" t="str"/>
      <x:c r="P143" s="33"/>
      <x:c r="Q143" s="2" t="n">
        <x:f>IF(AND(AE143=1,COUNTIFS($A$7:$A$500,"T0067",$AE$7:$AE$500,1)=1,COUNTIFS($A$7:$A$500,"T0055",$AE$7:$AE$500,1)=1),1,0)</x:f>
        <x:v>0</x:v>
      </x:c>
      <x:c r="R143" s="2" t="str">
        <x:f>IF(AND(Q143=1,P143&lt;='Dashboard'!$B$5),IF(P143&gt;B143,"Accepted late","Accepted"),IF(B143&lt;'Dashboard'!$B$5,"Overdue",IF(I143="Blocked","Blocked",IF(B143='Dashboard'!$B$5,"Due today","Planned"))))</x:f>
        <x:v>Planned</x:v>
      </x:c>
      <x:c r="S143" s="26" t="str">
        <x:f>IF(I143="Accepted",IF(K143="","Add evidence",IF(O143="","Add reviewer",IF(P143="","Add accepted date",IF(AND(ISNUMBER(F143),COUNT(G143)=0),"Add actual quantity",IF(Q143=0,"Review target / date / dependencies","Complete"))))),IF(OR(I143="Blocked",I143="Deferred"),IF(L143="","Record blocker / reason",IF(M143="","Assign rescue owner",IF(N143="","Set recovery date","Recovery assigned"))),IF(B143&lt;'Dashboard'!$B$5,"Escalate and record recovery","Work to acceptance standard")))</x:f>
        <x:v>Work to acceptance standard</x:v>
      </x:c>
      <x:c r="T143" s="26" t="str">
        <x:v>T0067</x:v>
      </x:c>
      <x:c r="U143" s="26" t="str">
        <x:v>No-show task&lt;=10 min; form/source fields correct; finish critical CRM defect same day. Facebook mirrors exact approved post; Instagram requires permissioned image.</x:v>
      </x:c>
      <x:c r="V143" s="31" t="n">
        <x:v>2</x:v>
      </x:c>
      <x:c r="W143" s="26" t="str"/>
      <x:c r="X143" s="26" t="str">
        <x:v>DSI Reset PDF: lane responsibilities and dated runbook; dated allocation proposed for this tracker.</x:v>
      </x:c>
      <x:c r="Y143" s="30" t="n">
        <x:f>B143-WEEKDAY(B143,2)+1</x:f>
        <x:v>46335</x:v>
      </x:c>
      <x:c r="Z143" s="2" t="str">
        <x:v>checklist</x:v>
      </x:c>
      <x:c r="AA143" s="2" t="n">
        <x:f>IF(Q143=1,IF(P143&gt;B143,1,0),0)</x:f>
        <x:v>0</x:v>
      </x:c>
      <x:c r="AB143" s="2" t="n">
        <x:f>IF(AND(Q143=1,P143&lt;='Dashboard'!$B$5),0,MAX(0,'Dashboard'!$B$5-B143))</x:f>
        <x:v>0</x:v>
      </x:c>
      <x:c r="AC143" s="28" t="str"/>
      <x:c r="AD143" s="2" t="str">
        <x:f>IF(AND(ISNUMBER(F143),ISNUMBER(G143)),G143-F143,"")</x:f>
      </x:c>
      <x:c r="AE143" s="2" t="n">
        <x:f>IF(AND(I143="Accepted",K143&lt;&gt;"",O143&lt;&gt;"",ISNUMBER(P143),P143&gt;0,P143&lt;='Dashboard'!$B$5,IF(ISNUMBER(F143),ISNUMBER(G143),TRUE),IF(ISNUMBER(F143),G143&gt;=F143,TRUE)),1,0)</x:f>
        <x:v>0</x:v>
      </x:c>
    </x:row>
    <x:row r="144" ht="58" customHeight="1">
      <x:c r="A144" s="2" t="str">
        <x:v>T0126</x:v>
      </x:c>
      <x:c r="B144" s="30" t="n">
        <x:v>46335</x:v>
      </x:c>
      <x:c r="C144" s="2" t="str">
        <x:v>Brian</x:v>
      </x:c>
      <x:c r="D144" s="2" t="str">
        <x:v>Web and Tracking</x:v>
      </x:c>
      <x:c r="E144" s="26" t="str">
        <x:v>One health-check result; at most one weekly change ticket or no-ticket note</x:v>
      </x:c>
      <x:c r="F144" s="2" t="n">
        <x:v>1</x:v>
      </x:c>
      <x:c r="G144" s="20"/>
      <x:c r="H144" s="2" t="str">
        <x:v>accepted output</x:v>
      </x:c>
      <x:c r="I144" s="20" t="str">
        <x:v>Ready</x:v>
      </x:c>
      <x:c r="J144" s="2" t="str">
        <x:v>16:45</x:v>
      </x:c>
      <x:c r="K144" s="28" t="str"/>
      <x:c r="L144" s="28" t="str"/>
      <x:c r="M144" s="20" t="str"/>
      <x:c r="N144" s="33"/>
      <x:c r="O144" s="20" t="str"/>
      <x:c r="P144" s="33"/>
      <x:c r="Q144" s="2" t="n">
        <x:f>IF(AND(AE144=1,COUNTIFS($A$7:$A$500,"T0067",$AE$7:$AE$500,1)=1,COUNTIFS($A$7:$A$500,"T0055",$AE$7:$AE$500,1)=1),1,0)</x:f>
        <x:v>0</x:v>
      </x:c>
      <x:c r="R144" s="2" t="str">
        <x:f>IF(AND(Q144=1,P144&lt;='Dashboard'!$B$5),IF(P144&gt;B144,"Accepted late","Accepted"),IF(B144&lt;'Dashboard'!$B$5,"Overdue",IF(I144="Blocked","Blocked",IF(B144='Dashboard'!$B$5,"Due today","Planned"))))</x:f>
        <x:v>Planned</x:v>
      </x:c>
      <x:c r="S144" s="26" t="str">
        <x:f>IF(I144="Accepted",IF(K144="","Add evidence",IF(O144="","Add reviewer",IF(P144="","Add accepted date",IF(AND(ISNUMBER(F144),COUNT(G144)=0),"Add actual quantity",IF(Q144=0,"Review target / date / dependencies","Complete"))))),IF(OR(I144="Blocked",I144="Deferred"),IF(L144="","Record blocker / reason",IF(M144="","Assign rescue owner",IF(N144="","Set recovery date","Recovery assigned"))),IF(B144&lt;'Dashboard'!$B$5,"Escalate and record recovery","Work to acceptance standard")))</x:f>
        <x:v>Work to acceptance standard</x:v>
      </x:c>
      <x:c r="T144" s="26" t="str">
        <x:v>T0067</x:v>
      </x:c>
      <x:c r="U144" s="26" t="str">
        <x:v>Form to CQL&lt;1 min; approved copy unchanged; no work manufactured if healthy; ongoing reserve&lt;=2 h/week.</x:v>
      </x:c>
      <x:c r="V144" s="31" t="n">
        <x:v>0.4</x:v>
      </x:c>
      <x:c r="W144" s="26" t="str"/>
      <x:c r="X144" s="26" t="str">
        <x:v>DSI Reset PDF: lane responsibilities and dated runbook; dated allocation proposed for this tracker.</x:v>
      </x:c>
      <x:c r="Y144" s="30" t="n">
        <x:f>B144-WEEKDAY(B144,2)+1</x:f>
        <x:v>46335</x:v>
      </x:c>
      <x:c r="Z144" s="2" t="str">
        <x:v>checklist</x:v>
      </x:c>
      <x:c r="AA144" s="2" t="n">
        <x:f>IF(Q144=1,IF(P144&gt;B144,1,0),0)</x:f>
        <x:v>0</x:v>
      </x:c>
      <x:c r="AB144" s="2" t="n">
        <x:f>IF(AND(Q144=1,P144&lt;='Dashboard'!$B$5),0,MAX(0,'Dashboard'!$B$5-B144))</x:f>
        <x:v>0</x:v>
      </x:c>
      <x:c r="AC144" s="28" t="str"/>
      <x:c r="AD144" s="2" t="str">
        <x:f>IF(AND(ISNUMBER(F144),ISNUMBER(G144)),G144-F144,"")</x:f>
      </x:c>
      <x:c r="AE144" s="2" t="n">
        <x:f>IF(AND(I144="Accepted",K144&lt;&gt;"",O144&lt;&gt;"",ISNUMBER(P144),P144&gt;0,P144&lt;='Dashboard'!$B$5,IF(ISNUMBER(F144),ISNUMBER(G144),TRUE),IF(ISNUMBER(F144),G144&gt;=F144,TRUE)),1,0)</x:f>
        <x:v>0</x:v>
      </x:c>
    </x:row>
    <x:row r="145" ht="58" customHeight="1">
      <x:c r="A145" s="2" t="str">
        <x:v>T0127</x:v>
      </x:c>
      <x:c r="B145" s="30" t="n">
        <x:v>46335</x:v>
      </x:c>
      <x:c r="C145" s="2" t="str">
        <x:v>Dexter</x:v>
      </x:c>
      <x:c r="D145" s="2" t="str">
        <x:v>LinkedIn Execution</x:v>
      </x:c>
      <x:c r="E145" s="26" t="str">
        <x:v>CQL logged DMs/accepts; eligible requests; referred interested replies; approved post evidence</x:v>
      </x:c>
      <x:c r="F145" s="2" t="n">
        <x:v>25</x:v>
      </x:c>
      <x:c r="G145" s="20"/>
      <x:c r="H145" s="2" t="str">
        <x:v>new request working target; eligible pool required</x:v>
      </x:c>
      <x:c r="I145" s="20" t="str">
        <x:v>Ready</x:v>
      </x:c>
      <x:c r="J145" s="2" t="str">
        <x:v>16:45</x:v>
      </x:c>
      <x:c r="K145" s="28" t="str"/>
      <x:c r="L145" s="28" t="str"/>
      <x:c r="M145" s="20" t="str"/>
      <x:c r="N145" s="33"/>
      <x:c r="O145" s="20" t="str"/>
      <x:c r="P145" s="33"/>
      <x:c r="Q145" s="2" t="n">
        <x:f>IF(AND(AE145=1,COUNTIFS($A$7:$A$500,"T0067",$AE$7:$AE$500,1)=1,COUNTIFS($A$7:$A$500,"T0055",$AE$7:$AE$500,1)=1),1,0)</x:f>
        <x:v>0</x:v>
      </x:c>
      <x:c r="R145" s="2" t="str">
        <x:f>IF(AND(Q145=1,P145&lt;='Dashboard'!$B$5),IF(P145&gt;B145,"Accepted late","Accepted"),IF(B145&lt;'Dashboard'!$B$5,"Overdue",IF(I145="Blocked","Blocked",IF(B145='Dashboard'!$B$5,"Due today","Planned"))))</x:f>
        <x:v>Planned</x:v>
      </x:c>
      <x:c r="S145" s="26" t="str">
        <x:f>IF(I145="Accepted",IF(K145="","Add evidence",IF(O145="","Add reviewer",IF(P145="","Add accepted date",IF(AND(ISNUMBER(F145),COUNT(G145)=0),"Add actual quantity",IF(Q145=0,"Review target / date / dependencies","Complete"))))),IF(OR(I145="Blocked",I145="Deferred"),IF(L145="","Record blocker / reason",IF(M145="","Assign rescue owner",IF(N145="","Set recovery date","Recovery assigned"))),IF(B145&lt;'Dashboard'!$B$5,"Escalate and record recovery","Work to acceptance standard")))</x:f>
        <x:v>Work to acceptance standard</x:v>
      </x:c>
      <x:c r="T145" s="26" t="str">
        <x:v>T0067</x:v>
      </x:c>
      <x:c r="U145"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45" s="31" t="n">
        <x:v>3</x:v>
      </x:c>
      <x:c r="W145" s="26" t="str"/>
      <x:c r="X145" s="26" t="str">
        <x:v>DSI Reset PDF: lane responsibilities and dated runbook; dated allocation proposed for this tracker.</x:v>
      </x:c>
      <x:c r="Y145" s="30" t="n">
        <x:f>B145-WEEKDAY(B145,2)+1</x:f>
        <x:v>46335</x:v>
      </x:c>
      <x:c r="Z145" s="2" t="str">
        <x:v>capacity</x:v>
      </x:c>
      <x:c r="AA145" s="2" t="n">
        <x:f>IF(Q145=1,IF(P145&gt;B145,1,0),0)</x:f>
        <x:v>0</x:v>
      </x:c>
      <x:c r="AB145" s="2" t="n">
        <x:f>IF(AND(Q145=1,P145&lt;='Dashboard'!$B$5),0,MAX(0,'Dashboard'!$B$5-B145))</x:f>
        <x:v>0</x:v>
      </x:c>
      <x:c r="AC145" s="28" t="str"/>
      <x:c r="AD145" s="2" t="str">
        <x:f>IF(AND(ISNUMBER(F145),ISNUMBER(G145)),G145-F145,"")</x:f>
      </x:c>
      <x:c r="AE145" s="2" t="n">
        <x:f>IF(AND(I145="Accepted",K145&lt;&gt;"",O145&lt;&gt;"",ISNUMBER(P145),P145&gt;0,P145&lt;='Dashboard'!$B$5,IF(ISNUMBER(F145),ISNUMBER(G145),TRUE),IF(ISNUMBER(F145),OR(G145&gt;=F145,AC145&lt;&gt;""),TRUE)),1,0)</x:f>
        <x:v>0</x:v>
      </x:c>
    </x:row>
    <x:row r="146" ht="58" customHeight="1">
      <x:c r="A146" s="2" t="str">
        <x:v>T0128</x:v>
      </x:c>
      <x:c r="B146" s="30" t="n">
        <x:v>46335</x:v>
      </x:c>
      <x:c r="C146" s="2" t="str">
        <x:v>Setter 1</x:v>
      </x:c>
      <x:c r="D146" s="2" t="str">
        <x:v>Reply and Phone Setter</x:v>
      </x:c>
      <x:c r="E146" s="26" t="str">
        <x:v>SLA/call outcome log; bookings and next steps; handoff to Nova</x:v>
      </x:c>
      <x:c r="F146" s="2" t="n">
        <x:v>50</x:v>
      </x:c>
      <x:c r="G146" s="20"/>
      <x:c r="H146" s="2" t="str">
        <x:v>dial working target; inbound SLA takes priority</x:v>
      </x:c>
      <x:c r="I146" s="20" t="str">
        <x:v>Ready</x:v>
      </x:c>
      <x:c r="J146" s="2" t="str">
        <x:v>16:45</x:v>
      </x:c>
      <x:c r="K146" s="28" t="str"/>
      <x:c r="L146" s="28" t="str"/>
      <x:c r="M146" s="20" t="str"/>
      <x:c r="N146" s="33"/>
      <x:c r="O146" s="20" t="str"/>
      <x:c r="P146" s="33"/>
      <x:c r="Q146" s="2" t="n">
        <x:f>IF(AND(AE146=1,COUNTIFS($A$7:$A$500,"T0013",$AE$7:$AE$500,1)=1,COUNTIFS($A$7:$A$500,"T0055",$AE$7:$AE$500,1)=1),1,0)</x:f>
        <x:v>0</x:v>
      </x:c>
      <x:c r="R146" s="2" t="str">
        <x:f>IF(AND(Q146=1,P146&lt;='Dashboard'!$B$5),IF(P146&gt;B146,"Accepted late","Accepted"),IF(B146&lt;'Dashboard'!$B$5,"Overdue",IF(I146="Blocked","Blocked",IF(B146='Dashboard'!$B$5,"Due today","Planned"))))</x:f>
        <x:v>Planned</x:v>
      </x:c>
      <x:c r="S146" s="26" t="str">
        <x:f>IF(I146="Accepted",IF(K146="","Add evidence",IF(O146="","Add reviewer",IF(P146="","Add accepted date",IF(AND(ISNUMBER(F146),COUNT(G146)=0),"Add actual quantity",IF(Q146=0,"Review target / date / dependencies","Complete"))))),IF(OR(I146="Blocked",I146="Deferred"),IF(L146="","Record blocker / reason",IF(M146="","Assign rescue owner",IF(N146="","Set recovery date","Recovery assigned"))),IF(B146&lt;'Dashboard'!$B$5,"Escalate and record recovery","Work to acceptance standard")))</x:f>
        <x:v>Work to acceptance standard</x:v>
      </x:c>
      <x:c r="T146" s="26" t="str">
        <x:v>T0013; T0055</x:v>
      </x:c>
      <x:c r="U146"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46" s="31" t="n">
        <x:v>7.5</x:v>
      </x:c>
      <x:c r="W146" s="26" t="str"/>
      <x:c r="X146" s="26" t="str">
        <x:v>DSI Reset PDF: lane responsibilities and dated runbook; dated allocation proposed for this tracker.</x:v>
      </x:c>
      <x:c r="Y146" s="30" t="n">
        <x:f>B146-WEEKDAY(B146,2)+1</x:f>
        <x:v>46335</x:v>
      </x:c>
      <x:c r="Z146" s="2" t="str">
        <x:v>capacity</x:v>
      </x:c>
      <x:c r="AA146" s="2" t="n">
        <x:f>IF(Q146=1,IF(P146&gt;B146,1,0),0)</x:f>
        <x:v>0</x:v>
      </x:c>
      <x:c r="AB146" s="2" t="n">
        <x:f>IF(AND(Q146=1,P146&lt;='Dashboard'!$B$5),0,MAX(0,'Dashboard'!$B$5-B146))</x:f>
        <x:v>0</x:v>
      </x:c>
      <x:c r="AC146" s="28" t="str"/>
      <x:c r="AD146" s="2" t="str">
        <x:f>IF(AND(ISNUMBER(F146),ISNUMBER(G146)),G146-F146,"")</x:f>
      </x:c>
      <x:c r="AE146" s="2" t="n">
        <x:f>IF(AND(I146="Accepted",K146&lt;&gt;"",O146&lt;&gt;"",ISNUMBER(P146),P146&gt;0,P146&lt;='Dashboard'!$B$5,IF(ISNUMBER(F146),ISNUMBER(G146),TRUE),IF(ISNUMBER(F146),OR(G146&gt;=F146,AC146&lt;&gt;""),TRUE)),1,0)</x:f>
        <x:v>0</x:v>
      </x:c>
    </x:row>
    <x:row r="147" ht="58" customHeight="1">
      <x:c r="A147" s="2" t="str">
        <x:v>T0129</x:v>
      </x:c>
      <x:c r="B147" s="30" t="n">
        <x:v>46335</x:v>
      </x:c>
      <x:c r="C147" s="2" t="str">
        <x:v>Setter 2</x:v>
      </x:c>
      <x:c r="D147" s="2" t="str">
        <x:v>Reply and Phone Setter</x:v>
      </x:c>
      <x:c r="E147" s="26" t="str">
        <x:v>SLA/call outcome log; bookings and next steps; handoff to Nova</x:v>
      </x:c>
      <x:c r="F147" s="2" t="n">
        <x:v>50</x:v>
      </x:c>
      <x:c r="G147" s="20"/>
      <x:c r="H147" s="2" t="str">
        <x:v>dial working target; inbound SLA takes priority</x:v>
      </x:c>
      <x:c r="I147" s="20" t="str">
        <x:v>Ready</x:v>
      </x:c>
      <x:c r="J147" s="2" t="str">
        <x:v>16:45</x:v>
      </x:c>
      <x:c r="K147" s="28" t="str"/>
      <x:c r="L147" s="28" t="str"/>
      <x:c r="M147" s="20" t="str"/>
      <x:c r="N147" s="33"/>
      <x:c r="O147" s="20" t="str"/>
      <x:c r="P147" s="33"/>
      <x:c r="Q147" s="2" t="n">
        <x:f>IF(AND(AE147=1,COUNTIFS($A$7:$A$500,"T0013",$AE$7:$AE$500,1)=1,COUNTIFS($A$7:$A$500,"T0055",$AE$7:$AE$500,1)=1),1,0)</x:f>
        <x:v>0</x:v>
      </x:c>
      <x:c r="R147" s="2" t="str">
        <x:f>IF(AND(Q147=1,P147&lt;='Dashboard'!$B$5),IF(P147&gt;B147,"Accepted late","Accepted"),IF(B147&lt;'Dashboard'!$B$5,"Overdue",IF(I147="Blocked","Blocked",IF(B147='Dashboard'!$B$5,"Due today","Planned"))))</x:f>
        <x:v>Planned</x:v>
      </x:c>
      <x:c r="S147" s="26" t="str">
        <x:f>IF(I147="Accepted",IF(K147="","Add evidence",IF(O147="","Add reviewer",IF(P147="","Add accepted date",IF(AND(ISNUMBER(F147),COUNT(G147)=0),"Add actual quantity",IF(Q147=0,"Review target / date / dependencies","Complete"))))),IF(OR(I147="Blocked",I147="Deferred"),IF(L147="","Record blocker / reason",IF(M147="","Assign rescue owner",IF(N147="","Set recovery date","Recovery assigned"))),IF(B147&lt;'Dashboard'!$B$5,"Escalate and record recovery","Work to acceptance standard")))</x:f>
        <x:v>Work to acceptance standard</x:v>
      </x:c>
      <x:c r="T147" s="26" t="str">
        <x:v>T0013; T0055</x:v>
      </x:c>
      <x:c r="U14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47" s="31" t="n">
        <x:v>7.5</x:v>
      </x:c>
      <x:c r="W147" s="26" t="str"/>
      <x:c r="X147" s="26" t="str">
        <x:v>DSI Reset PDF: lane responsibilities and dated runbook; dated allocation proposed for this tracker.</x:v>
      </x:c>
      <x:c r="Y147" s="30" t="n">
        <x:f>B147-WEEKDAY(B147,2)+1</x:f>
        <x:v>46335</x:v>
      </x:c>
      <x:c r="Z147" s="2" t="str">
        <x:v>capacity</x:v>
      </x:c>
      <x:c r="AA147" s="2" t="n">
        <x:f>IF(Q147=1,IF(P147&gt;B147,1,0),0)</x:f>
        <x:v>0</x:v>
      </x:c>
      <x:c r="AB147" s="2" t="n">
        <x:f>IF(AND(Q147=1,P147&lt;='Dashboard'!$B$5),0,MAX(0,'Dashboard'!$B$5-B147))</x:f>
        <x:v>0</x:v>
      </x:c>
      <x:c r="AC147" s="28" t="str"/>
      <x:c r="AD147" s="2" t="str">
        <x:f>IF(AND(ISNUMBER(F147),ISNUMBER(G147)),G147-F147,"")</x:f>
      </x:c>
      <x:c r="AE147" s="2" t="n">
        <x:f>IF(AND(I147="Accepted",K147&lt;&gt;"",O147&lt;&gt;"",ISNUMBER(P147),P147&gt;0,P147&lt;='Dashboard'!$B$5,IF(ISNUMBER(F147),ISNUMBER(G147),TRUE),IF(ISNUMBER(F147),OR(G147&gt;=F147,AC147&lt;&gt;""),TRUE)),1,0)</x:f>
        <x:v>0</x:v>
      </x:c>
    </x:row>
    <x:row r="148" ht="58" customHeight="1">
      <x:c r="A148" s="2" t="str">
        <x:v>T0443</x:v>
      </x:c>
      <x:c r="B148" s="30" t="n">
        <x:v>46335</x:v>
      </x:c>
      <x:c r="C148" s="2" t="str">
        <x:v>Nic</x:v>
      </x:c>
      <x:c r="D148" s="2" t="str">
        <x:v>Client dependency</x:v>
      </x:c>
      <x:c r="E148" s="26" t="str">
        <x:v>Call outcome/next step for every appointment due; first-case decisions</x:v>
      </x:c>
      <x:c r="F148" s="2" t="str"/>
      <x:c r="G148" s="20"/>
      <x:c r="H148" s="2" t="str">
        <x:v>all due appointments</x:v>
      </x:c>
      <x:c r="I148" s="20" t="str">
        <x:v>Ready</x:v>
      </x:c>
      <x:c r="J148" s="2" t="str">
        <x:v>16:45</x:v>
      </x:c>
      <x:c r="K148" s="28" t="str"/>
      <x:c r="L148" s="28" t="str"/>
      <x:c r="M148" s="20" t="str"/>
      <x:c r="N148" s="33"/>
      <x:c r="O148" s="20" t="str"/>
      <x:c r="P148" s="33"/>
      <x:c r="Q148" s="2" t="n">
        <x:f>IF(AND(AE148=1,COUNTIFS($A$7:$A$500,"T0028",$AE$7:$AE$500,1)=1),1,0)</x:f>
        <x:v>0</x:v>
      </x:c>
      <x:c r="R148" s="2" t="str">
        <x:f>IF(AND(Q148=1,P148&lt;='Dashboard'!$B$5),IF(P148&gt;B148,"Accepted late","Accepted"),IF(B148&lt;'Dashboard'!$B$5,"Overdue",IF(I148="Blocked","Blocked",IF(B148='Dashboard'!$B$5,"Due today","Planned"))))</x:f>
        <x:v>Planned</x:v>
      </x:c>
      <x:c r="S148" s="26" t="str">
        <x:f>IF(I148="Accepted",IF(K148="","Add evidence",IF(O148="","Add reviewer",IF(P148="","Add accepted date",IF(AND(ISNUMBER(F148),COUNT(G148)=0),"Add actual quantity",IF(Q148=0,"Review target / date / dependencies","Complete"))))),IF(OR(I148="Blocked",I148="Deferred"),IF(L148="","Record blocker / reason",IF(M148="","Assign rescue owner",IF(N148="","Set recovery date","Recovery assigned"))),IF(B148&lt;'Dashboard'!$B$5,"Escalate and record recovery","Work to acceptance standard")))</x:f>
        <x:v>Work to acceptance standard</x:v>
      </x:c>
      <x:c r="T148" s="26" t="str">
        <x:v>T0028</x:v>
      </x:c>
      <x:c r="U148" s="26" t="str">
        <x:v>Demand-linked: work actual approved calendar; setter brief present; outcome logged same day. No calls scheduled is N/A with calendar evidence.</x:v>
      </x:c>
      <x:c r="V148" s="31" t="n">
        <x:v>0.5</x:v>
      </x:c>
      <x:c r="W148" s="26" t="str"/>
      <x:c r="X148" s="26" t="str">
        <x:v>DSI Reset PDF: lane responsibilities and dated runbook; dated allocation proposed for this tracker.</x:v>
      </x:c>
      <x:c r="Y148" s="30" t="n">
        <x:f>B148-WEEKDAY(B148,2)+1</x:f>
        <x:v>46335</x:v>
      </x:c>
      <x:c r="Z148" s="2" t="str">
        <x:v>demand</x:v>
      </x:c>
      <x:c r="AA148" s="2" t="n">
        <x:f>IF(Q148=1,IF(P148&gt;B148,1,0),0)</x:f>
        <x:v>0</x:v>
      </x:c>
      <x:c r="AB148" s="2" t="n">
        <x:f>IF(AND(Q148=1,P148&lt;='Dashboard'!$B$5),0,MAX(0,'Dashboard'!$B$5-B148))</x:f>
        <x:v>0</x:v>
      </x:c>
      <x:c r="AC148" s="28" t="str"/>
      <x:c r="AD148" s="2" t="str">
        <x:f>IF(AND(ISNUMBER(F148),ISNUMBER(G148)),G148-F148,"")</x:f>
      </x:c>
      <x:c r="AE148" s="2" t="n">
        <x:f>IF(AND(I148="Accepted",K148&lt;&gt;"",O148&lt;&gt;"",ISNUMBER(P148),P148&gt;0,P148&lt;='Dashboard'!$B$5,IF(ISNUMBER(F148),ISNUMBER(G148),TRUE)),1,0)</x:f>
        <x:v>0</x:v>
      </x:c>
    </x:row>
    <x:row r="149" ht="58" customHeight="1">
      <x:c r="A149" s="2" t="str">
        <x:v>T0444</x:v>
      </x:c>
      <x:c r="B149" s="30" t="n">
        <x:v>46335</x:v>
      </x:c>
      <x:c r="C149" s="2" t="str">
        <x:v>Maseeha</x:v>
      </x:c>
      <x:c r="D149" s="2" t="str">
        <x:v>Client dependency</x:v>
      </x:c>
      <x:c r="E149" s="26" t="str">
        <x:v>Due intro verification; kit/case handoff; delivery/Day-30 dates; credit trigger log. Planned asks today: 2 unique existing accounts; cumulative 17.</x:v>
      </x:c>
      <x:c r="F149" s="2" t="str"/>
      <x:c r="G149" s="20"/>
      <x:c r="H149" s="2" t="str">
        <x:v>all due cases</x:v>
      </x:c>
      <x:c r="I149" s="20" t="str">
        <x:v>Ready</x:v>
      </x:c>
      <x:c r="J149" s="2" t="str">
        <x:v>16:45</x:v>
      </x:c>
      <x:c r="K149" s="28" t="str"/>
      <x:c r="L149" s="28" t="str"/>
      <x:c r="M149" s="20" t="str"/>
      <x:c r="N149" s="33"/>
      <x:c r="O149" s="20" t="str"/>
      <x:c r="P149" s="33"/>
      <x:c r="Q149" s="2" t="n">
        <x:f>IF(AND(AE149=1,COUNTIFS($A$7:$A$500,"T0028",$AE$7:$AE$500,1)=1),1,0)</x:f>
        <x:v>0</x:v>
      </x:c>
      <x:c r="R149" s="2" t="str">
        <x:f>IF(AND(Q149=1,P149&lt;='Dashboard'!$B$5),IF(P149&gt;B149,"Accepted late","Accepted"),IF(B149&lt;'Dashboard'!$B$5,"Overdue",IF(I149="Blocked","Blocked",IF(B149='Dashboard'!$B$5,"Due today","Planned"))))</x:f>
        <x:v>Planned</x:v>
      </x:c>
      <x:c r="S149" s="26" t="str">
        <x:f>IF(I149="Accepted",IF(K149="","Add evidence",IF(O149="","Add reviewer",IF(P149="","Add accepted date",IF(AND(ISNUMBER(F149),COUNT(G149)=0),"Add actual quantity",IF(Q149=0,"Review target / date / dependencies","Complete"))))),IF(OR(I149="Blocked",I149="Deferred"),IF(L149="","Record blocker / reason",IF(M149="","Assign rescue owner",IF(N149="","Set recovery date","Recovery assigned"))),IF(B149&lt;'Dashboard'!$B$5,"Escalate and record recovery","Work to acceptance standard")))</x:f>
        <x:v>Work to acceptance standard</x:v>
      </x:c>
      <x:c r="T149" s="26" t="str">
        <x:v>T0028</x:v>
      </x:c>
      <x:c r="U149" s="26" t="str">
        <x:v>Demand-linked: referral verification&lt;=2 business days; trial capacity respected; $200 credit only on eligible invoice paid.</x:v>
      </x:c>
      <x:c r="V149" s="31" t="n">
        <x:v>0.5</x:v>
      </x:c>
      <x:c r="W149" s="26" t="str"/>
      <x:c r="X149" s="26" t="str">
        <x:v>DSI Reset PDF: lane responsibilities and dated runbook; dated allocation proposed for this tracker.</x:v>
      </x:c>
      <x:c r="Y149" s="30" t="n">
        <x:f>B149-WEEKDAY(B149,2)+1</x:f>
        <x:v>46335</x:v>
      </x:c>
      <x:c r="Z149" s="2" t="str">
        <x:v>demand</x:v>
      </x:c>
      <x:c r="AA149" s="2" t="n">
        <x:f>IF(Q149=1,IF(P149&gt;B149,1,0),0)</x:f>
        <x:v>0</x:v>
      </x:c>
      <x:c r="AB149" s="2" t="n">
        <x:f>IF(AND(Q149=1,P149&lt;='Dashboard'!$B$5),0,MAX(0,'Dashboard'!$B$5-B149))</x:f>
        <x:v>0</x:v>
      </x:c>
      <x:c r="AC149" s="28" t="str"/>
      <x:c r="AD149" s="2" t="str">
        <x:f>IF(AND(ISNUMBER(F149),ISNUMBER(G149)),G149-F149,"")</x:f>
      </x:c>
      <x:c r="AE149" s="2" t="n">
        <x:f>IF(AND(I149="Accepted",K149&lt;&gt;"",O149&lt;&gt;"",ISNUMBER(P149),P149&gt;0,P149&lt;='Dashboard'!$B$5,IF(ISNUMBER(F149),ISNUMBER(G149),TRUE)),1,0)</x:f>
        <x:v>0</x:v>
      </x:c>
    </x:row>
    <x:row r="150" ht="58" customHeight="1">
      <x:c r="A150" s="2" t="str">
        <x:v>T0130</x:v>
      </x:c>
      <x:c r="B150" s="30" t="n">
        <x:v>46336</x:v>
      </x:c>
      <x:c r="C150" s="2" t="str">
        <x:v>Wyline</x:v>
      </x:c>
      <x:c r="D150" s="2" t="str">
        <x:v>Program Director</x:v>
      </x:c>
      <x:c r="E150" s="26" t="str">
        <x:v>Accepted-output register; actual-vs-target dashboard; blocker/rescue assignments</x:v>
      </x:c>
      <x:c r="F150" s="2" t="n">
        <x:v>1</x:v>
      </x:c>
      <x:c r="G150" s="20"/>
      <x:c r="H150" s="2" t="str">
        <x:v>accepted output</x:v>
      </x:c>
      <x:c r="I150" s="20" t="str">
        <x:v>Ready</x:v>
      </x:c>
      <x:c r="J150" s="2" t="str">
        <x:v>16:45</x:v>
      </x:c>
      <x:c r="K150" s="28" t="str"/>
      <x:c r="L150" s="28" t="str"/>
      <x:c r="M150" s="20" t="str"/>
      <x:c r="N150" s="33"/>
      <x:c r="O150" s="20" t="str"/>
      <x:c r="P150" s="33"/>
      <x:c r="Q150" s="2" t="n">
        <x:f>IF(AND(AE150=1,COUNTIFS($A$7:$A$500,"T0067",$AE$7:$AE$500,1)=1,COUNTIFS($A$7:$A$500,"T0055",$AE$7:$AE$500,1)=1),1,0)</x:f>
        <x:v>0</x:v>
      </x:c>
      <x:c r="R150" s="2" t="str">
        <x:f>IF(AND(Q150=1,P150&lt;='Dashboard'!$B$5),IF(P150&gt;B150,"Accepted late","Accepted"),IF(B150&lt;'Dashboard'!$B$5,"Overdue",IF(I150="Blocked","Blocked",IF(B150='Dashboard'!$B$5,"Due today","Planned"))))</x:f>
        <x:v>Planned</x:v>
      </x:c>
      <x:c r="S150" s="26" t="str">
        <x:f>IF(I150="Accepted",IF(K150="","Add evidence",IF(O150="","Add reviewer",IF(P150="","Add accepted date",IF(AND(ISNUMBER(F150),COUNT(G150)=0),"Add actual quantity",IF(Q150=0,"Review target / date / dependencies","Complete"))))),IF(OR(I150="Blocked",I150="Deferred"),IF(L150="","Record blocker / reason",IF(M150="","Assign rescue owner",IF(N150="","Set recovery date","Recovery assigned"))),IF(B150&lt;'Dashboard'!$B$5,"Escalate and record recovery","Work to acceptance standard")))</x:f>
        <x:v>Work to acceptance standard</x:v>
      </x:c>
      <x:c r="T150" s="26" t="str">
        <x:v>T0067</x:v>
      </x:c>
      <x:c r="U150" s="26" t="str">
        <x:v>09:00 standup; 13:00/16:30 recovery checks; 17:00 acceptance. Every overdue task keeps original date and named recovery owner.</x:v>
      </x:c>
      <x:c r="V150" s="31" t="n">
        <x:v>3</x:v>
      </x:c>
      <x:c r="W150" s="26" t="str"/>
      <x:c r="X150" s="26" t="str">
        <x:v>DSI Reset PDF: lane responsibilities and dated runbook; dated allocation proposed for this tracker.</x:v>
      </x:c>
      <x:c r="Y150" s="30" t="n">
        <x:f>B150-WEEKDAY(B150,2)+1</x:f>
        <x:v>46335</x:v>
      </x:c>
      <x:c r="Z150" s="2" t="str">
        <x:v>checklist</x:v>
      </x:c>
      <x:c r="AA150" s="2" t="n">
        <x:f>IF(Q150=1,IF(P150&gt;B150,1,0),0)</x:f>
        <x:v>0</x:v>
      </x:c>
      <x:c r="AB150" s="2" t="n">
        <x:f>IF(AND(Q150=1,P150&lt;='Dashboard'!$B$5),0,MAX(0,'Dashboard'!$B$5-B150))</x:f>
        <x:v>0</x:v>
      </x:c>
      <x:c r="AC150" s="28" t="str"/>
      <x:c r="AD150" s="2" t="str">
        <x:f>IF(AND(ISNUMBER(F150),ISNUMBER(G150)),G150-F150,"")</x:f>
      </x:c>
      <x:c r="AE150" s="2" t="n">
        <x:f>IF(AND(I150="Accepted",K150&lt;&gt;"",O150&lt;&gt;"",ISNUMBER(P150),P150&gt;0,P150&lt;='Dashboard'!$B$5,IF(ISNUMBER(F150),ISNUMBER(G150),TRUE),IF(ISNUMBER(F150),G150&gt;=F150,TRUE)),1,0)</x:f>
        <x:v>0</x:v>
      </x:c>
    </x:row>
    <x:row r="151" ht="58" customHeight="1">
      <x:c r="A151" s="2" t="str">
        <x:v>T0131</x:v>
      </x:c>
      <x:c r="B151" s="30" t="n">
        <x:v>46336</x:v>
      </x:c>
      <x:c r="C151" s="2" t="str">
        <x:v>Kenneth</x:v>
      </x:c>
      <x:c r="D151" s="2" t="str">
        <x:v>Message Orchestrator</x:v>
      </x:c>
      <x:c r="E151" s="26" t="str">
        <x:v>Human-reply insights; 5 Inbox draft checks; approved first lines; claim exceptions</x:v>
      </x:c>
      <x:c r="F151" s="2" t="n">
        <x:v>1</x:v>
      </x:c>
      <x:c r="G151" s="20"/>
      <x:c r="H151" s="2" t="str">
        <x:v>accepted output</x:v>
      </x:c>
      <x:c r="I151" s="20" t="str">
        <x:v>Ready</x:v>
      </x:c>
      <x:c r="J151" s="2" t="str">
        <x:v>16:45</x:v>
      </x:c>
      <x:c r="K151" s="28" t="str"/>
      <x:c r="L151" s="28" t="str"/>
      <x:c r="M151" s="20" t="str"/>
      <x:c r="N151" s="33"/>
      <x:c r="O151" s="20" t="str"/>
      <x:c r="P151" s="33"/>
      <x:c r="Q151" s="2" t="n">
        <x:f>IF(AND(AE151=1,COUNTIFS($A$7:$A$500,"T0067",$AE$7:$AE$500,1)=1,COUNTIFS($A$7:$A$500,"T0055",$AE$7:$AE$500,1)=1),1,0)</x:f>
        <x:v>0</x:v>
      </x:c>
      <x:c r="R151" s="2" t="str">
        <x:f>IF(AND(Q151=1,P151&lt;='Dashboard'!$B$5),IF(P151&gt;B151,"Accepted late","Accepted"),IF(B151&lt;'Dashboard'!$B$5,"Overdue",IF(I151="Blocked","Blocked",IF(B151='Dashboard'!$B$5,"Due today","Planned"))))</x:f>
        <x:v>Planned</x:v>
      </x:c>
      <x:c r="S151" s="26" t="str">
        <x:f>IF(I151="Accepted",IF(K151="","Add evidence",IF(O151="","Add reviewer",IF(P151="","Add accepted date",IF(AND(ISNUMBER(F151),COUNT(G151)=0),"Add actual quantity",IF(Q151=0,"Review target / date / dependencies","Complete"))))),IF(OR(I151="Blocked",I151="Deferred"),IF(L151="","Record blocker / reason",IF(M151="","Assign rescue owner",IF(N151="","Set recovery date","Recovery assigned"))),IF(B151&lt;'Dashboard'!$B$5,"Escalate and record recovery","Work to acceptance standard")))</x:f>
        <x:v>Work to acceptance standard</x:v>
      </x:c>
      <x:c r="T151" s="26" t="str">
        <x:v>T0067</x:v>
      </x:c>
      <x:c r="U151" s="26" t="str">
        <x:v>Zero invented claims. If any draft fails facts, stop drafting/retrain; no offer change without approval.</x:v>
      </x:c>
      <x:c r="V151" s="31" t="n">
        <x:v>2.4</x:v>
      </x:c>
      <x:c r="W151" s="26" t="str"/>
      <x:c r="X151" s="26" t="str">
        <x:v>DSI Reset PDF: lane responsibilities and dated runbook; dated allocation proposed for this tracker.</x:v>
      </x:c>
      <x:c r="Y151" s="30" t="n">
        <x:f>B151-WEEKDAY(B151,2)+1</x:f>
        <x:v>46335</x:v>
      </x:c>
      <x:c r="Z151" s="2" t="str">
        <x:v>checklist</x:v>
      </x:c>
      <x:c r="AA151" s="2" t="n">
        <x:f>IF(Q151=1,IF(P151&gt;B151,1,0),0)</x:f>
        <x:v>0</x:v>
      </x:c>
      <x:c r="AB151" s="2" t="n">
        <x:f>IF(AND(Q151=1,P151&lt;='Dashboard'!$B$5),0,MAX(0,'Dashboard'!$B$5-B151))</x:f>
        <x:v>0</x:v>
      </x:c>
      <x:c r="AC151" s="28" t="str"/>
      <x:c r="AD151" s="2" t="str">
        <x:f>IF(AND(ISNUMBER(F151),ISNUMBER(G151)),G151-F151,"")</x:f>
      </x:c>
      <x:c r="AE151" s="2" t="n">
        <x:f>IF(AND(I151="Accepted",K151&lt;&gt;"",O151&lt;&gt;"",ISNUMBER(P151),P151&gt;0,P151&lt;='Dashboard'!$B$5,IF(ISNUMBER(F151),ISNUMBER(G151),TRUE),IF(ISNUMBER(F151),G151&gt;=F151,TRUE)),1,0)</x:f>
        <x:v>0</x:v>
      </x:c>
    </x:row>
    <x:row r="152" ht="58" customHeight="1">
      <x:c r="A152" s="2" t="str">
        <x:v>T0132</x:v>
      </x:c>
      <x:c r="B152" s="30" t="n">
        <x:v>46336</x:v>
      </x:c>
      <x:c r="C152" s="2" t="str">
        <x:v>Joey</x:v>
      </x:c>
      <x:c r="D152" s="2" t="str">
        <x:v>Data Orchestrator</x:v>
      </x:c>
      <x:c r="E152" s="26" t="str">
        <x:v>Mailbox/bounce/suppression log; ready verified records; due-follow up versus new-send capacity plan.</x:v>
      </x:c>
      <x:c r="F152" s="2" t="n">
        <x:v>1</x:v>
      </x:c>
      <x:c r="G152" s="20"/>
      <x:c r="H152" s="2" t="str">
        <x:v>verified queue and health check</x:v>
      </x:c>
      <x:c r="I152" s="20" t="str">
        <x:v>Ready</x:v>
      </x:c>
      <x:c r="J152" s="2" t="str">
        <x:v>16:45</x:v>
      </x:c>
      <x:c r="K152" s="28" t="str"/>
      <x:c r="L152" s="28" t="str"/>
      <x:c r="M152" s="20" t="str"/>
      <x:c r="N152" s="33"/>
      <x:c r="O152" s="20" t="str"/>
      <x:c r="P152" s="33"/>
      <x:c r="Q152" s="2" t="n">
        <x:f>IF(AND(AE152=1,COUNTIFS($A$7:$A$500,"T0067",$AE$7:$AE$500,1)=1,COUNTIFS($A$7:$A$500,"T0055",$AE$7:$AE$500,1)=1),1,0)</x:f>
        <x:v>0</x:v>
      </x:c>
      <x:c r="R152" s="2" t="str">
        <x:f>IF(AND(Q152=1,P152&lt;='Dashboard'!$B$5),IF(P152&gt;B152,"Accepted late","Accepted"),IF(B152&lt;'Dashboard'!$B$5,"Overdue",IF(I152="Blocked","Blocked",IF(B152='Dashboard'!$B$5,"Due today","Planned"))))</x:f>
        <x:v>Planned</x:v>
      </x:c>
      <x:c r="S152" s="26" t="str">
        <x:f>IF(I152="Accepted",IF(K152="","Add evidence",IF(O152="","Add reviewer",IF(P152="","Add accepted date",IF(AND(ISNUMBER(F152),COUNT(G152)=0),"Add actual quantity",IF(Q152=0,"Review target / date / dependencies","Complete"))))),IF(OR(I152="Blocked",I152="Deferred"),IF(L152="","Record blocker / reason",IF(M152="","Assign rescue owner",IF(N152="","Set recovery date","Recovery assigned"))),IF(B152&lt;'Dashboard'!$B$5,"Escalate and record recovery","Work to acceptance standard")))</x:f>
        <x:v>Work to acceptance standard</x:v>
      </x:c>
      <x:c r="T152" s="26" t="str">
        <x:v>T0067</x:v>
      </x:c>
      <x:c r="U152" s="26" t="str">
        <x:v>Planning pool addition 0 contacts today; quality gate wins over quota. Total sends&lt;=150/day;&gt;3% bounce affected mailbox held. No new cold enrollments on reduced/buffer days.</x:v>
      </x:c>
      <x:c r="V152" s="31" t="n">
        <x:v>3</x:v>
      </x:c>
      <x:c r="W152" s="26" t="str"/>
      <x:c r="X152" s="26" t="str">
        <x:v>DSI Reset PDF: lane responsibilities and dated runbook; dated allocation proposed for this tracker.</x:v>
      </x:c>
      <x:c r="Y152" s="30" t="n">
        <x:f>B152-WEEKDAY(B152,2)+1</x:f>
        <x:v>46335</x:v>
      </x:c>
      <x:c r="Z152" s="2" t="str">
        <x:v>checklist</x:v>
      </x:c>
      <x:c r="AA152" s="2" t="n">
        <x:f>IF(Q152=1,IF(P152&gt;B152,1,0),0)</x:f>
        <x:v>0</x:v>
      </x:c>
      <x:c r="AB152" s="2" t="n">
        <x:f>IF(AND(Q152=1,P152&lt;='Dashboard'!$B$5),0,MAX(0,'Dashboard'!$B$5-B152))</x:f>
        <x:v>0</x:v>
      </x:c>
      <x:c r="AC152" s="28" t="str"/>
      <x:c r="AD152" s="2" t="str">
        <x:f>IF(AND(ISNUMBER(F152),ISNUMBER(G152)),G152-F152,"")</x:f>
      </x:c>
      <x:c r="AE152" s="2" t="n">
        <x:f>IF(AND(I152="Accepted",K152&lt;&gt;"",O152&lt;&gt;"",ISNUMBER(P152),P152&gt;0,P152&lt;='Dashboard'!$B$5,IF(ISNUMBER(F152),ISNUMBER(G152),TRUE),IF(ISNUMBER(F152),G152&gt;=F152,TRUE)),1,0)</x:f>
        <x:v>0</x:v>
      </x:c>
    </x:row>
    <x:row r="153" ht="58" customHeight="1">
      <x:c r="A153" s="2" t="str">
        <x:v>T0133</x:v>
      </x:c>
      <x:c r="B153" s="30" t="n">
        <x:v>46336</x:v>
      </x:c>
      <x:c r="C153" s="2" t="str">
        <x:v>Nova</x:v>
      </x:c>
      <x:c r="D153" s="2" t="str">
        <x:v>Conversion Orchestrator</x:v>
      </x:c>
      <x:c r="E153" s="26" t="str">
        <x:v>Coverage/SLA evidence; 2 call reviews; booked/held updates; next-step and trial handoffs. Log each unique qualified inquiry with practice type, decision-maker access, case volume, service need and readiness timing.</x:v>
      </x:c>
      <x:c r="F153" s="2" t="n">
        <x:v>1</x:v>
      </x:c>
      <x:c r="G153" s="20"/>
      <x:c r="H153" s="2" t="str">
        <x:v>accepted output</x:v>
      </x:c>
      <x:c r="I153" s="20" t="str">
        <x:v>Ready</x:v>
      </x:c>
      <x:c r="J153" s="2" t="str">
        <x:v>16:45</x:v>
      </x:c>
      <x:c r="K153" s="28" t="str"/>
      <x:c r="L153" s="28" t="str"/>
      <x:c r="M153" s="20" t="str"/>
      <x:c r="N153" s="33"/>
      <x:c r="O153" s="20" t="str"/>
      <x:c r="P153" s="33"/>
      <x:c r="Q153" s="2" t="n">
        <x:f>IF(AND(AE153=1,COUNTIFS($A$7:$A$500,"T0067",$AE$7:$AE$500,1)=1,COUNTIFS($A$7:$A$500,"T0055",$AE$7:$AE$500,1)=1),1,0)</x:f>
        <x:v>0</x:v>
      </x:c>
      <x:c r="R153" s="2" t="str">
        <x:f>IF(AND(Q153=1,P153&lt;='Dashboard'!$B$5),IF(P153&gt;B153,"Accepted late","Accepted"),IF(B153&lt;'Dashboard'!$B$5,"Overdue",IF(I153="Blocked","Blocked",IF(B153='Dashboard'!$B$5,"Due today","Planned"))))</x:f>
        <x:v>Planned</x:v>
      </x:c>
      <x:c r="S153" s="26" t="str">
        <x:f>IF(I153="Accepted",IF(K153="","Add evidence",IF(O153="","Add reviewer",IF(P153="","Add accepted date",IF(AND(ISNUMBER(F153),COUNT(G153)=0),"Add actual quantity",IF(Q153=0,"Review target / date / dependencies","Complete"))))),IF(OR(I153="Blocked",I153="Deferred"),IF(L153="","Record blocker / reason",IF(M153="","Assign rescue owner",IF(N153="","Set recovery date","Recovery assigned"))),IF(B153&lt;'Dashboard'!$B$5,"Escalate and record recovery","Work to acceptance standard")))</x:f>
        <x:v>Work to acceptance standard</x:v>
      </x:c>
      <x:c r="T153" s="26" t="str">
        <x:v>T0067</x:v>
      </x:c>
      <x:c r="U153" s="26" t="str">
        <x:v>Every eligible reply&lt;=15 min; positive call&lt;=60 min; no opportunity without next step; booked brief to Nic; trial logistics to Maseeha. Raw contacts, opens and accepts never count as qualified inquiries; deduplicate across channels.</x:v>
      </x:c>
      <x:c r="V153" s="31" t="n">
        <x:v>4</x:v>
      </x:c>
      <x:c r="W153" s="26" t="str"/>
      <x:c r="X153" s="26" t="str">
        <x:v>DSI Reset PDF: lane responsibilities and dated runbook; dated allocation proposed for this tracker.</x:v>
      </x:c>
      <x:c r="Y153" s="30" t="n">
        <x:f>B153-WEEKDAY(B153,2)+1</x:f>
        <x:v>46335</x:v>
      </x:c>
      <x:c r="Z153" s="2" t="str">
        <x:v>checklist</x:v>
      </x:c>
      <x:c r="AA153" s="2" t="n">
        <x:f>IF(Q153=1,IF(P153&gt;B153,1,0),0)</x:f>
        <x:v>0</x:v>
      </x:c>
      <x:c r="AB153" s="2" t="n">
        <x:f>IF(AND(Q153=1,P153&lt;='Dashboard'!$B$5),0,MAX(0,'Dashboard'!$B$5-B153))</x:f>
        <x:v>0</x:v>
      </x:c>
      <x:c r="AC153" s="28" t="str"/>
      <x:c r="AD153" s="2" t="str">
        <x:f>IF(AND(ISNUMBER(F153),ISNUMBER(G153)),G153-F153,"")</x:f>
      </x:c>
      <x:c r="AE153" s="2" t="n">
        <x:f>IF(AND(I153="Accepted",K153&lt;&gt;"",O153&lt;&gt;"",ISNUMBER(P153),P153&gt;0,P153&lt;='Dashboard'!$B$5,IF(ISNUMBER(F153),ISNUMBER(G153),TRUE),IF(ISNUMBER(F153),G153&gt;=F153,TRUE)),1,0)</x:f>
        <x:v>0</x:v>
      </x:c>
    </x:row>
    <x:row r="154" ht="58" customHeight="1">
      <x:c r="A154" s="2" t="str">
        <x:v>T0134</x:v>
      </x:c>
      <x:c r="B154" s="30" t="n">
        <x:v>46336</x:v>
      </x:c>
      <x:c r="C154" s="2" t="str">
        <x:v>Emman</x:v>
      </x:c>
      <x:c r="D154" s="2" t="str">
        <x:v>AI Build Orchestrator</x:v>
      </x:c>
      <x:c r="E154" s="26" t="str">
        <x:v>Health/retry log; one acceptance-backed build increment; updated change log</x:v>
      </x:c>
      <x:c r="F154" s="2" t="n">
        <x:v>1</x:v>
      </x:c>
      <x:c r="G154" s="20"/>
      <x:c r="H154" s="2" t="str">
        <x:v>accepted output</x:v>
      </x:c>
      <x:c r="I154" s="20" t="str">
        <x:v>Ready</x:v>
      </x:c>
      <x:c r="J154" s="2" t="str">
        <x:v>16:45</x:v>
      </x:c>
      <x:c r="K154" s="28" t="str"/>
      <x:c r="L154" s="28" t="str"/>
      <x:c r="M154" s="20" t="str"/>
      <x:c r="N154" s="33"/>
      <x:c r="O154" s="20" t="str"/>
      <x:c r="P154" s="33"/>
      <x:c r="Q154" s="2" t="n">
        <x:f>IF(AND(AE154=1,COUNTIFS($A$7:$A$500,"T0067",$AE$7:$AE$500,1)=1,COUNTIFS($A$7:$A$500,"T0055",$AE$7:$AE$500,1)=1),1,0)</x:f>
        <x:v>0</x:v>
      </x:c>
      <x:c r="R154" s="2" t="str">
        <x:f>IF(AND(Q154=1,P154&lt;='Dashboard'!$B$5),IF(P154&gt;B154,"Accepted late","Accepted"),IF(B154&lt;'Dashboard'!$B$5,"Overdue",IF(I154="Blocked","Blocked",IF(B154='Dashboard'!$B$5,"Due today","Planned"))))</x:f>
        <x:v>Planned</x:v>
      </x:c>
      <x:c r="S154" s="26" t="str">
        <x:f>IF(I154="Accepted",IF(K154="","Add evidence",IF(O154="","Add reviewer",IF(P154="","Add accepted date",IF(AND(ISNUMBER(F154),COUNT(G154)=0),"Add actual quantity",IF(Q154=0,"Review target / date / dependencies","Complete"))))),IF(OR(I154="Blocked",I154="Deferred"),IF(L154="","Record blocker / reason",IF(M154="","Assign rescue owner",IF(N154="","Set recovery date","Recovery assigned"))),IF(B154&lt;'Dashboard'!$B$5,"Escalate and record recovery","Work to acceptance standard")))</x:f>
        <x:v>Work to acceptance standard</x:v>
      </x:c>
      <x:c r="T154" s="26" t="str">
        <x:v>T0067</x:v>
      </x:c>
      <x:c r="U154" s="26" t="str">
        <x:v>Fix a failing live agent beforestarting the next build. If an agent is still not working 48 hours after its due date, activate the manual SOP. Roll back a live failure within 1 hour. Release build reserve when no approved work remains.</x:v>
      </x:c>
      <x:c r="V154" s="31" t="n">
        <x:v>4</x:v>
      </x:c>
      <x:c r="W154" s="26" t="str"/>
      <x:c r="X154" s="26" t="str">
        <x:v>DSI Reset PDF: lane responsibilities and dated runbook; dated allocation proposed for this tracker.</x:v>
      </x:c>
      <x:c r="Y154" s="30" t="n">
        <x:f>B154-WEEKDAY(B154,2)+1</x:f>
        <x:v>46335</x:v>
      </x:c>
      <x:c r="Z154" s="2" t="str">
        <x:v>checklist</x:v>
      </x:c>
      <x:c r="AA154" s="2" t="n">
        <x:f>IF(Q154=1,IF(P154&gt;B154,1,0),0)</x:f>
        <x:v>0</x:v>
      </x:c>
      <x:c r="AB154" s="2" t="n">
        <x:f>IF(AND(Q154=1,P154&lt;='Dashboard'!$B$5),0,MAX(0,'Dashboard'!$B$5-B154))</x:f>
        <x:v>0</x:v>
      </x:c>
      <x:c r="AC154" s="28" t="str"/>
      <x:c r="AD154" s="2" t="str">
        <x:f>IF(AND(ISNUMBER(F154),ISNUMBER(G154)),G154-F154,"")</x:f>
      </x:c>
      <x:c r="AE154" s="2" t="n">
        <x:f>IF(AND(I154="Accepted",K154&lt;&gt;"",O154&lt;&gt;"",ISNUMBER(P154),P154&gt;0,P154&lt;='Dashboard'!$B$5,IF(ISNUMBER(F154),ISNUMBER(G154),TRUE),IF(ISNUMBER(F154),G154&gt;=F154,TRUE)),1,0)</x:f>
        <x:v>0</x:v>
      </x:c>
    </x:row>
    <x:row r="155" ht="58" customHeight="1">
      <x:c r="A155" s="2" t="str">
        <x:v>T0135</x:v>
      </x:c>
      <x:c r="B155" s="30" t="n">
        <x:v>46336</x:v>
      </x:c>
      <x:c r="C155" s="2" t="str">
        <x:v>Ludwig</x:v>
      </x:c>
      <x:c r="D155" s="2" t="str">
        <x:v>Integration Engineer</x:v>
      </x:c>
      <x:c r="E155" s="26" t="str">
        <x:v>Webhook/error/dead-letter check; top assigned integration ticket or verified no-ticket note</x:v>
      </x:c>
      <x:c r="F155" s="2" t="n">
        <x:v>1</x:v>
      </x:c>
      <x:c r="G155" s="20"/>
      <x:c r="H155" s="2" t="str">
        <x:v>accepted output</x:v>
      </x:c>
      <x:c r="I155" s="20" t="str">
        <x:v>Ready</x:v>
      </x:c>
      <x:c r="J155" s="2" t="str">
        <x:v>16:45</x:v>
      </x:c>
      <x:c r="K155" s="28" t="str"/>
      <x:c r="L155" s="28" t="str"/>
      <x:c r="M155" s="20" t="str"/>
      <x:c r="N155" s="33"/>
      <x:c r="O155" s="20" t="str"/>
      <x:c r="P155" s="33"/>
      <x:c r="Q155" s="2" t="n">
        <x:f>IF(AND(AE155=1,COUNTIFS($A$7:$A$500,"T0067",$AE$7:$AE$500,1)=1,COUNTIFS($A$7:$A$500,"T0055",$AE$7:$AE$500,1)=1),1,0)</x:f>
        <x:v>0</x:v>
      </x:c>
      <x:c r="R155" s="2" t="str">
        <x:f>IF(AND(Q155=1,P155&lt;='Dashboard'!$B$5),IF(P155&gt;B155,"Accepted late","Accepted"),IF(B155&lt;'Dashboard'!$B$5,"Overdue",IF(I155="Blocked","Blocked",IF(B155='Dashboard'!$B$5,"Due today","Planned"))))</x:f>
        <x:v>Planned</x:v>
      </x:c>
      <x:c r="S155" s="26" t="str">
        <x:f>IF(I155="Accepted",IF(K155="","Add evidence",IF(O155="","Add reviewer",IF(P155="","Add accepted date",IF(AND(ISNUMBER(F155),COUNT(G155)=0),"Add actual quantity",IF(Q155=0,"Review target / date / dependencies","Complete"))))),IF(OR(I155="Blocked",I155="Deferred"),IF(L155="","Record blocker / reason",IF(M155="","Assign rescue owner",IF(N155="","Set recovery date","Recovery assigned"))),IF(B155&lt;'Dashboard'!$B$5,"Escalate and record recovery","Work to acceptance standard")))</x:f>
        <x:v>Work to acceptance standard</x:v>
      </x:c>
      <x:c r="T155" s="26" t="str">
        <x:v>T0067</x:v>
      </x:c>
      <x:c r="U155" s="26" t="str">
        <x:v>Only Emman’s priority queue; 100% test capture; runbook/retry/rollback evidence. If no fault/ticket, release reserve; do not invent work.</x:v>
      </x:c>
      <x:c r="V155" s="31" t="n">
        <x:v>1.6</x:v>
      </x:c>
      <x:c r="W155" s="26" t="str"/>
      <x:c r="X155" s="26" t="str">
        <x:v>DSI Reset PDF: lane responsibilities and dated runbook; dated allocation proposed for this tracker.</x:v>
      </x:c>
      <x:c r="Y155" s="30" t="n">
        <x:f>B155-WEEKDAY(B155,2)+1</x:f>
        <x:v>46335</x:v>
      </x:c>
      <x:c r="Z155" s="2" t="str">
        <x:v>checklist</x:v>
      </x:c>
      <x:c r="AA155" s="2" t="n">
        <x:f>IF(Q155=1,IF(P155&gt;B155,1,0),0)</x:f>
        <x:v>0</x:v>
      </x:c>
      <x:c r="AB155" s="2" t="n">
        <x:f>IF(AND(Q155=1,P155&lt;='Dashboard'!$B$5),0,MAX(0,'Dashboard'!$B$5-B155))</x:f>
        <x:v>0</x:v>
      </x:c>
      <x:c r="AC155" s="28" t="str"/>
      <x:c r="AD155" s="2" t="str">
        <x:f>IF(AND(ISNUMBER(F155),ISNUMBER(G155)),G155-F155,"")</x:f>
      </x:c>
      <x:c r="AE155" s="2" t="n">
        <x:f>IF(AND(I155="Accepted",K155&lt;&gt;"",O155&lt;&gt;"",ISNUMBER(P155),P155&gt;0,P155&lt;='Dashboard'!$B$5,IF(ISNUMBER(F155),ISNUMBER(G155),TRUE),IF(ISNUMBER(F155),G155&gt;=F155,TRUE)),1,0)</x:f>
        <x:v>0</x:v>
      </x:c>
    </x:row>
    <x:row r="156" ht="58" customHeight="1">
      <x:c r="A156" s="2" t="str">
        <x:v>T0136</x:v>
      </x:c>
      <x:c r="B156" s="30" t="n">
        <x:v>46336</x:v>
      </x:c>
      <x:c r="C156" s="2" t="str">
        <x:v>Alvin</x:v>
      </x:c>
      <x:c r="D156" s="2" t="str">
        <x:v>CQL/GHL Implementation</x:v>
      </x:c>
      <x:c r="E156" s="26" t="str">
        <x:v>Stage/calendar/reminder QA; due workflow fixes; approved post mirrors/evidence Publish approved post SOC04 (Engage); capture the live URL.</x:v>
      </x:c>
      <x:c r="F156" s="2" t="n">
        <x:v>1</x:v>
      </x:c>
      <x:c r="G156" s="20"/>
      <x:c r="H156" s="2" t="str">
        <x:v>accepted output</x:v>
      </x:c>
      <x:c r="I156" s="20" t="str">
        <x:v>Ready</x:v>
      </x:c>
      <x:c r="J156" s="2" t="str">
        <x:v>16:45</x:v>
      </x:c>
      <x:c r="K156" s="28" t="str"/>
      <x:c r="L156" s="28" t="str"/>
      <x:c r="M156" s="20" t="str"/>
      <x:c r="N156" s="33"/>
      <x:c r="O156" s="20" t="str"/>
      <x:c r="P156" s="33"/>
      <x:c r="Q156" s="2" t="n">
        <x:f>IF(AND(AE156=1,COUNTIFS($A$7:$A$500,"T0067",$AE$7:$AE$500,1)=1,COUNTIFS($A$7:$A$500,"T0055",$AE$7:$AE$500,1)=1),1,0)</x:f>
        <x:v>0</x:v>
      </x:c>
      <x:c r="R156" s="2" t="str">
        <x:f>IF(AND(Q156=1,P156&lt;='Dashboard'!$B$5),IF(P156&gt;B156,"Accepted late","Accepted"),IF(B156&lt;'Dashboard'!$B$5,"Overdue",IF(I156="Blocked","Blocked",IF(B156='Dashboard'!$B$5,"Due today","Planned"))))</x:f>
        <x:v>Planned</x:v>
      </x:c>
      <x:c r="S156" s="26" t="str">
        <x:f>IF(I156="Accepted",IF(K156="","Add evidence",IF(O156="","Add reviewer",IF(P156="","Add accepted date",IF(AND(ISNUMBER(F156),COUNT(G156)=0),"Add actual quantity",IF(Q156=0,"Review target / date / dependencies","Complete"))))),IF(OR(I156="Blocked",I156="Deferred"),IF(L156="","Record blocker / reason",IF(M156="","Assign rescue owner",IF(N156="","Set recovery date","Recovery assigned"))),IF(B156&lt;'Dashboard'!$B$5,"Escalate and record recovery","Work to acceptance standard")))</x:f>
        <x:v>Work to acceptance standard</x:v>
      </x:c>
      <x:c r="T156" s="26" t="str">
        <x:v>T0067</x:v>
      </x:c>
      <x:c r="U156" s="26" t="str">
        <x:v>No-show task&lt;=10 min; form/source fields correct; finish critical CRM defect same day. Facebook mirrors exact approved post; Instagram requires permissioned image.</x:v>
      </x:c>
      <x:c r="V156" s="31" t="n">
        <x:v>2</x:v>
      </x:c>
      <x:c r="W156" s="26" t="str"/>
      <x:c r="X156" s="26" t="str">
        <x:v>DSI Reset PDF: lane responsibilities and dated runbook; dated allocation proposed for this tracker.</x:v>
      </x:c>
      <x:c r="Y156" s="30" t="n">
        <x:f>B156-WEEKDAY(B156,2)+1</x:f>
        <x:v>46335</x:v>
      </x:c>
      <x:c r="Z156" s="2" t="str">
        <x:v>checklist</x:v>
      </x:c>
      <x:c r="AA156" s="2" t="n">
        <x:f>IF(Q156=1,IF(P156&gt;B156,1,0),0)</x:f>
        <x:v>0</x:v>
      </x:c>
      <x:c r="AB156" s="2" t="n">
        <x:f>IF(AND(Q156=1,P156&lt;='Dashboard'!$B$5),0,MAX(0,'Dashboard'!$B$5-B156))</x:f>
        <x:v>0</x:v>
      </x:c>
      <x:c r="AC156" s="28" t="str"/>
      <x:c r="AD156" s="2" t="str">
        <x:f>IF(AND(ISNUMBER(F156),ISNUMBER(G156)),G156-F156,"")</x:f>
      </x:c>
      <x:c r="AE156" s="2" t="n">
        <x:f>IF(AND(I156="Accepted",K156&lt;&gt;"",O156&lt;&gt;"",ISNUMBER(P156),P156&gt;0,P156&lt;='Dashboard'!$B$5,IF(ISNUMBER(F156),ISNUMBER(G156),TRUE),IF(ISNUMBER(F156),G156&gt;=F156,TRUE)),1,0)</x:f>
        <x:v>0</x:v>
      </x:c>
    </x:row>
    <x:row r="157" ht="58" customHeight="1">
      <x:c r="A157" s="2" t="str">
        <x:v>T0137</x:v>
      </x:c>
      <x:c r="B157" s="30" t="n">
        <x:v>46336</x:v>
      </x:c>
      <x:c r="C157" s="2" t="str">
        <x:v>Brian</x:v>
      </x:c>
      <x:c r="D157" s="2" t="str">
        <x:v>Web and Tracking</x:v>
      </x:c>
      <x:c r="E157" s="26" t="str">
        <x:v>One health-check result; at most one weekly change ticket or no-ticket note</x:v>
      </x:c>
      <x:c r="F157" s="2" t="n">
        <x:v>1</x:v>
      </x:c>
      <x:c r="G157" s="20"/>
      <x:c r="H157" s="2" t="str">
        <x:v>accepted output</x:v>
      </x:c>
      <x:c r="I157" s="20" t="str">
        <x:v>Ready</x:v>
      </x:c>
      <x:c r="J157" s="2" t="str">
        <x:v>16:45</x:v>
      </x:c>
      <x:c r="K157" s="28" t="str"/>
      <x:c r="L157" s="28" t="str"/>
      <x:c r="M157" s="20" t="str"/>
      <x:c r="N157" s="33"/>
      <x:c r="O157" s="20" t="str"/>
      <x:c r="P157" s="33"/>
      <x:c r="Q157" s="2" t="n">
        <x:f>IF(AND(AE157=1,COUNTIFS($A$7:$A$500,"T0067",$AE$7:$AE$500,1)=1,COUNTIFS($A$7:$A$500,"T0055",$AE$7:$AE$500,1)=1),1,0)</x:f>
        <x:v>0</x:v>
      </x:c>
      <x:c r="R157" s="2" t="str">
        <x:f>IF(AND(Q157=1,P157&lt;='Dashboard'!$B$5),IF(P157&gt;B157,"Accepted late","Accepted"),IF(B157&lt;'Dashboard'!$B$5,"Overdue",IF(I157="Blocked","Blocked",IF(B157='Dashboard'!$B$5,"Due today","Planned"))))</x:f>
        <x:v>Planned</x:v>
      </x:c>
      <x:c r="S157" s="26" t="str">
        <x:f>IF(I157="Accepted",IF(K157="","Add evidence",IF(O157="","Add reviewer",IF(P157="","Add accepted date",IF(AND(ISNUMBER(F157),COUNT(G157)=0),"Add actual quantity",IF(Q157=0,"Review target / date / dependencies","Complete"))))),IF(OR(I157="Blocked",I157="Deferred"),IF(L157="","Record blocker / reason",IF(M157="","Assign rescue owner",IF(N157="","Set recovery date","Recovery assigned"))),IF(B157&lt;'Dashboard'!$B$5,"Escalate and record recovery","Work to acceptance standard")))</x:f>
        <x:v>Work to acceptance standard</x:v>
      </x:c>
      <x:c r="T157" s="26" t="str">
        <x:v>T0067</x:v>
      </x:c>
      <x:c r="U157" s="26" t="str">
        <x:v>Form to CQL&lt;1 min; approved copy unchanged; no work manufactured if healthy; ongoing reserve&lt;=2 h/week.</x:v>
      </x:c>
      <x:c r="V157" s="31" t="n">
        <x:v>0.4</x:v>
      </x:c>
      <x:c r="W157" s="26" t="str"/>
      <x:c r="X157" s="26" t="str">
        <x:v>DSI Reset PDF: lane responsibilities and dated runbook; dated allocation proposed for this tracker.</x:v>
      </x:c>
      <x:c r="Y157" s="30" t="n">
        <x:f>B157-WEEKDAY(B157,2)+1</x:f>
        <x:v>46335</x:v>
      </x:c>
      <x:c r="Z157" s="2" t="str">
        <x:v>checklist</x:v>
      </x:c>
      <x:c r="AA157" s="2" t="n">
        <x:f>IF(Q157=1,IF(P157&gt;B157,1,0),0)</x:f>
        <x:v>0</x:v>
      </x:c>
      <x:c r="AB157" s="2" t="n">
        <x:f>IF(AND(Q157=1,P157&lt;='Dashboard'!$B$5),0,MAX(0,'Dashboard'!$B$5-B157))</x:f>
        <x:v>0</x:v>
      </x:c>
      <x:c r="AC157" s="28" t="str"/>
      <x:c r="AD157" s="2" t="str">
        <x:f>IF(AND(ISNUMBER(F157),ISNUMBER(G157)),G157-F157,"")</x:f>
      </x:c>
      <x:c r="AE157" s="2" t="n">
        <x:f>IF(AND(I157="Accepted",K157&lt;&gt;"",O157&lt;&gt;"",ISNUMBER(P157),P157&gt;0,P157&lt;='Dashboard'!$B$5,IF(ISNUMBER(F157),ISNUMBER(G157),TRUE),IF(ISNUMBER(F157),G157&gt;=F157,TRUE)),1,0)</x:f>
        <x:v>0</x:v>
      </x:c>
    </x:row>
    <x:row r="158" ht="58" customHeight="1">
      <x:c r="A158" s="2" t="str">
        <x:v>T0138</x:v>
      </x:c>
      <x:c r="B158" s="30" t="n">
        <x:v>46336</x:v>
      </x:c>
      <x:c r="C158" s="2" t="str">
        <x:v>Dexter</x:v>
      </x:c>
      <x:c r="D158" s="2" t="str">
        <x:v>LinkedIn Execution</x:v>
      </x:c>
      <x:c r="E158" s="26" t="str">
        <x:v>CQL logged DMs/accepts; eligible requests; referred interested replies; approved post evidence Publish approved post SOC04 (Engage); capture the live URL.</x:v>
      </x:c>
      <x:c r="F158" s="2" t="n">
        <x:v>25</x:v>
      </x:c>
      <x:c r="G158" s="20"/>
      <x:c r="H158" s="2" t="str">
        <x:v>new request working target; eligible pool required</x:v>
      </x:c>
      <x:c r="I158" s="20" t="str">
        <x:v>Ready</x:v>
      </x:c>
      <x:c r="J158" s="2" t="str">
        <x:v>16:45</x:v>
      </x:c>
      <x:c r="K158" s="28" t="str"/>
      <x:c r="L158" s="28" t="str"/>
      <x:c r="M158" s="20" t="str"/>
      <x:c r="N158" s="33"/>
      <x:c r="O158" s="20" t="str"/>
      <x:c r="P158" s="33"/>
      <x:c r="Q158" s="2" t="n">
        <x:f>IF(AND(AE158=1,COUNTIFS($A$7:$A$500,"T0067",$AE$7:$AE$500,1)=1,COUNTIFS($A$7:$A$500,"T0055",$AE$7:$AE$500,1)=1),1,0)</x:f>
        <x:v>0</x:v>
      </x:c>
      <x:c r="R158" s="2" t="str">
        <x:f>IF(AND(Q158=1,P158&lt;='Dashboard'!$B$5),IF(P158&gt;B158,"Accepted late","Accepted"),IF(B158&lt;'Dashboard'!$B$5,"Overdue",IF(I158="Blocked","Blocked",IF(B158='Dashboard'!$B$5,"Due today","Planned"))))</x:f>
        <x:v>Planned</x:v>
      </x:c>
      <x:c r="S158" s="26" t="str">
        <x:f>IF(I158="Accepted",IF(K158="","Add evidence",IF(O158="","Add reviewer",IF(P158="","Add accepted date",IF(AND(ISNUMBER(F158),COUNT(G158)=0),"Add actual quantity",IF(Q158=0,"Review target / date / dependencies","Complete"))))),IF(OR(I158="Blocked",I158="Deferred"),IF(L158="","Record blocker / reason",IF(M158="","Assign rescue owner",IF(N158="","Set recovery date","Recovery assigned"))),IF(B158&lt;'Dashboard'!$B$5,"Escalate and record recovery","Work to acceptance standard")))</x:f>
        <x:v>Work to acceptance standard</x:v>
      </x:c>
      <x:c r="T158" s="26" t="str">
        <x:v>T0067</x:v>
      </x:c>
      <x:c r="U158"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58" s="31" t="n">
        <x:v>3</x:v>
      </x:c>
      <x:c r="W158" s="26" t="str"/>
      <x:c r="X158" s="26" t="str">
        <x:v>DSI Reset PDF: lane responsibilities and dated runbook; dated allocation proposed for this tracker.</x:v>
      </x:c>
      <x:c r="Y158" s="30" t="n">
        <x:f>B158-WEEKDAY(B158,2)+1</x:f>
        <x:v>46335</x:v>
      </x:c>
      <x:c r="Z158" s="2" t="str">
        <x:v>capacity</x:v>
      </x:c>
      <x:c r="AA158" s="2" t="n">
        <x:f>IF(Q158=1,IF(P158&gt;B158,1,0),0)</x:f>
        <x:v>0</x:v>
      </x:c>
      <x:c r="AB158" s="2" t="n">
        <x:f>IF(AND(Q158=1,P158&lt;='Dashboard'!$B$5),0,MAX(0,'Dashboard'!$B$5-B158))</x:f>
        <x:v>0</x:v>
      </x:c>
      <x:c r="AC158" s="28" t="str"/>
      <x:c r="AD158" s="2" t="str">
        <x:f>IF(AND(ISNUMBER(F158),ISNUMBER(G158)),G158-F158,"")</x:f>
      </x:c>
      <x:c r="AE158" s="2" t="n">
        <x:f>IF(AND(I158="Accepted",K158&lt;&gt;"",O158&lt;&gt;"",ISNUMBER(P158),P158&gt;0,P158&lt;='Dashboard'!$B$5,IF(ISNUMBER(F158),ISNUMBER(G158),TRUE),IF(ISNUMBER(F158),OR(G158&gt;=F158,AC158&lt;&gt;""),TRUE)),1,0)</x:f>
        <x:v>0</x:v>
      </x:c>
    </x:row>
    <x:row r="159" ht="58" customHeight="1">
      <x:c r="A159" s="2" t="str">
        <x:v>T0139</x:v>
      </x:c>
      <x:c r="B159" s="30" t="n">
        <x:v>46336</x:v>
      </x:c>
      <x:c r="C159" s="2" t="str">
        <x:v>Setter 1</x:v>
      </x:c>
      <x:c r="D159" s="2" t="str">
        <x:v>Reply and Phone Setter</x:v>
      </x:c>
      <x:c r="E159" s="26" t="str">
        <x:v>SLA/call outcome log; bookings and next steps; handoff to Nova</x:v>
      </x:c>
      <x:c r="F159" s="2" t="n">
        <x:v>50</x:v>
      </x:c>
      <x:c r="G159" s="20"/>
      <x:c r="H159" s="2" t="str">
        <x:v>dial working target; inbound SLA takes priority</x:v>
      </x:c>
      <x:c r="I159" s="20" t="str">
        <x:v>Ready</x:v>
      </x:c>
      <x:c r="J159" s="2" t="str">
        <x:v>16:45</x:v>
      </x:c>
      <x:c r="K159" s="28" t="str"/>
      <x:c r="L159" s="28" t="str"/>
      <x:c r="M159" s="20" t="str"/>
      <x:c r="N159" s="33"/>
      <x:c r="O159" s="20" t="str"/>
      <x:c r="P159" s="33"/>
      <x:c r="Q159" s="2" t="n">
        <x:f>IF(AND(AE159=1,COUNTIFS($A$7:$A$500,"T0013",$AE$7:$AE$500,1)=1,COUNTIFS($A$7:$A$500,"T0055",$AE$7:$AE$500,1)=1),1,0)</x:f>
        <x:v>0</x:v>
      </x:c>
      <x:c r="R159" s="2" t="str">
        <x:f>IF(AND(Q159=1,P159&lt;='Dashboard'!$B$5),IF(P159&gt;B159,"Accepted late","Accepted"),IF(B159&lt;'Dashboard'!$B$5,"Overdue",IF(I159="Blocked","Blocked",IF(B159='Dashboard'!$B$5,"Due today","Planned"))))</x:f>
        <x:v>Planned</x:v>
      </x:c>
      <x:c r="S159" s="26" t="str">
        <x:f>IF(I159="Accepted",IF(K159="","Add evidence",IF(O159="","Add reviewer",IF(P159="","Add accepted date",IF(AND(ISNUMBER(F159),COUNT(G159)=0),"Add actual quantity",IF(Q159=0,"Review target / date / dependencies","Complete"))))),IF(OR(I159="Blocked",I159="Deferred"),IF(L159="","Record blocker / reason",IF(M159="","Assign rescue owner",IF(N159="","Set recovery date","Recovery assigned"))),IF(B159&lt;'Dashboard'!$B$5,"Escalate and record recovery","Work to acceptance standard")))</x:f>
        <x:v>Work to acceptance standard</x:v>
      </x:c>
      <x:c r="T159" s="26" t="str">
        <x:v>T0013; T0055</x:v>
      </x:c>
      <x:c r="U159"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59" s="31" t="n">
        <x:v>7.5</x:v>
      </x:c>
      <x:c r="W159" s="26" t="str"/>
      <x:c r="X159" s="26" t="str">
        <x:v>DSI Reset PDF: lane responsibilities and dated runbook; dated allocation proposed for this tracker.</x:v>
      </x:c>
      <x:c r="Y159" s="30" t="n">
        <x:f>B159-WEEKDAY(B159,2)+1</x:f>
        <x:v>46335</x:v>
      </x:c>
      <x:c r="Z159" s="2" t="str">
        <x:v>capacity</x:v>
      </x:c>
      <x:c r="AA159" s="2" t="n">
        <x:f>IF(Q159=1,IF(P159&gt;B159,1,0),0)</x:f>
        <x:v>0</x:v>
      </x:c>
      <x:c r="AB159" s="2" t="n">
        <x:f>IF(AND(Q159=1,P159&lt;='Dashboard'!$B$5),0,MAX(0,'Dashboard'!$B$5-B159))</x:f>
        <x:v>0</x:v>
      </x:c>
      <x:c r="AC159" s="28" t="str"/>
      <x:c r="AD159" s="2" t="str">
        <x:f>IF(AND(ISNUMBER(F159),ISNUMBER(G159)),G159-F159,"")</x:f>
      </x:c>
      <x:c r="AE159" s="2" t="n">
        <x:f>IF(AND(I159="Accepted",K159&lt;&gt;"",O159&lt;&gt;"",ISNUMBER(P159),P159&gt;0,P159&lt;='Dashboard'!$B$5,IF(ISNUMBER(F159),ISNUMBER(G159),TRUE),IF(ISNUMBER(F159),OR(G159&gt;=F159,AC159&lt;&gt;""),TRUE)),1,0)</x:f>
        <x:v>0</x:v>
      </x:c>
    </x:row>
    <x:row r="160" ht="58" customHeight="1">
      <x:c r="A160" s="2" t="str">
        <x:v>T0140</x:v>
      </x:c>
      <x:c r="B160" s="30" t="n">
        <x:v>46336</x:v>
      </x:c>
      <x:c r="C160" s="2" t="str">
        <x:v>Setter 2</x:v>
      </x:c>
      <x:c r="D160" s="2" t="str">
        <x:v>Reply and Phone Setter</x:v>
      </x:c>
      <x:c r="E160" s="26" t="str">
        <x:v>SLA/call outcome log; bookings and next steps; handoff to Nova</x:v>
      </x:c>
      <x:c r="F160" s="2" t="n">
        <x:v>50</x:v>
      </x:c>
      <x:c r="G160" s="20"/>
      <x:c r="H160" s="2" t="str">
        <x:v>dial working target; inbound SLA takes priority</x:v>
      </x:c>
      <x:c r="I160" s="20" t="str">
        <x:v>Ready</x:v>
      </x:c>
      <x:c r="J160" s="2" t="str">
        <x:v>16:45</x:v>
      </x:c>
      <x:c r="K160" s="28" t="str"/>
      <x:c r="L160" s="28" t="str"/>
      <x:c r="M160" s="20" t="str"/>
      <x:c r="N160" s="33"/>
      <x:c r="O160" s="20" t="str"/>
      <x:c r="P160" s="33"/>
      <x:c r="Q160" s="2" t="n">
        <x:f>IF(AND(AE160=1,COUNTIFS($A$7:$A$500,"T0013",$AE$7:$AE$500,1)=1,COUNTIFS($A$7:$A$500,"T0055",$AE$7:$AE$500,1)=1),1,0)</x:f>
        <x:v>0</x:v>
      </x:c>
      <x:c r="R160" s="2" t="str">
        <x:f>IF(AND(Q160=1,P160&lt;='Dashboard'!$B$5),IF(P160&gt;B160,"Accepted late","Accepted"),IF(B160&lt;'Dashboard'!$B$5,"Overdue",IF(I160="Blocked","Blocked",IF(B160='Dashboard'!$B$5,"Due today","Planned"))))</x:f>
        <x:v>Planned</x:v>
      </x:c>
      <x:c r="S160" s="26" t="str">
        <x:f>IF(I160="Accepted",IF(K160="","Add evidence",IF(O160="","Add reviewer",IF(P160="","Add accepted date",IF(AND(ISNUMBER(F160),COUNT(G160)=0),"Add actual quantity",IF(Q160=0,"Review target / date / dependencies","Complete"))))),IF(OR(I160="Blocked",I160="Deferred"),IF(L160="","Record blocker / reason",IF(M160="","Assign rescue owner",IF(N160="","Set recovery date","Recovery assigned"))),IF(B160&lt;'Dashboard'!$B$5,"Escalate and record recovery","Work to acceptance standard")))</x:f>
        <x:v>Work to acceptance standard</x:v>
      </x:c>
      <x:c r="T160" s="26" t="str">
        <x:v>T0013; T0055</x:v>
      </x:c>
      <x:c r="U160"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60" s="31" t="n">
        <x:v>7.5</x:v>
      </x:c>
      <x:c r="W160" s="26" t="str"/>
      <x:c r="X160" s="26" t="str">
        <x:v>DSI Reset PDF: lane responsibilities and dated runbook; dated allocation proposed for this tracker.</x:v>
      </x:c>
      <x:c r="Y160" s="30" t="n">
        <x:f>B160-WEEKDAY(B160,2)+1</x:f>
        <x:v>46335</x:v>
      </x:c>
      <x:c r="Z160" s="2" t="str">
        <x:v>capacity</x:v>
      </x:c>
      <x:c r="AA160" s="2" t="n">
        <x:f>IF(Q160=1,IF(P160&gt;B160,1,0),0)</x:f>
        <x:v>0</x:v>
      </x:c>
      <x:c r="AB160" s="2" t="n">
        <x:f>IF(AND(Q160=1,P160&lt;='Dashboard'!$B$5),0,MAX(0,'Dashboard'!$B$5-B160))</x:f>
        <x:v>0</x:v>
      </x:c>
      <x:c r="AC160" s="28" t="str"/>
      <x:c r="AD160" s="2" t="str">
        <x:f>IF(AND(ISNUMBER(F160),ISNUMBER(G160)),G160-F160,"")</x:f>
      </x:c>
      <x:c r="AE160" s="2" t="n">
        <x:f>IF(AND(I160="Accepted",K160&lt;&gt;"",O160&lt;&gt;"",ISNUMBER(P160),P160&gt;0,P160&lt;='Dashboard'!$B$5,IF(ISNUMBER(F160),ISNUMBER(G160),TRUE),IF(ISNUMBER(F160),OR(G160&gt;=F160,AC160&lt;&gt;""),TRUE)),1,0)</x:f>
        <x:v>0</x:v>
      </x:c>
    </x:row>
    <x:row r="161" ht="58" customHeight="1">
      <x:c r="A161" s="2" t="str">
        <x:v>T0445</x:v>
      </x:c>
      <x:c r="B161" s="30" t="n">
        <x:v>46336</x:v>
      </x:c>
      <x:c r="C161" s="2" t="str">
        <x:v>Nic</x:v>
      </x:c>
      <x:c r="D161" s="2" t="str">
        <x:v>Client dependency</x:v>
      </x:c>
      <x:c r="E161" s="26" t="str">
        <x:v>Call outcome/next step for every appointment due; first-case decisions</x:v>
      </x:c>
      <x:c r="F161" s="2" t="str"/>
      <x:c r="G161" s="20"/>
      <x:c r="H161" s="2" t="str">
        <x:v>all due appointments</x:v>
      </x:c>
      <x:c r="I161" s="20" t="str">
        <x:v>Ready</x:v>
      </x:c>
      <x:c r="J161" s="2" t="str">
        <x:v>16:45</x:v>
      </x:c>
      <x:c r="K161" s="28" t="str"/>
      <x:c r="L161" s="28" t="str"/>
      <x:c r="M161" s="20" t="str"/>
      <x:c r="N161" s="33"/>
      <x:c r="O161" s="20" t="str"/>
      <x:c r="P161" s="33"/>
      <x:c r="Q161" s="2" t="n">
        <x:f>IF(AND(AE161=1,COUNTIFS($A$7:$A$500,"T0028",$AE$7:$AE$500,1)=1),1,0)</x:f>
        <x:v>0</x:v>
      </x:c>
      <x:c r="R161" s="2" t="str">
        <x:f>IF(AND(Q161=1,P161&lt;='Dashboard'!$B$5),IF(P161&gt;B161,"Accepted late","Accepted"),IF(B161&lt;'Dashboard'!$B$5,"Overdue",IF(I161="Blocked","Blocked",IF(B161='Dashboard'!$B$5,"Due today","Planned"))))</x:f>
        <x:v>Planned</x:v>
      </x:c>
      <x:c r="S161" s="26" t="str">
        <x:f>IF(I161="Accepted",IF(K161="","Add evidence",IF(O161="","Add reviewer",IF(P161="","Add accepted date",IF(AND(ISNUMBER(F161),COUNT(G161)=0),"Add actual quantity",IF(Q161=0,"Review target / date / dependencies","Complete"))))),IF(OR(I161="Blocked",I161="Deferred"),IF(L161="","Record blocker / reason",IF(M161="","Assign rescue owner",IF(N161="","Set recovery date","Recovery assigned"))),IF(B161&lt;'Dashboard'!$B$5,"Escalate and record recovery","Work to acceptance standard")))</x:f>
        <x:v>Work to acceptance standard</x:v>
      </x:c>
      <x:c r="T161" s="26" t="str">
        <x:v>T0028</x:v>
      </x:c>
      <x:c r="U161" s="26" t="str">
        <x:v>Demand-linked: work actual approved calendar; setter brief present; outcome logged same day. No calls scheduled is N/A with calendar evidence.</x:v>
      </x:c>
      <x:c r="V161" s="31" t="n">
        <x:v>0.5</x:v>
      </x:c>
      <x:c r="W161" s="26" t="str"/>
      <x:c r="X161" s="26" t="str">
        <x:v>DSI Reset PDF: lane responsibilities and dated runbook; dated allocation proposed for this tracker.</x:v>
      </x:c>
      <x:c r="Y161" s="30" t="n">
        <x:f>B161-WEEKDAY(B161,2)+1</x:f>
        <x:v>46335</x:v>
      </x:c>
      <x:c r="Z161" s="2" t="str">
        <x:v>demand</x:v>
      </x:c>
      <x:c r="AA161" s="2" t="n">
        <x:f>IF(Q161=1,IF(P161&gt;B161,1,0),0)</x:f>
        <x:v>0</x:v>
      </x:c>
      <x:c r="AB161" s="2" t="n">
        <x:f>IF(AND(Q161=1,P161&lt;='Dashboard'!$B$5),0,MAX(0,'Dashboard'!$B$5-B161))</x:f>
        <x:v>0</x:v>
      </x:c>
      <x:c r="AC161" s="28" t="str"/>
      <x:c r="AD161" s="2" t="str">
        <x:f>IF(AND(ISNUMBER(F161),ISNUMBER(G161)),G161-F161,"")</x:f>
      </x:c>
      <x:c r="AE161" s="2" t="n">
        <x:f>IF(AND(I161="Accepted",K161&lt;&gt;"",O161&lt;&gt;"",ISNUMBER(P161),P161&gt;0,P161&lt;='Dashboard'!$B$5,IF(ISNUMBER(F161),ISNUMBER(G161),TRUE)),1,0)</x:f>
        <x:v>0</x:v>
      </x:c>
    </x:row>
    <x:row r="162" ht="58" customHeight="1">
      <x:c r="A162" s="2" t="str">
        <x:v>T0446</x:v>
      </x:c>
      <x:c r="B162" s="30" t="n">
        <x:v>46336</x:v>
      </x:c>
      <x:c r="C162" s="2" t="str">
        <x:v>Maseeha</x:v>
      </x:c>
      <x:c r="D162" s="2" t="str">
        <x:v>Client dependency</x:v>
      </x:c>
      <x:c r="E162" s="26" t="str">
        <x:v>Due intro verification; kit/case handoff; delivery/Day-30 dates; credit trigger log. Planned asks today: 2 unique existing accounts; cumulative 19.</x:v>
      </x:c>
      <x:c r="F162" s="2" t="str"/>
      <x:c r="G162" s="20"/>
      <x:c r="H162" s="2" t="str">
        <x:v>all due cases</x:v>
      </x:c>
      <x:c r="I162" s="20" t="str">
        <x:v>Ready</x:v>
      </x:c>
      <x:c r="J162" s="2" t="str">
        <x:v>16:45</x:v>
      </x:c>
      <x:c r="K162" s="28" t="str"/>
      <x:c r="L162" s="28" t="str"/>
      <x:c r="M162" s="20" t="str"/>
      <x:c r="N162" s="33"/>
      <x:c r="O162" s="20" t="str"/>
      <x:c r="P162" s="33"/>
      <x:c r="Q162" s="2" t="n">
        <x:f>IF(AND(AE162=1,COUNTIFS($A$7:$A$500,"T0028",$AE$7:$AE$500,1)=1),1,0)</x:f>
        <x:v>0</x:v>
      </x:c>
      <x:c r="R162" s="2" t="str">
        <x:f>IF(AND(Q162=1,P162&lt;='Dashboard'!$B$5),IF(P162&gt;B162,"Accepted late","Accepted"),IF(B162&lt;'Dashboard'!$B$5,"Overdue",IF(I162="Blocked","Blocked",IF(B162='Dashboard'!$B$5,"Due today","Planned"))))</x:f>
        <x:v>Planned</x:v>
      </x:c>
      <x:c r="S162" s="26" t="str">
        <x:f>IF(I162="Accepted",IF(K162="","Add evidence",IF(O162="","Add reviewer",IF(P162="","Add accepted date",IF(AND(ISNUMBER(F162),COUNT(G162)=0),"Add actual quantity",IF(Q162=0,"Review target / date / dependencies","Complete"))))),IF(OR(I162="Blocked",I162="Deferred"),IF(L162="","Record blocker / reason",IF(M162="","Assign rescue owner",IF(N162="","Set recovery date","Recovery assigned"))),IF(B162&lt;'Dashboard'!$B$5,"Escalate and record recovery","Work to acceptance standard")))</x:f>
        <x:v>Work to acceptance standard</x:v>
      </x:c>
      <x:c r="T162" s="26" t="str">
        <x:v>T0028</x:v>
      </x:c>
      <x:c r="U162" s="26" t="str">
        <x:v>Demand-linked: referral verification&lt;=2 business days; trial capacity respected; $200 credit only on eligible invoice paid.</x:v>
      </x:c>
      <x:c r="V162" s="31" t="n">
        <x:v>0.5</x:v>
      </x:c>
      <x:c r="W162" s="26" t="str"/>
      <x:c r="X162" s="26" t="str">
        <x:v>DSI Reset PDF: lane responsibilities and dated runbook; dated allocation proposed for this tracker.</x:v>
      </x:c>
      <x:c r="Y162" s="30" t="n">
        <x:f>B162-WEEKDAY(B162,2)+1</x:f>
        <x:v>46335</x:v>
      </x:c>
      <x:c r="Z162" s="2" t="str">
        <x:v>demand</x:v>
      </x:c>
      <x:c r="AA162" s="2" t="n">
        <x:f>IF(Q162=1,IF(P162&gt;B162,1,0),0)</x:f>
        <x:v>0</x:v>
      </x:c>
      <x:c r="AB162" s="2" t="n">
        <x:f>IF(AND(Q162=1,P162&lt;='Dashboard'!$B$5),0,MAX(0,'Dashboard'!$B$5-B162))</x:f>
        <x:v>0</x:v>
      </x:c>
      <x:c r="AC162" s="28" t="str"/>
      <x:c r="AD162" s="2" t="str">
        <x:f>IF(AND(ISNUMBER(F162),ISNUMBER(G162)),G162-F162,"")</x:f>
      </x:c>
      <x:c r="AE162" s="2" t="n">
        <x:f>IF(AND(I162="Accepted",K162&lt;&gt;"",O162&lt;&gt;"",ISNUMBER(P162),P162&gt;0,P162&lt;='Dashboard'!$B$5,IF(ISNUMBER(F162),ISNUMBER(G162),TRUE)),1,0)</x:f>
        <x:v>0</x:v>
      </x:c>
    </x:row>
    <x:row r="163" ht="58" customHeight="1">
      <x:c r="A163" s="2" t="str">
        <x:v>T0141</x:v>
      </x:c>
      <x:c r="B163" s="30" t="n">
        <x:v>46337</x:v>
      </x:c>
      <x:c r="C163" s="2" t="str">
        <x:v>Wyline</x:v>
      </x:c>
      <x:c r="D163" s="2" t="str">
        <x:v>Program Director</x:v>
      </x:c>
      <x:c r="E163" s="26" t="str">
        <x:v>Accepted-output register; actual-vs-target dashboard; blocker/rescue assignments</x:v>
      </x:c>
      <x:c r="F163" s="2" t="n">
        <x:v>1</x:v>
      </x:c>
      <x:c r="G163" s="20"/>
      <x:c r="H163" s="2" t="str">
        <x:v>accepted output</x:v>
      </x:c>
      <x:c r="I163" s="20" t="str">
        <x:v>Ready</x:v>
      </x:c>
      <x:c r="J163" s="2" t="str">
        <x:v>16:45</x:v>
      </x:c>
      <x:c r="K163" s="28" t="str"/>
      <x:c r="L163" s="28" t="str"/>
      <x:c r="M163" s="20" t="str"/>
      <x:c r="N163" s="33"/>
      <x:c r="O163" s="20" t="str"/>
      <x:c r="P163" s="33"/>
      <x:c r="Q163" s="2" t="n">
        <x:f>IF(AND(AE163=1,COUNTIFS($A$7:$A$500,"T0067",$AE$7:$AE$500,1)=1,COUNTIFS($A$7:$A$500,"T0055",$AE$7:$AE$500,1)=1),1,0)</x:f>
        <x:v>0</x:v>
      </x:c>
      <x:c r="R163" s="2" t="str">
        <x:f>IF(AND(Q163=1,P163&lt;='Dashboard'!$B$5),IF(P163&gt;B163,"Accepted late","Accepted"),IF(B163&lt;'Dashboard'!$B$5,"Overdue",IF(I163="Blocked","Blocked",IF(B163='Dashboard'!$B$5,"Due today","Planned"))))</x:f>
        <x:v>Planned</x:v>
      </x:c>
      <x:c r="S163" s="26" t="str">
        <x:f>IF(I163="Accepted",IF(K163="","Add evidence",IF(O163="","Add reviewer",IF(P163="","Add accepted date",IF(AND(ISNUMBER(F163),COUNT(G163)=0),"Add actual quantity",IF(Q163=0,"Review target / date / dependencies","Complete"))))),IF(OR(I163="Blocked",I163="Deferred"),IF(L163="","Record blocker / reason",IF(M163="","Assign rescue owner",IF(N163="","Set recovery date","Recovery assigned"))),IF(B163&lt;'Dashboard'!$B$5,"Escalate and record recovery","Work to acceptance standard")))</x:f>
        <x:v>Work to acceptance standard</x:v>
      </x:c>
      <x:c r="T163" s="26" t="str">
        <x:v>T0067</x:v>
      </x:c>
      <x:c r="U163" s="26" t="str">
        <x:v>09:00 standup; 13:00/16:30 recovery checks; 17:00 acceptance. Every overdue task keeps original date and named recovery owner.</x:v>
      </x:c>
      <x:c r="V163" s="31" t="n">
        <x:v>3</x:v>
      </x:c>
      <x:c r="W163" s="26" t="str"/>
      <x:c r="X163" s="26" t="str">
        <x:v>DSI Reset PDF: lane responsibilities and dated runbook; dated allocation proposed for this tracker.</x:v>
      </x:c>
      <x:c r="Y163" s="30" t="n">
        <x:f>B163-WEEKDAY(B163,2)+1</x:f>
        <x:v>46335</x:v>
      </x:c>
      <x:c r="Z163" s="2" t="str">
        <x:v>checklist</x:v>
      </x:c>
      <x:c r="AA163" s="2" t="n">
        <x:f>IF(Q163=1,IF(P163&gt;B163,1,0),0)</x:f>
        <x:v>0</x:v>
      </x:c>
      <x:c r="AB163" s="2" t="n">
        <x:f>IF(AND(Q163=1,P163&lt;='Dashboard'!$B$5),0,MAX(0,'Dashboard'!$B$5-B163))</x:f>
        <x:v>0</x:v>
      </x:c>
      <x:c r="AC163" s="28" t="str"/>
      <x:c r="AD163" s="2" t="str">
        <x:f>IF(AND(ISNUMBER(F163),ISNUMBER(G163)),G163-F163,"")</x:f>
      </x:c>
      <x:c r="AE163" s="2" t="n">
        <x:f>IF(AND(I163="Accepted",K163&lt;&gt;"",O163&lt;&gt;"",ISNUMBER(P163),P163&gt;0,P163&lt;='Dashboard'!$B$5,IF(ISNUMBER(F163),ISNUMBER(G163),TRUE),IF(ISNUMBER(F163),G163&gt;=F163,TRUE)),1,0)</x:f>
        <x:v>0</x:v>
      </x:c>
    </x:row>
    <x:row r="164" ht="58" customHeight="1">
      <x:c r="A164" s="2" t="str">
        <x:v>T0142</x:v>
      </x:c>
      <x:c r="B164" s="30" t="n">
        <x:v>46337</x:v>
      </x:c>
      <x:c r="C164" s="2" t="str">
        <x:v>Kenneth</x:v>
      </x:c>
      <x:c r="D164" s="2" t="str">
        <x:v>Message Orchestrator</x:v>
      </x:c>
      <x:c r="E164" s="26" t="str">
        <x:v>Human-reply insights; 5 Inbox draft checks; approved first lines; claim exceptions</x:v>
      </x:c>
      <x:c r="F164" s="2" t="n">
        <x:v>1</x:v>
      </x:c>
      <x:c r="G164" s="20"/>
      <x:c r="H164" s="2" t="str">
        <x:v>accepted output</x:v>
      </x:c>
      <x:c r="I164" s="20" t="str">
        <x:v>Ready</x:v>
      </x:c>
      <x:c r="J164" s="2" t="str">
        <x:v>16:45</x:v>
      </x:c>
      <x:c r="K164" s="28" t="str"/>
      <x:c r="L164" s="28" t="str"/>
      <x:c r="M164" s="20" t="str"/>
      <x:c r="N164" s="33"/>
      <x:c r="O164" s="20" t="str"/>
      <x:c r="P164" s="33"/>
      <x:c r="Q164" s="2" t="n">
        <x:f>IF(AND(AE164=1,COUNTIFS($A$7:$A$500,"T0067",$AE$7:$AE$500,1)=1,COUNTIFS($A$7:$A$500,"T0055",$AE$7:$AE$500,1)=1),1,0)</x:f>
        <x:v>0</x:v>
      </x:c>
      <x:c r="R164" s="2" t="str">
        <x:f>IF(AND(Q164=1,P164&lt;='Dashboard'!$B$5),IF(P164&gt;B164,"Accepted late","Accepted"),IF(B164&lt;'Dashboard'!$B$5,"Overdue",IF(I164="Blocked","Blocked",IF(B164='Dashboard'!$B$5,"Due today","Planned"))))</x:f>
        <x:v>Planned</x:v>
      </x:c>
      <x:c r="S164" s="26" t="str">
        <x:f>IF(I164="Accepted",IF(K164="","Add evidence",IF(O164="","Add reviewer",IF(P164="","Add accepted date",IF(AND(ISNUMBER(F164),COUNT(G164)=0),"Add actual quantity",IF(Q164=0,"Review target / date / dependencies","Complete"))))),IF(OR(I164="Blocked",I164="Deferred"),IF(L164="","Record blocker / reason",IF(M164="","Assign rescue owner",IF(N164="","Set recovery date","Recovery assigned"))),IF(B164&lt;'Dashboard'!$B$5,"Escalate and record recovery","Work to acceptance standard")))</x:f>
        <x:v>Work to acceptance standard</x:v>
      </x:c>
      <x:c r="T164" s="26" t="str">
        <x:v>T0067</x:v>
      </x:c>
      <x:c r="U164" s="26" t="str">
        <x:v>Zero invented claims. If any draft fails facts, stop drafting/retrain; no offer change without approval.</x:v>
      </x:c>
      <x:c r="V164" s="31" t="n">
        <x:v>2.4</x:v>
      </x:c>
      <x:c r="W164" s="26" t="str"/>
      <x:c r="X164" s="26" t="str">
        <x:v>DSI Reset PDF: lane responsibilities and dated runbook; dated allocation proposed for this tracker.</x:v>
      </x:c>
      <x:c r="Y164" s="30" t="n">
        <x:f>B164-WEEKDAY(B164,2)+1</x:f>
        <x:v>46335</x:v>
      </x:c>
      <x:c r="Z164" s="2" t="str">
        <x:v>checklist</x:v>
      </x:c>
      <x:c r="AA164" s="2" t="n">
        <x:f>IF(Q164=1,IF(P164&gt;B164,1,0),0)</x:f>
        <x:v>0</x:v>
      </x:c>
      <x:c r="AB164" s="2" t="n">
        <x:f>IF(AND(Q164=1,P164&lt;='Dashboard'!$B$5),0,MAX(0,'Dashboard'!$B$5-B164))</x:f>
        <x:v>0</x:v>
      </x:c>
      <x:c r="AC164" s="28" t="str"/>
      <x:c r="AD164" s="2" t="str">
        <x:f>IF(AND(ISNUMBER(F164),ISNUMBER(G164)),G164-F164,"")</x:f>
      </x:c>
      <x:c r="AE164" s="2" t="n">
        <x:f>IF(AND(I164="Accepted",K164&lt;&gt;"",O164&lt;&gt;"",ISNUMBER(P164),P164&gt;0,P164&lt;='Dashboard'!$B$5,IF(ISNUMBER(F164),ISNUMBER(G164),TRUE),IF(ISNUMBER(F164),G164&gt;=F164,TRUE)),1,0)</x:f>
        <x:v>0</x:v>
      </x:c>
    </x:row>
    <x:row r="165" ht="58" customHeight="1">
      <x:c r="A165" s="2" t="str">
        <x:v>T0143</x:v>
      </x:c>
      <x:c r="B165" s="30" t="n">
        <x:v>46337</x:v>
      </x:c>
      <x:c r="C165" s="2" t="str">
        <x:v>Joey</x:v>
      </x:c>
      <x:c r="D165" s="2" t="str">
        <x:v>Data Orchestrator</x:v>
      </x:c>
      <x:c r="E165" s="26" t="str">
        <x:v>Mailbox/bounce/suppression log; ready verified records; due-follow up versus new-send capacity plan.</x:v>
      </x:c>
      <x:c r="F165" s="2" t="n">
        <x:v>1</x:v>
      </x:c>
      <x:c r="G165" s="20"/>
      <x:c r="H165" s="2" t="str">
        <x:v>verified queue and health check</x:v>
      </x:c>
      <x:c r="I165" s="20" t="str">
        <x:v>Ready</x:v>
      </x:c>
      <x:c r="J165" s="2" t="str">
        <x:v>16:45</x:v>
      </x:c>
      <x:c r="K165" s="28" t="str"/>
      <x:c r="L165" s="28" t="str"/>
      <x:c r="M165" s="20" t="str"/>
      <x:c r="N165" s="33"/>
      <x:c r="O165" s="20" t="str"/>
      <x:c r="P165" s="33"/>
      <x:c r="Q165" s="2" t="n">
        <x:f>IF(AND(AE165=1,COUNTIFS($A$7:$A$500,"T0067",$AE$7:$AE$500,1)=1,COUNTIFS($A$7:$A$500,"T0055",$AE$7:$AE$500,1)=1),1,0)</x:f>
        <x:v>0</x:v>
      </x:c>
      <x:c r="R165" s="2" t="str">
        <x:f>IF(AND(Q165=1,P165&lt;='Dashboard'!$B$5),IF(P165&gt;B165,"Accepted late","Accepted"),IF(B165&lt;'Dashboard'!$B$5,"Overdue",IF(I165="Blocked","Blocked",IF(B165='Dashboard'!$B$5,"Due today","Planned"))))</x:f>
        <x:v>Planned</x:v>
      </x:c>
      <x:c r="S165" s="26" t="str">
        <x:f>IF(I165="Accepted",IF(K165="","Add evidence",IF(O165="","Add reviewer",IF(P165="","Add accepted date",IF(AND(ISNUMBER(F165),COUNT(G165)=0),"Add actual quantity",IF(Q165=0,"Review target / date / dependencies","Complete"))))),IF(OR(I165="Blocked",I165="Deferred"),IF(L165="","Record blocker / reason",IF(M165="","Assign rescue owner",IF(N165="","Set recovery date","Recovery assigned"))),IF(B165&lt;'Dashboard'!$B$5,"Escalate and record recovery","Work to acceptance standard")))</x:f>
        <x:v>Work to acceptance standard</x:v>
      </x:c>
      <x:c r="T165" s="26" t="str">
        <x:v>T0067</x:v>
      </x:c>
      <x:c r="U165" s="26" t="str">
        <x:v>Planning pool addition 0 contacts today; quality gate wins over quota. Total sends&lt;=150/day;&gt;3% bounce affected mailbox held. No new cold enrollments on reduced/buffer days.</x:v>
      </x:c>
      <x:c r="V165" s="31" t="n">
        <x:v>3</x:v>
      </x:c>
      <x:c r="W165" s="26" t="str"/>
      <x:c r="X165" s="26" t="str">
        <x:v>DSI Reset PDF: lane responsibilities and dated runbook; dated allocation proposed for this tracker.</x:v>
      </x:c>
      <x:c r="Y165" s="30" t="n">
        <x:f>B165-WEEKDAY(B165,2)+1</x:f>
        <x:v>46335</x:v>
      </x:c>
      <x:c r="Z165" s="2" t="str">
        <x:v>checklist</x:v>
      </x:c>
      <x:c r="AA165" s="2" t="n">
        <x:f>IF(Q165=1,IF(P165&gt;B165,1,0),0)</x:f>
        <x:v>0</x:v>
      </x:c>
      <x:c r="AB165" s="2" t="n">
        <x:f>IF(AND(Q165=1,P165&lt;='Dashboard'!$B$5),0,MAX(0,'Dashboard'!$B$5-B165))</x:f>
        <x:v>0</x:v>
      </x:c>
      <x:c r="AC165" s="28" t="str"/>
      <x:c r="AD165" s="2" t="str">
        <x:f>IF(AND(ISNUMBER(F165),ISNUMBER(G165)),G165-F165,"")</x:f>
      </x:c>
      <x:c r="AE165" s="2" t="n">
        <x:f>IF(AND(I165="Accepted",K165&lt;&gt;"",O165&lt;&gt;"",ISNUMBER(P165),P165&gt;0,P165&lt;='Dashboard'!$B$5,IF(ISNUMBER(F165),ISNUMBER(G165),TRUE),IF(ISNUMBER(F165),G165&gt;=F165,TRUE)),1,0)</x:f>
        <x:v>0</x:v>
      </x:c>
    </x:row>
    <x:row r="166" ht="58" customHeight="1">
      <x:c r="A166" s="2" t="str">
        <x:v>T0144</x:v>
      </x:c>
      <x:c r="B166" s="30" t="n">
        <x:v>46337</x:v>
      </x:c>
      <x:c r="C166" s="2" t="str">
        <x:v>Nova</x:v>
      </x:c>
      <x:c r="D166" s="2" t="str">
        <x:v>Conversion Orchestrator</x:v>
      </x:c>
      <x:c r="E166" s="26" t="str">
        <x:v>Coverage/SLA evidence; 2 call reviews; booked/held updates; next-step and trial handoffs. Log each unique qualified inquiry with practice type, decision-maker access, case volume, service need and readiness timing.</x:v>
      </x:c>
      <x:c r="F166" s="2" t="n">
        <x:v>1</x:v>
      </x:c>
      <x:c r="G166" s="20"/>
      <x:c r="H166" s="2" t="str">
        <x:v>accepted output</x:v>
      </x:c>
      <x:c r="I166" s="20" t="str">
        <x:v>Ready</x:v>
      </x:c>
      <x:c r="J166" s="2" t="str">
        <x:v>16:45</x:v>
      </x:c>
      <x:c r="K166" s="28" t="str"/>
      <x:c r="L166" s="28" t="str"/>
      <x:c r="M166" s="20" t="str"/>
      <x:c r="N166" s="33"/>
      <x:c r="O166" s="20" t="str"/>
      <x:c r="P166" s="33"/>
      <x:c r="Q166" s="2" t="n">
        <x:f>IF(AND(AE166=1,COUNTIFS($A$7:$A$500,"T0067",$AE$7:$AE$500,1)=1,COUNTIFS($A$7:$A$500,"T0055",$AE$7:$AE$500,1)=1),1,0)</x:f>
        <x:v>0</x:v>
      </x:c>
      <x:c r="R166" s="2" t="str">
        <x:f>IF(AND(Q166=1,P166&lt;='Dashboard'!$B$5),IF(P166&gt;B166,"Accepted late","Accepted"),IF(B166&lt;'Dashboard'!$B$5,"Overdue",IF(I166="Blocked","Blocked",IF(B166='Dashboard'!$B$5,"Due today","Planned"))))</x:f>
        <x:v>Planned</x:v>
      </x:c>
      <x:c r="S166" s="26" t="str">
        <x:f>IF(I166="Accepted",IF(K166="","Add evidence",IF(O166="","Add reviewer",IF(P166="","Add accepted date",IF(AND(ISNUMBER(F166),COUNT(G166)=0),"Add actual quantity",IF(Q166=0,"Review target / date / dependencies","Complete"))))),IF(OR(I166="Blocked",I166="Deferred"),IF(L166="","Record blocker / reason",IF(M166="","Assign rescue owner",IF(N166="","Set recovery date","Recovery assigned"))),IF(B166&lt;'Dashboard'!$B$5,"Escalate and record recovery","Work to acceptance standard")))</x:f>
        <x:v>Work to acceptance standard</x:v>
      </x:c>
      <x:c r="T166" s="26" t="str">
        <x:v>T0067</x:v>
      </x:c>
      <x:c r="U166" s="26" t="str">
        <x:v>Every eligible reply&lt;=15 min; positive call&lt;=60 min; no opportunity without next step; booked brief to Nic; trial logistics to Maseeha. Raw contacts, opens and accepts never count as qualified inquiries; deduplicate across channels.</x:v>
      </x:c>
      <x:c r="V166" s="31" t="n">
        <x:v>4</x:v>
      </x:c>
      <x:c r="W166" s="26" t="str"/>
      <x:c r="X166" s="26" t="str">
        <x:v>DSI Reset PDF: lane responsibilities and dated runbook; dated allocation proposed for this tracker.</x:v>
      </x:c>
      <x:c r="Y166" s="30" t="n">
        <x:f>B166-WEEKDAY(B166,2)+1</x:f>
        <x:v>46335</x:v>
      </x:c>
      <x:c r="Z166" s="2" t="str">
        <x:v>checklist</x:v>
      </x:c>
      <x:c r="AA166" s="2" t="n">
        <x:f>IF(Q166=1,IF(P166&gt;B166,1,0),0)</x:f>
        <x:v>0</x:v>
      </x:c>
      <x:c r="AB166" s="2" t="n">
        <x:f>IF(AND(Q166=1,P166&lt;='Dashboard'!$B$5),0,MAX(0,'Dashboard'!$B$5-B166))</x:f>
        <x:v>0</x:v>
      </x:c>
      <x:c r="AC166" s="28" t="str"/>
      <x:c r="AD166" s="2" t="str">
        <x:f>IF(AND(ISNUMBER(F166),ISNUMBER(G166)),G166-F166,"")</x:f>
      </x:c>
      <x:c r="AE166" s="2" t="n">
        <x:f>IF(AND(I166="Accepted",K166&lt;&gt;"",O166&lt;&gt;"",ISNUMBER(P166),P166&gt;0,P166&lt;='Dashboard'!$B$5,IF(ISNUMBER(F166),ISNUMBER(G166),TRUE),IF(ISNUMBER(F166),G166&gt;=F166,TRUE)),1,0)</x:f>
        <x:v>0</x:v>
      </x:c>
    </x:row>
    <x:row r="167" ht="58" customHeight="1">
      <x:c r="A167" s="2" t="str">
        <x:v>T0145</x:v>
      </x:c>
      <x:c r="B167" s="30" t="n">
        <x:v>46337</x:v>
      </x:c>
      <x:c r="C167" s="2" t="str">
        <x:v>Emman</x:v>
      </x:c>
      <x:c r="D167" s="2" t="str">
        <x:v>AI Build Orchestrator</x:v>
      </x:c>
      <x:c r="E167" s="26" t="str">
        <x:v>Health/retry log; one acceptance-backed build increment; updated change log</x:v>
      </x:c>
      <x:c r="F167" s="2" t="n">
        <x:v>1</x:v>
      </x:c>
      <x:c r="G167" s="20"/>
      <x:c r="H167" s="2" t="str">
        <x:v>accepted output</x:v>
      </x:c>
      <x:c r="I167" s="20" t="str">
        <x:v>Ready</x:v>
      </x:c>
      <x:c r="J167" s="2" t="str">
        <x:v>16:45</x:v>
      </x:c>
      <x:c r="K167" s="28" t="str"/>
      <x:c r="L167" s="28" t="str"/>
      <x:c r="M167" s="20" t="str"/>
      <x:c r="N167" s="33"/>
      <x:c r="O167" s="20" t="str"/>
      <x:c r="P167" s="33"/>
      <x:c r="Q167" s="2" t="n">
        <x:f>IF(AND(AE167=1,COUNTIFS($A$7:$A$500,"T0067",$AE$7:$AE$500,1)=1,COUNTIFS($A$7:$A$500,"T0055",$AE$7:$AE$500,1)=1),1,0)</x:f>
        <x:v>0</x:v>
      </x:c>
      <x:c r="R167" s="2" t="str">
        <x:f>IF(AND(Q167=1,P167&lt;='Dashboard'!$B$5),IF(P167&gt;B167,"Accepted late","Accepted"),IF(B167&lt;'Dashboard'!$B$5,"Overdue",IF(I167="Blocked","Blocked",IF(B167='Dashboard'!$B$5,"Due today","Planned"))))</x:f>
        <x:v>Planned</x:v>
      </x:c>
      <x:c r="S167" s="26" t="str">
        <x:f>IF(I167="Accepted",IF(K167="","Add evidence",IF(O167="","Add reviewer",IF(P167="","Add accepted date",IF(AND(ISNUMBER(F167),COUNT(G167)=0),"Add actual quantity",IF(Q167=0,"Review target / date / dependencies","Complete"))))),IF(OR(I167="Blocked",I167="Deferred"),IF(L167="","Record blocker / reason",IF(M167="","Assign rescue owner",IF(N167="","Set recovery date","Recovery assigned"))),IF(B167&lt;'Dashboard'!$B$5,"Escalate and record recovery","Work to acceptance standard")))</x:f>
        <x:v>Work to acceptance standard</x:v>
      </x:c>
      <x:c r="T167" s="26" t="str">
        <x:v>T0067</x:v>
      </x:c>
      <x:c r="U167" s="26" t="str">
        <x:v>Fix a failing live agent beforestarting the next build. If an agent is still not working 48 hours after its due date, activate the manual SOP. Roll back a live failure within 1 hour. Release build reserve when no approved work remains.</x:v>
      </x:c>
      <x:c r="V167" s="31" t="n">
        <x:v>4</x:v>
      </x:c>
      <x:c r="W167" s="26" t="str"/>
      <x:c r="X167" s="26" t="str">
        <x:v>DSI Reset PDF: lane responsibilities and dated runbook; dated allocation proposed for this tracker.</x:v>
      </x:c>
      <x:c r="Y167" s="30" t="n">
        <x:f>B167-WEEKDAY(B167,2)+1</x:f>
        <x:v>46335</x:v>
      </x:c>
      <x:c r="Z167" s="2" t="str">
        <x:v>checklist</x:v>
      </x:c>
      <x:c r="AA167" s="2" t="n">
        <x:f>IF(Q167=1,IF(P167&gt;B167,1,0),0)</x:f>
        <x:v>0</x:v>
      </x:c>
      <x:c r="AB167" s="2" t="n">
        <x:f>IF(AND(Q167=1,P167&lt;='Dashboard'!$B$5),0,MAX(0,'Dashboard'!$B$5-B167))</x:f>
        <x:v>0</x:v>
      </x:c>
      <x:c r="AC167" s="28" t="str"/>
      <x:c r="AD167" s="2" t="str">
        <x:f>IF(AND(ISNUMBER(F167),ISNUMBER(G167)),G167-F167,"")</x:f>
      </x:c>
      <x:c r="AE167" s="2" t="n">
        <x:f>IF(AND(I167="Accepted",K167&lt;&gt;"",O167&lt;&gt;"",ISNUMBER(P167),P167&gt;0,P167&lt;='Dashboard'!$B$5,IF(ISNUMBER(F167),ISNUMBER(G167),TRUE),IF(ISNUMBER(F167),G167&gt;=F167,TRUE)),1,0)</x:f>
        <x:v>0</x:v>
      </x:c>
    </x:row>
    <x:row r="168" ht="58" customHeight="1">
      <x:c r="A168" s="2" t="str">
        <x:v>T0146</x:v>
      </x:c>
      <x:c r="B168" s="30" t="n">
        <x:v>46337</x:v>
      </x:c>
      <x:c r="C168" s="2" t="str">
        <x:v>Ludwig</x:v>
      </x:c>
      <x:c r="D168" s="2" t="str">
        <x:v>Integration Engineer</x:v>
      </x:c>
      <x:c r="E168" s="26" t="str">
        <x:v>Webhook/error/dead-letter check; top assigned integration ticket or verified no-ticket note</x:v>
      </x:c>
      <x:c r="F168" s="2" t="n">
        <x:v>1</x:v>
      </x:c>
      <x:c r="G168" s="20"/>
      <x:c r="H168" s="2" t="str">
        <x:v>accepted output</x:v>
      </x:c>
      <x:c r="I168" s="20" t="str">
        <x:v>Ready</x:v>
      </x:c>
      <x:c r="J168" s="2" t="str">
        <x:v>16:45</x:v>
      </x:c>
      <x:c r="K168" s="28" t="str"/>
      <x:c r="L168" s="28" t="str"/>
      <x:c r="M168" s="20" t="str"/>
      <x:c r="N168" s="33"/>
      <x:c r="O168" s="20" t="str"/>
      <x:c r="P168" s="33"/>
      <x:c r="Q168" s="2" t="n">
        <x:f>IF(AND(AE168=1,COUNTIFS($A$7:$A$500,"T0067",$AE$7:$AE$500,1)=1,COUNTIFS($A$7:$A$500,"T0055",$AE$7:$AE$500,1)=1),1,0)</x:f>
        <x:v>0</x:v>
      </x:c>
      <x:c r="R168" s="2" t="str">
        <x:f>IF(AND(Q168=1,P168&lt;='Dashboard'!$B$5),IF(P168&gt;B168,"Accepted late","Accepted"),IF(B168&lt;'Dashboard'!$B$5,"Overdue",IF(I168="Blocked","Blocked",IF(B168='Dashboard'!$B$5,"Due today","Planned"))))</x:f>
        <x:v>Planned</x:v>
      </x:c>
      <x:c r="S168" s="26" t="str">
        <x:f>IF(I168="Accepted",IF(K168="","Add evidence",IF(O168="","Add reviewer",IF(P168="","Add accepted date",IF(AND(ISNUMBER(F168),COUNT(G168)=0),"Add actual quantity",IF(Q168=0,"Review target / date / dependencies","Complete"))))),IF(OR(I168="Blocked",I168="Deferred"),IF(L168="","Record blocker / reason",IF(M168="","Assign rescue owner",IF(N168="","Set recovery date","Recovery assigned"))),IF(B168&lt;'Dashboard'!$B$5,"Escalate and record recovery","Work to acceptance standard")))</x:f>
        <x:v>Work to acceptance standard</x:v>
      </x:c>
      <x:c r="T168" s="26" t="str">
        <x:v>T0067</x:v>
      </x:c>
      <x:c r="U168" s="26" t="str">
        <x:v>Only Emman’s priority queue; 100% test capture; runbook/retry/rollback evidence. If no fault/ticket, release reserve; do not invent work.</x:v>
      </x:c>
      <x:c r="V168" s="31" t="n">
        <x:v>1.6</x:v>
      </x:c>
      <x:c r="W168" s="26" t="str"/>
      <x:c r="X168" s="26" t="str">
        <x:v>DSI Reset PDF: lane responsibilities and dated runbook; dated allocation proposed for this tracker.</x:v>
      </x:c>
      <x:c r="Y168" s="30" t="n">
        <x:f>B168-WEEKDAY(B168,2)+1</x:f>
        <x:v>46335</x:v>
      </x:c>
      <x:c r="Z168" s="2" t="str">
        <x:v>checklist</x:v>
      </x:c>
      <x:c r="AA168" s="2" t="n">
        <x:f>IF(Q168=1,IF(P168&gt;B168,1,0),0)</x:f>
        <x:v>0</x:v>
      </x:c>
      <x:c r="AB168" s="2" t="n">
        <x:f>IF(AND(Q168=1,P168&lt;='Dashboard'!$B$5),0,MAX(0,'Dashboard'!$B$5-B168))</x:f>
        <x:v>0</x:v>
      </x:c>
      <x:c r="AC168" s="28" t="str"/>
      <x:c r="AD168" s="2" t="str">
        <x:f>IF(AND(ISNUMBER(F168),ISNUMBER(G168)),G168-F168,"")</x:f>
      </x:c>
      <x:c r="AE168" s="2" t="n">
        <x:f>IF(AND(I168="Accepted",K168&lt;&gt;"",O168&lt;&gt;"",ISNUMBER(P168),P168&gt;0,P168&lt;='Dashboard'!$B$5,IF(ISNUMBER(F168),ISNUMBER(G168),TRUE),IF(ISNUMBER(F168),G168&gt;=F168,TRUE)),1,0)</x:f>
        <x:v>0</x:v>
      </x:c>
    </x:row>
    <x:row r="169" ht="58" customHeight="1">
      <x:c r="A169" s="2" t="str">
        <x:v>T0147</x:v>
      </x:c>
      <x:c r="B169" s="30" t="n">
        <x:v>46337</x:v>
      </x:c>
      <x:c r="C169" s="2" t="str">
        <x:v>Alvin</x:v>
      </x:c>
      <x:c r="D169" s="2" t="str">
        <x:v>CQL/GHL Implementation</x:v>
      </x:c>
      <x:c r="E169" s="26" t="str">
        <x:v>Stage/calendar/reminder QA; due workflow fixes; approved post mirrors/evidence Publish approved post SOC05 (Educate); capture the live URL.</x:v>
      </x:c>
      <x:c r="F169" s="2" t="n">
        <x:v>1</x:v>
      </x:c>
      <x:c r="G169" s="20"/>
      <x:c r="H169" s="2" t="str">
        <x:v>accepted output</x:v>
      </x:c>
      <x:c r="I169" s="20" t="str">
        <x:v>Ready</x:v>
      </x:c>
      <x:c r="J169" s="2" t="str">
        <x:v>16:45</x:v>
      </x:c>
      <x:c r="K169" s="28" t="str"/>
      <x:c r="L169" s="28" t="str"/>
      <x:c r="M169" s="20" t="str"/>
      <x:c r="N169" s="33"/>
      <x:c r="O169" s="20" t="str"/>
      <x:c r="P169" s="33"/>
      <x:c r="Q169" s="2" t="n">
        <x:f>IF(AND(AE169=1,COUNTIFS($A$7:$A$500,"T0067",$AE$7:$AE$500,1)=1,COUNTIFS($A$7:$A$500,"T0055",$AE$7:$AE$500,1)=1),1,0)</x:f>
        <x:v>0</x:v>
      </x:c>
      <x:c r="R169" s="2" t="str">
        <x:f>IF(AND(Q169=1,P169&lt;='Dashboard'!$B$5),IF(P169&gt;B169,"Accepted late","Accepted"),IF(B169&lt;'Dashboard'!$B$5,"Overdue",IF(I169="Blocked","Blocked",IF(B169='Dashboard'!$B$5,"Due today","Planned"))))</x:f>
        <x:v>Planned</x:v>
      </x:c>
      <x:c r="S169" s="26" t="str">
        <x:f>IF(I169="Accepted",IF(K169="","Add evidence",IF(O169="","Add reviewer",IF(P169="","Add accepted date",IF(AND(ISNUMBER(F169),COUNT(G169)=0),"Add actual quantity",IF(Q169=0,"Review target / date / dependencies","Complete"))))),IF(OR(I169="Blocked",I169="Deferred"),IF(L169="","Record blocker / reason",IF(M169="","Assign rescue owner",IF(N169="","Set recovery date","Recovery assigned"))),IF(B169&lt;'Dashboard'!$B$5,"Escalate and record recovery","Work to acceptance standard")))</x:f>
        <x:v>Work to acceptance standard</x:v>
      </x:c>
      <x:c r="T169" s="26" t="str">
        <x:v>T0067</x:v>
      </x:c>
      <x:c r="U169" s="26" t="str">
        <x:v>No-show task&lt;=10 min; form/source fields correct; finish critical CRM defect same day. Facebook mirrors exact approved post; Instagram requires permissioned image.</x:v>
      </x:c>
      <x:c r="V169" s="31" t="n">
        <x:v>2</x:v>
      </x:c>
      <x:c r="W169" s="26" t="str"/>
      <x:c r="X169" s="26" t="str">
        <x:v>DSI Reset PDF: lane responsibilities and dated runbook; dated allocation proposed for this tracker.</x:v>
      </x:c>
      <x:c r="Y169" s="30" t="n">
        <x:f>B169-WEEKDAY(B169,2)+1</x:f>
        <x:v>46335</x:v>
      </x:c>
      <x:c r="Z169" s="2" t="str">
        <x:v>checklist</x:v>
      </x:c>
      <x:c r="AA169" s="2" t="n">
        <x:f>IF(Q169=1,IF(P169&gt;B169,1,0),0)</x:f>
        <x:v>0</x:v>
      </x:c>
      <x:c r="AB169" s="2" t="n">
        <x:f>IF(AND(Q169=1,P169&lt;='Dashboard'!$B$5),0,MAX(0,'Dashboard'!$B$5-B169))</x:f>
        <x:v>0</x:v>
      </x:c>
      <x:c r="AC169" s="28" t="str"/>
      <x:c r="AD169" s="2" t="str">
        <x:f>IF(AND(ISNUMBER(F169),ISNUMBER(G169)),G169-F169,"")</x:f>
      </x:c>
      <x:c r="AE169" s="2" t="n">
        <x:f>IF(AND(I169="Accepted",K169&lt;&gt;"",O169&lt;&gt;"",ISNUMBER(P169),P169&gt;0,P169&lt;='Dashboard'!$B$5,IF(ISNUMBER(F169),ISNUMBER(G169),TRUE),IF(ISNUMBER(F169),G169&gt;=F169,TRUE)),1,0)</x:f>
        <x:v>0</x:v>
      </x:c>
    </x:row>
    <x:row r="170" ht="58" customHeight="1">
      <x:c r="A170" s="2" t="str">
        <x:v>T0148</x:v>
      </x:c>
      <x:c r="B170" s="30" t="n">
        <x:v>46337</x:v>
      </x:c>
      <x:c r="C170" s="2" t="str">
        <x:v>Brian</x:v>
      </x:c>
      <x:c r="D170" s="2" t="str">
        <x:v>Web and Tracking</x:v>
      </x:c>
      <x:c r="E170" s="26" t="str">
        <x:v>One health-check result; at most one weekly change ticket or no-ticket note</x:v>
      </x:c>
      <x:c r="F170" s="2" t="n">
        <x:v>1</x:v>
      </x:c>
      <x:c r="G170" s="20"/>
      <x:c r="H170" s="2" t="str">
        <x:v>accepted output</x:v>
      </x:c>
      <x:c r="I170" s="20" t="str">
        <x:v>Ready</x:v>
      </x:c>
      <x:c r="J170" s="2" t="str">
        <x:v>16:45</x:v>
      </x:c>
      <x:c r="K170" s="28" t="str"/>
      <x:c r="L170" s="28" t="str"/>
      <x:c r="M170" s="20" t="str"/>
      <x:c r="N170" s="33"/>
      <x:c r="O170" s="20" t="str"/>
      <x:c r="P170" s="33"/>
      <x:c r="Q170" s="2" t="n">
        <x:f>IF(AND(AE170=1,COUNTIFS($A$7:$A$500,"T0067",$AE$7:$AE$500,1)=1,COUNTIFS($A$7:$A$500,"T0055",$AE$7:$AE$500,1)=1),1,0)</x:f>
        <x:v>0</x:v>
      </x:c>
      <x:c r="R170" s="2" t="str">
        <x:f>IF(AND(Q170=1,P170&lt;='Dashboard'!$B$5),IF(P170&gt;B170,"Accepted late","Accepted"),IF(B170&lt;'Dashboard'!$B$5,"Overdue",IF(I170="Blocked","Blocked",IF(B170='Dashboard'!$B$5,"Due today","Planned"))))</x:f>
        <x:v>Planned</x:v>
      </x:c>
      <x:c r="S170" s="26" t="str">
        <x:f>IF(I170="Accepted",IF(K170="","Add evidence",IF(O170="","Add reviewer",IF(P170="","Add accepted date",IF(AND(ISNUMBER(F170),COUNT(G170)=0),"Add actual quantity",IF(Q170=0,"Review target / date / dependencies","Complete"))))),IF(OR(I170="Blocked",I170="Deferred"),IF(L170="","Record blocker / reason",IF(M170="","Assign rescue owner",IF(N170="","Set recovery date","Recovery assigned"))),IF(B170&lt;'Dashboard'!$B$5,"Escalate and record recovery","Work to acceptance standard")))</x:f>
        <x:v>Work to acceptance standard</x:v>
      </x:c>
      <x:c r="T170" s="26" t="str">
        <x:v>T0067</x:v>
      </x:c>
      <x:c r="U170" s="26" t="str">
        <x:v>Form to CQL&lt;1 min; approved copy unchanged; no work manufactured if healthy; ongoing reserve&lt;=2 h/week.</x:v>
      </x:c>
      <x:c r="V170" s="31" t="n">
        <x:v>0.4</x:v>
      </x:c>
      <x:c r="W170" s="26" t="str"/>
      <x:c r="X170" s="26" t="str">
        <x:v>DSI Reset PDF: lane responsibilities and dated runbook; dated allocation proposed for this tracker.</x:v>
      </x:c>
      <x:c r="Y170" s="30" t="n">
        <x:f>B170-WEEKDAY(B170,2)+1</x:f>
        <x:v>46335</x:v>
      </x:c>
      <x:c r="Z170" s="2" t="str">
        <x:v>checklist</x:v>
      </x:c>
      <x:c r="AA170" s="2" t="n">
        <x:f>IF(Q170=1,IF(P170&gt;B170,1,0),0)</x:f>
        <x:v>0</x:v>
      </x:c>
      <x:c r="AB170" s="2" t="n">
        <x:f>IF(AND(Q170=1,P170&lt;='Dashboard'!$B$5),0,MAX(0,'Dashboard'!$B$5-B170))</x:f>
        <x:v>0</x:v>
      </x:c>
      <x:c r="AC170" s="28" t="str"/>
      <x:c r="AD170" s="2" t="str">
        <x:f>IF(AND(ISNUMBER(F170),ISNUMBER(G170)),G170-F170,"")</x:f>
      </x:c>
      <x:c r="AE170" s="2" t="n">
        <x:f>IF(AND(I170="Accepted",K170&lt;&gt;"",O170&lt;&gt;"",ISNUMBER(P170),P170&gt;0,P170&lt;='Dashboard'!$B$5,IF(ISNUMBER(F170),ISNUMBER(G170),TRUE),IF(ISNUMBER(F170),G170&gt;=F170,TRUE)),1,0)</x:f>
        <x:v>0</x:v>
      </x:c>
    </x:row>
    <x:row r="171" ht="58" customHeight="1">
      <x:c r="A171" s="2" t="str">
        <x:v>T0149</x:v>
      </x:c>
      <x:c r="B171" s="30" t="n">
        <x:v>46337</x:v>
      </x:c>
      <x:c r="C171" s="2" t="str">
        <x:v>Dexter</x:v>
      </x:c>
      <x:c r="D171" s="2" t="str">
        <x:v>LinkedIn Execution</x:v>
      </x:c>
      <x:c r="E171" s="26" t="str">
        <x:v>CQL logged DMs/accepts; eligible requests; referred interested replies; approved post evidence Publish approved post SOC05 (Educate); capture the live URL.</x:v>
      </x:c>
      <x:c r="F171" s="2" t="n">
        <x:v>25</x:v>
      </x:c>
      <x:c r="G171" s="20"/>
      <x:c r="H171" s="2" t="str">
        <x:v>new request working target; eligible pool required</x:v>
      </x:c>
      <x:c r="I171" s="20" t="str">
        <x:v>Ready</x:v>
      </x:c>
      <x:c r="J171" s="2" t="str">
        <x:v>16:45</x:v>
      </x:c>
      <x:c r="K171" s="28" t="str"/>
      <x:c r="L171" s="28" t="str"/>
      <x:c r="M171" s="20" t="str"/>
      <x:c r="N171" s="33"/>
      <x:c r="O171" s="20" t="str"/>
      <x:c r="P171" s="33"/>
      <x:c r="Q171" s="2" t="n">
        <x:f>IF(AND(AE171=1,COUNTIFS($A$7:$A$500,"T0067",$AE$7:$AE$500,1)=1,COUNTIFS($A$7:$A$500,"T0055",$AE$7:$AE$500,1)=1),1,0)</x:f>
        <x:v>0</x:v>
      </x:c>
      <x:c r="R171" s="2" t="str">
        <x:f>IF(AND(Q171=1,P171&lt;='Dashboard'!$B$5),IF(P171&gt;B171,"Accepted late","Accepted"),IF(B171&lt;'Dashboard'!$B$5,"Overdue",IF(I171="Blocked","Blocked",IF(B171='Dashboard'!$B$5,"Due today","Planned"))))</x:f>
        <x:v>Planned</x:v>
      </x:c>
      <x:c r="S171" s="26" t="str">
        <x:f>IF(I171="Accepted",IF(K171="","Add evidence",IF(O171="","Add reviewer",IF(P171="","Add accepted date",IF(AND(ISNUMBER(F171),COUNT(G171)=0),"Add actual quantity",IF(Q171=0,"Review target / date / dependencies","Complete"))))),IF(OR(I171="Blocked",I171="Deferred"),IF(L171="","Record blocker / reason",IF(M171="","Assign rescue owner",IF(N171="","Set recovery date","Recovery assigned"))),IF(B171&lt;'Dashboard'!$B$5,"Escalate and record recovery","Work to acceptance standard")))</x:f>
        <x:v>Work to acceptance standard</x:v>
      </x:c>
      <x:c r="T171" s="26" t="str">
        <x:v>T0067</x:v>
      </x:c>
      <x:c r="U171"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71" s="31" t="n">
        <x:v>3</x:v>
      </x:c>
      <x:c r="W171" s="26" t="str"/>
      <x:c r="X171" s="26" t="str">
        <x:v>DSI Reset PDF: lane responsibilities and dated runbook; dated allocation proposed for this tracker.</x:v>
      </x:c>
      <x:c r="Y171" s="30" t="n">
        <x:f>B171-WEEKDAY(B171,2)+1</x:f>
        <x:v>46335</x:v>
      </x:c>
      <x:c r="Z171" s="2" t="str">
        <x:v>capacity</x:v>
      </x:c>
      <x:c r="AA171" s="2" t="n">
        <x:f>IF(Q171=1,IF(P171&gt;B171,1,0),0)</x:f>
        <x:v>0</x:v>
      </x:c>
      <x:c r="AB171" s="2" t="n">
        <x:f>IF(AND(Q171=1,P171&lt;='Dashboard'!$B$5),0,MAX(0,'Dashboard'!$B$5-B171))</x:f>
        <x:v>0</x:v>
      </x:c>
      <x:c r="AC171" s="28" t="str"/>
      <x:c r="AD171" s="2" t="str">
        <x:f>IF(AND(ISNUMBER(F171),ISNUMBER(G171)),G171-F171,"")</x:f>
      </x:c>
      <x:c r="AE171" s="2" t="n">
        <x:f>IF(AND(I171="Accepted",K171&lt;&gt;"",O171&lt;&gt;"",ISNUMBER(P171),P171&gt;0,P171&lt;='Dashboard'!$B$5,IF(ISNUMBER(F171),ISNUMBER(G171),TRUE),IF(ISNUMBER(F171),OR(G171&gt;=F171,AC171&lt;&gt;""),TRUE)),1,0)</x:f>
        <x:v>0</x:v>
      </x:c>
    </x:row>
    <x:row r="172" ht="58" customHeight="1">
      <x:c r="A172" s="2" t="str">
        <x:v>T0150</x:v>
      </x:c>
      <x:c r="B172" s="30" t="n">
        <x:v>46337</x:v>
      </x:c>
      <x:c r="C172" s="2" t="str">
        <x:v>Setter 1</x:v>
      </x:c>
      <x:c r="D172" s="2" t="str">
        <x:v>Reply and Phone Setter</x:v>
      </x:c>
      <x:c r="E172" s="26" t="str">
        <x:v>SLA/call outcome log; bookings and next steps; handoff to Nova</x:v>
      </x:c>
      <x:c r="F172" s="2" t="n">
        <x:v>50</x:v>
      </x:c>
      <x:c r="G172" s="20"/>
      <x:c r="H172" s="2" t="str">
        <x:v>dial working target; inbound SLA takes priority</x:v>
      </x:c>
      <x:c r="I172" s="20" t="str">
        <x:v>Ready</x:v>
      </x:c>
      <x:c r="J172" s="2" t="str">
        <x:v>16:45</x:v>
      </x:c>
      <x:c r="K172" s="28" t="str"/>
      <x:c r="L172" s="28" t="str"/>
      <x:c r="M172" s="20" t="str"/>
      <x:c r="N172" s="33"/>
      <x:c r="O172" s="20" t="str"/>
      <x:c r="P172" s="33"/>
      <x:c r="Q172" s="2" t="n">
        <x:f>IF(AND(AE172=1,COUNTIFS($A$7:$A$500,"T0013",$AE$7:$AE$500,1)=1,COUNTIFS($A$7:$A$500,"T0055",$AE$7:$AE$500,1)=1),1,0)</x:f>
        <x:v>0</x:v>
      </x:c>
      <x:c r="R172" s="2" t="str">
        <x:f>IF(AND(Q172=1,P172&lt;='Dashboard'!$B$5),IF(P172&gt;B172,"Accepted late","Accepted"),IF(B172&lt;'Dashboard'!$B$5,"Overdue",IF(I172="Blocked","Blocked",IF(B172='Dashboard'!$B$5,"Due today","Planned"))))</x:f>
        <x:v>Planned</x:v>
      </x:c>
      <x:c r="S172" s="26" t="str">
        <x:f>IF(I172="Accepted",IF(K172="","Add evidence",IF(O172="","Add reviewer",IF(P172="","Add accepted date",IF(AND(ISNUMBER(F172),COUNT(G172)=0),"Add actual quantity",IF(Q172=0,"Review target / date / dependencies","Complete"))))),IF(OR(I172="Blocked",I172="Deferred"),IF(L172="","Record blocker / reason",IF(M172="","Assign rescue owner",IF(N172="","Set recovery date","Recovery assigned"))),IF(B172&lt;'Dashboard'!$B$5,"Escalate and record recovery","Work to acceptance standard")))</x:f>
        <x:v>Work to acceptance standard</x:v>
      </x:c>
      <x:c r="T172" s="26" t="str">
        <x:v>T0013; T0055</x:v>
      </x:c>
      <x:c r="U172"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72" s="31" t="n">
        <x:v>7.5</x:v>
      </x:c>
      <x:c r="W172" s="26" t="str"/>
      <x:c r="X172" s="26" t="str">
        <x:v>DSI Reset PDF: lane responsibilities and dated runbook; dated allocation proposed for this tracker.</x:v>
      </x:c>
      <x:c r="Y172" s="30" t="n">
        <x:f>B172-WEEKDAY(B172,2)+1</x:f>
        <x:v>46335</x:v>
      </x:c>
      <x:c r="Z172" s="2" t="str">
        <x:v>capacity</x:v>
      </x:c>
      <x:c r="AA172" s="2" t="n">
        <x:f>IF(Q172=1,IF(P172&gt;B172,1,0),0)</x:f>
        <x:v>0</x:v>
      </x:c>
      <x:c r="AB172" s="2" t="n">
        <x:f>IF(AND(Q172=1,P172&lt;='Dashboard'!$B$5),0,MAX(0,'Dashboard'!$B$5-B172))</x:f>
        <x:v>0</x:v>
      </x:c>
      <x:c r="AC172" s="28" t="str"/>
      <x:c r="AD172" s="2" t="str">
        <x:f>IF(AND(ISNUMBER(F172),ISNUMBER(G172)),G172-F172,"")</x:f>
      </x:c>
      <x:c r="AE172" s="2" t="n">
        <x:f>IF(AND(I172="Accepted",K172&lt;&gt;"",O172&lt;&gt;"",ISNUMBER(P172),P172&gt;0,P172&lt;='Dashboard'!$B$5,IF(ISNUMBER(F172),ISNUMBER(G172),TRUE),IF(ISNUMBER(F172),OR(G172&gt;=F172,AC172&lt;&gt;""),TRUE)),1,0)</x:f>
        <x:v>0</x:v>
      </x:c>
    </x:row>
    <x:row r="173" ht="58" customHeight="1">
      <x:c r="A173" s="2" t="str">
        <x:v>T0151</x:v>
      </x:c>
      <x:c r="B173" s="30" t="n">
        <x:v>46337</x:v>
      </x:c>
      <x:c r="C173" s="2" t="str">
        <x:v>Setter 2</x:v>
      </x:c>
      <x:c r="D173" s="2" t="str">
        <x:v>Reply and Phone Setter</x:v>
      </x:c>
      <x:c r="E173" s="26" t="str">
        <x:v>SLA/call outcome log; bookings and next steps; handoff to Nova</x:v>
      </x:c>
      <x:c r="F173" s="2" t="n">
        <x:v>50</x:v>
      </x:c>
      <x:c r="G173" s="20"/>
      <x:c r="H173" s="2" t="str">
        <x:v>dial working target; inbound SLA takes priority</x:v>
      </x:c>
      <x:c r="I173" s="20" t="str">
        <x:v>Ready</x:v>
      </x:c>
      <x:c r="J173" s="2" t="str">
        <x:v>16:45</x:v>
      </x:c>
      <x:c r="K173" s="28" t="str"/>
      <x:c r="L173" s="28" t="str"/>
      <x:c r="M173" s="20" t="str"/>
      <x:c r="N173" s="33"/>
      <x:c r="O173" s="20" t="str"/>
      <x:c r="P173" s="33"/>
      <x:c r="Q173" s="2" t="n">
        <x:f>IF(AND(AE173=1,COUNTIFS($A$7:$A$500,"T0013",$AE$7:$AE$500,1)=1,COUNTIFS($A$7:$A$500,"T0055",$AE$7:$AE$500,1)=1),1,0)</x:f>
        <x:v>0</x:v>
      </x:c>
      <x:c r="R173" s="2" t="str">
        <x:f>IF(AND(Q173=1,P173&lt;='Dashboard'!$B$5),IF(P173&gt;B173,"Accepted late","Accepted"),IF(B173&lt;'Dashboard'!$B$5,"Overdue",IF(I173="Blocked","Blocked",IF(B173='Dashboard'!$B$5,"Due today","Planned"))))</x:f>
        <x:v>Planned</x:v>
      </x:c>
      <x:c r="S173" s="26" t="str">
        <x:f>IF(I173="Accepted",IF(K173="","Add evidence",IF(O173="","Add reviewer",IF(P173="","Add accepted date",IF(AND(ISNUMBER(F173),COUNT(G173)=0),"Add actual quantity",IF(Q173=0,"Review target / date / dependencies","Complete"))))),IF(OR(I173="Blocked",I173="Deferred"),IF(L173="","Record blocker / reason",IF(M173="","Assign rescue owner",IF(N173="","Set recovery date","Recovery assigned"))),IF(B173&lt;'Dashboard'!$B$5,"Escalate and record recovery","Work to acceptance standard")))</x:f>
        <x:v>Work to acceptance standard</x:v>
      </x:c>
      <x:c r="T173" s="26" t="str">
        <x:v>T0013; T0055</x:v>
      </x:c>
      <x:c r="U173"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73" s="31" t="n">
        <x:v>7.5</x:v>
      </x:c>
      <x:c r="W173" s="26" t="str"/>
      <x:c r="X173" s="26" t="str">
        <x:v>DSI Reset PDF: lane responsibilities and dated runbook; dated allocation proposed for this tracker.</x:v>
      </x:c>
      <x:c r="Y173" s="30" t="n">
        <x:f>B173-WEEKDAY(B173,2)+1</x:f>
        <x:v>46335</x:v>
      </x:c>
      <x:c r="Z173" s="2" t="str">
        <x:v>capacity</x:v>
      </x:c>
      <x:c r="AA173" s="2" t="n">
        <x:f>IF(Q173=1,IF(P173&gt;B173,1,0),0)</x:f>
        <x:v>0</x:v>
      </x:c>
      <x:c r="AB173" s="2" t="n">
        <x:f>IF(AND(Q173=1,P173&lt;='Dashboard'!$B$5),0,MAX(0,'Dashboard'!$B$5-B173))</x:f>
        <x:v>0</x:v>
      </x:c>
      <x:c r="AC173" s="28" t="str"/>
      <x:c r="AD173" s="2" t="str">
        <x:f>IF(AND(ISNUMBER(F173),ISNUMBER(G173)),G173-F173,"")</x:f>
      </x:c>
      <x:c r="AE173" s="2" t="n">
        <x:f>IF(AND(I173="Accepted",K173&lt;&gt;"",O173&lt;&gt;"",ISNUMBER(P173),P173&gt;0,P173&lt;='Dashboard'!$B$5,IF(ISNUMBER(F173),ISNUMBER(G173),TRUE),IF(ISNUMBER(F173),OR(G173&gt;=F173,AC173&lt;&gt;""),TRUE)),1,0)</x:f>
        <x:v>0</x:v>
      </x:c>
    </x:row>
    <x:row r="174" ht="58" customHeight="1">
      <x:c r="A174" s="2" t="str">
        <x:v>T0447</x:v>
      </x:c>
      <x:c r="B174" s="30" t="n">
        <x:v>46337</x:v>
      </x:c>
      <x:c r="C174" s="2" t="str">
        <x:v>Nic</x:v>
      </x:c>
      <x:c r="D174" s="2" t="str">
        <x:v>Client dependency</x:v>
      </x:c>
      <x:c r="E174" s="26" t="str">
        <x:v>Call outcome/next step for every appointment due; first-case decisions</x:v>
      </x:c>
      <x:c r="F174" s="2" t="str"/>
      <x:c r="G174" s="20"/>
      <x:c r="H174" s="2" t="str">
        <x:v>all due appointments</x:v>
      </x:c>
      <x:c r="I174" s="20" t="str">
        <x:v>Ready</x:v>
      </x:c>
      <x:c r="J174" s="2" t="str">
        <x:v>16:45</x:v>
      </x:c>
      <x:c r="K174" s="28" t="str"/>
      <x:c r="L174" s="28" t="str"/>
      <x:c r="M174" s="20" t="str"/>
      <x:c r="N174" s="33"/>
      <x:c r="O174" s="20" t="str"/>
      <x:c r="P174" s="33"/>
      <x:c r="Q174" s="2" t="n">
        <x:f>IF(AND(AE174=1,COUNTIFS($A$7:$A$500,"T0028",$AE$7:$AE$500,1)=1),1,0)</x:f>
        <x:v>0</x:v>
      </x:c>
      <x:c r="R174" s="2" t="str">
        <x:f>IF(AND(Q174=1,P174&lt;='Dashboard'!$B$5),IF(P174&gt;B174,"Accepted late","Accepted"),IF(B174&lt;'Dashboard'!$B$5,"Overdue",IF(I174="Blocked","Blocked",IF(B174='Dashboard'!$B$5,"Due today","Planned"))))</x:f>
        <x:v>Planned</x:v>
      </x:c>
      <x:c r="S174" s="26" t="str">
        <x:f>IF(I174="Accepted",IF(K174="","Add evidence",IF(O174="","Add reviewer",IF(P174="","Add accepted date",IF(AND(ISNUMBER(F174),COUNT(G174)=0),"Add actual quantity",IF(Q174=0,"Review target / date / dependencies","Complete"))))),IF(OR(I174="Blocked",I174="Deferred"),IF(L174="","Record blocker / reason",IF(M174="","Assign rescue owner",IF(N174="","Set recovery date","Recovery assigned"))),IF(B174&lt;'Dashboard'!$B$5,"Escalate and record recovery","Work to acceptance standard")))</x:f>
        <x:v>Work to acceptance standard</x:v>
      </x:c>
      <x:c r="T174" s="26" t="str">
        <x:v>T0028</x:v>
      </x:c>
      <x:c r="U174" s="26" t="str">
        <x:v>Demand-linked: work actual approved calendar; setter brief present; outcome logged same day. No calls scheduled is N/A with calendar evidence.</x:v>
      </x:c>
      <x:c r="V174" s="31" t="n">
        <x:v>0.5</x:v>
      </x:c>
      <x:c r="W174" s="26" t="str"/>
      <x:c r="X174" s="26" t="str">
        <x:v>DSI Reset PDF: lane responsibilities and dated runbook; dated allocation proposed for this tracker.</x:v>
      </x:c>
      <x:c r="Y174" s="30" t="n">
        <x:f>B174-WEEKDAY(B174,2)+1</x:f>
        <x:v>46335</x:v>
      </x:c>
      <x:c r="Z174" s="2" t="str">
        <x:v>demand</x:v>
      </x:c>
      <x:c r="AA174" s="2" t="n">
        <x:f>IF(Q174=1,IF(P174&gt;B174,1,0),0)</x:f>
        <x:v>0</x:v>
      </x:c>
      <x:c r="AB174" s="2" t="n">
        <x:f>IF(AND(Q174=1,P174&lt;='Dashboard'!$B$5),0,MAX(0,'Dashboard'!$B$5-B174))</x:f>
        <x:v>0</x:v>
      </x:c>
      <x:c r="AC174" s="28" t="str"/>
      <x:c r="AD174" s="2" t="str">
        <x:f>IF(AND(ISNUMBER(F174),ISNUMBER(G174)),G174-F174,"")</x:f>
      </x:c>
      <x:c r="AE174" s="2" t="n">
        <x:f>IF(AND(I174="Accepted",K174&lt;&gt;"",O174&lt;&gt;"",ISNUMBER(P174),P174&gt;0,P174&lt;='Dashboard'!$B$5,IF(ISNUMBER(F174),ISNUMBER(G174),TRUE)),1,0)</x:f>
        <x:v>0</x:v>
      </x:c>
    </x:row>
    <x:row r="175" ht="58" customHeight="1">
      <x:c r="A175" s="2" t="str">
        <x:v>T0448</x:v>
      </x:c>
      <x:c r="B175" s="30" t="n">
        <x:v>46337</x:v>
      </x:c>
      <x:c r="C175" s="2" t="str">
        <x:v>Maseeha</x:v>
      </x:c>
      <x:c r="D175" s="2" t="str">
        <x:v>Client dependency</x:v>
      </x:c>
      <x:c r="E175" s="26" t="str">
        <x:v>Due intro verification; kit/case handoff; delivery/Day-30 dates; credit trigger log. Planned asks today: 2 unique existing accounts; cumulative 21.</x:v>
      </x:c>
      <x:c r="F175" s="2" t="str"/>
      <x:c r="G175" s="20"/>
      <x:c r="H175" s="2" t="str">
        <x:v>all due cases</x:v>
      </x:c>
      <x:c r="I175" s="20" t="str">
        <x:v>Ready</x:v>
      </x:c>
      <x:c r="J175" s="2" t="str">
        <x:v>16:45</x:v>
      </x:c>
      <x:c r="K175" s="28" t="str"/>
      <x:c r="L175" s="28" t="str"/>
      <x:c r="M175" s="20" t="str"/>
      <x:c r="N175" s="33"/>
      <x:c r="O175" s="20" t="str"/>
      <x:c r="P175" s="33"/>
      <x:c r="Q175" s="2" t="n">
        <x:f>IF(AND(AE175=1,COUNTIFS($A$7:$A$500,"T0028",$AE$7:$AE$500,1)=1),1,0)</x:f>
        <x:v>0</x:v>
      </x:c>
      <x:c r="R175" s="2" t="str">
        <x:f>IF(AND(Q175=1,P175&lt;='Dashboard'!$B$5),IF(P175&gt;B175,"Accepted late","Accepted"),IF(B175&lt;'Dashboard'!$B$5,"Overdue",IF(I175="Blocked","Blocked",IF(B175='Dashboard'!$B$5,"Due today","Planned"))))</x:f>
        <x:v>Planned</x:v>
      </x:c>
      <x:c r="S175" s="26" t="str">
        <x:f>IF(I175="Accepted",IF(K175="","Add evidence",IF(O175="","Add reviewer",IF(P175="","Add accepted date",IF(AND(ISNUMBER(F175),COUNT(G175)=0),"Add actual quantity",IF(Q175=0,"Review target / date / dependencies","Complete"))))),IF(OR(I175="Blocked",I175="Deferred"),IF(L175="","Record blocker / reason",IF(M175="","Assign rescue owner",IF(N175="","Set recovery date","Recovery assigned"))),IF(B175&lt;'Dashboard'!$B$5,"Escalate and record recovery","Work to acceptance standard")))</x:f>
        <x:v>Work to acceptance standard</x:v>
      </x:c>
      <x:c r="T175" s="26" t="str">
        <x:v>T0028</x:v>
      </x:c>
      <x:c r="U175" s="26" t="str">
        <x:v>Demand-linked: referral verification&lt;=2 business days; trial capacity respected; $200 credit only on eligible invoice paid.</x:v>
      </x:c>
      <x:c r="V175" s="31" t="n">
        <x:v>0.5</x:v>
      </x:c>
      <x:c r="W175" s="26" t="str"/>
      <x:c r="X175" s="26" t="str">
        <x:v>DSI Reset PDF: lane responsibilities and dated runbook; dated allocation proposed for this tracker.</x:v>
      </x:c>
      <x:c r="Y175" s="30" t="n">
        <x:f>B175-WEEKDAY(B175,2)+1</x:f>
        <x:v>46335</x:v>
      </x:c>
      <x:c r="Z175" s="2" t="str">
        <x:v>demand</x:v>
      </x:c>
      <x:c r="AA175" s="2" t="n">
        <x:f>IF(Q175=1,IF(P175&gt;B175,1,0),0)</x:f>
        <x:v>0</x:v>
      </x:c>
      <x:c r="AB175" s="2" t="n">
        <x:f>IF(AND(Q175=1,P175&lt;='Dashboard'!$B$5),0,MAX(0,'Dashboard'!$B$5-B175))</x:f>
        <x:v>0</x:v>
      </x:c>
      <x:c r="AC175" s="28" t="str"/>
      <x:c r="AD175" s="2" t="str">
        <x:f>IF(AND(ISNUMBER(F175),ISNUMBER(G175)),G175-F175,"")</x:f>
      </x:c>
      <x:c r="AE175" s="2" t="n">
        <x:f>IF(AND(I175="Accepted",K175&lt;&gt;"",O175&lt;&gt;"",ISNUMBER(P175),P175&gt;0,P175&lt;='Dashboard'!$B$5,IF(ISNUMBER(F175),ISNUMBER(G175),TRUE)),1,0)</x:f>
        <x:v>0</x:v>
      </x:c>
    </x:row>
    <x:row r="176" ht="58" customHeight="1">
      <x:c r="A176" s="2" t="str">
        <x:v>T0152</x:v>
      </x:c>
      <x:c r="B176" s="30" t="n">
        <x:v>46338</x:v>
      </x:c>
      <x:c r="C176" s="2" t="str">
        <x:v>Wyline</x:v>
      </x:c>
      <x:c r="D176" s="2" t="str">
        <x:v>Program Director</x:v>
      </x:c>
      <x:c r="E176" s="26" t="str">
        <x:v>Accepted-output register; actual-vs-target dashboard; blocker/rescue assignments</x:v>
      </x:c>
      <x:c r="F176" s="2" t="n">
        <x:v>1</x:v>
      </x:c>
      <x:c r="G176" s="20"/>
      <x:c r="H176" s="2" t="str">
        <x:v>accepted output</x:v>
      </x:c>
      <x:c r="I176" s="20" t="str">
        <x:v>Ready</x:v>
      </x:c>
      <x:c r="J176" s="2" t="str">
        <x:v>16:45</x:v>
      </x:c>
      <x:c r="K176" s="28" t="str"/>
      <x:c r="L176" s="28" t="str"/>
      <x:c r="M176" s="20" t="str"/>
      <x:c r="N176" s="33"/>
      <x:c r="O176" s="20" t="str"/>
      <x:c r="P176" s="33"/>
      <x:c r="Q176" s="2" t="n">
        <x:f>IF(AND(AE176=1,COUNTIFS($A$7:$A$500,"T0067",$AE$7:$AE$500,1)=1,COUNTIFS($A$7:$A$500,"T0055",$AE$7:$AE$500,1)=1),1,0)</x:f>
        <x:v>0</x:v>
      </x:c>
      <x:c r="R176" s="2" t="str">
        <x:f>IF(AND(Q176=1,P176&lt;='Dashboard'!$B$5),IF(P176&gt;B176,"Accepted late","Accepted"),IF(B176&lt;'Dashboard'!$B$5,"Overdue",IF(I176="Blocked","Blocked",IF(B176='Dashboard'!$B$5,"Due today","Planned"))))</x:f>
        <x:v>Planned</x:v>
      </x:c>
      <x:c r="S176" s="26" t="str">
        <x:f>IF(I176="Accepted",IF(K176="","Add evidence",IF(O176="","Add reviewer",IF(P176="","Add accepted date",IF(AND(ISNUMBER(F176),COUNT(G176)=0),"Add actual quantity",IF(Q176=0,"Review target / date / dependencies","Complete"))))),IF(OR(I176="Blocked",I176="Deferred"),IF(L176="","Record blocker / reason",IF(M176="","Assign rescue owner",IF(N176="","Set recovery date","Recovery assigned"))),IF(B176&lt;'Dashboard'!$B$5,"Escalate and record recovery","Work to acceptance standard")))</x:f>
        <x:v>Work to acceptance standard</x:v>
      </x:c>
      <x:c r="T176" s="26" t="str">
        <x:v>T0067</x:v>
      </x:c>
      <x:c r="U176" s="26" t="str">
        <x:v>09:00 standup; 13:00/16:30 recovery checks; 17:00 acceptance. Every overdue task keeps original date and named recovery owner.</x:v>
      </x:c>
      <x:c r="V176" s="31" t="n">
        <x:v>3</x:v>
      </x:c>
      <x:c r="W176" s="26" t="str"/>
      <x:c r="X176" s="26" t="str">
        <x:v>DSI Reset PDF: lane responsibilities and dated runbook; dated allocation proposed for this tracker.</x:v>
      </x:c>
      <x:c r="Y176" s="30" t="n">
        <x:f>B176-WEEKDAY(B176,2)+1</x:f>
        <x:v>46335</x:v>
      </x:c>
      <x:c r="Z176" s="2" t="str">
        <x:v>checklist</x:v>
      </x:c>
      <x:c r="AA176" s="2" t="n">
        <x:f>IF(Q176=1,IF(P176&gt;B176,1,0),0)</x:f>
        <x:v>0</x:v>
      </x:c>
      <x:c r="AB176" s="2" t="n">
        <x:f>IF(AND(Q176=1,P176&lt;='Dashboard'!$B$5),0,MAX(0,'Dashboard'!$B$5-B176))</x:f>
        <x:v>0</x:v>
      </x:c>
      <x:c r="AC176" s="28" t="str"/>
      <x:c r="AD176" s="2" t="str">
        <x:f>IF(AND(ISNUMBER(F176),ISNUMBER(G176)),G176-F176,"")</x:f>
      </x:c>
      <x:c r="AE176" s="2" t="n">
        <x:f>IF(AND(I176="Accepted",K176&lt;&gt;"",O176&lt;&gt;"",ISNUMBER(P176),P176&gt;0,P176&lt;='Dashboard'!$B$5,IF(ISNUMBER(F176),ISNUMBER(G176),TRUE),IF(ISNUMBER(F176),G176&gt;=F176,TRUE)),1,0)</x:f>
        <x:v>0</x:v>
      </x:c>
    </x:row>
    <x:row r="177" ht="58" customHeight="1">
      <x:c r="A177" s="2" t="str">
        <x:v>T0153</x:v>
      </x:c>
      <x:c r="B177" s="30" t="n">
        <x:v>46338</x:v>
      </x:c>
      <x:c r="C177" s="2" t="str">
        <x:v>Kenneth</x:v>
      </x:c>
      <x:c r="D177" s="2" t="str">
        <x:v>Message Orchestrator</x:v>
      </x:c>
      <x:c r="E177" s="26" t="str">
        <x:v>Human-reply insights; 5 Inbox draft checks; approved first lines; claim exceptions</x:v>
      </x:c>
      <x:c r="F177" s="2" t="n">
        <x:v>1</x:v>
      </x:c>
      <x:c r="G177" s="20"/>
      <x:c r="H177" s="2" t="str">
        <x:v>accepted output</x:v>
      </x:c>
      <x:c r="I177" s="20" t="str">
        <x:v>Ready</x:v>
      </x:c>
      <x:c r="J177" s="2" t="str">
        <x:v>16:45</x:v>
      </x:c>
      <x:c r="K177" s="28" t="str"/>
      <x:c r="L177" s="28" t="str"/>
      <x:c r="M177" s="20" t="str"/>
      <x:c r="N177" s="33"/>
      <x:c r="O177" s="20" t="str"/>
      <x:c r="P177" s="33"/>
      <x:c r="Q177" s="2" t="n">
        <x:f>IF(AND(AE177=1,COUNTIFS($A$7:$A$500,"T0067",$AE$7:$AE$500,1)=1,COUNTIFS($A$7:$A$500,"T0055",$AE$7:$AE$500,1)=1),1,0)</x:f>
        <x:v>0</x:v>
      </x:c>
      <x:c r="R177" s="2" t="str">
        <x:f>IF(AND(Q177=1,P177&lt;='Dashboard'!$B$5),IF(P177&gt;B177,"Accepted late","Accepted"),IF(B177&lt;'Dashboard'!$B$5,"Overdue",IF(I177="Blocked","Blocked",IF(B177='Dashboard'!$B$5,"Due today","Planned"))))</x:f>
        <x:v>Planned</x:v>
      </x:c>
      <x:c r="S177" s="26" t="str">
        <x:f>IF(I177="Accepted",IF(K177="","Add evidence",IF(O177="","Add reviewer",IF(P177="","Add accepted date",IF(AND(ISNUMBER(F177),COUNT(G177)=0),"Add actual quantity",IF(Q177=0,"Review target / date / dependencies","Complete"))))),IF(OR(I177="Blocked",I177="Deferred"),IF(L177="","Record blocker / reason",IF(M177="","Assign rescue owner",IF(N177="","Set recovery date","Recovery assigned"))),IF(B177&lt;'Dashboard'!$B$5,"Escalate and record recovery","Work to acceptance standard")))</x:f>
        <x:v>Work to acceptance standard</x:v>
      </x:c>
      <x:c r="T177" s="26" t="str">
        <x:v>T0067</x:v>
      </x:c>
      <x:c r="U177" s="26" t="str">
        <x:v>Zero invented claims. If any draft fails facts, stop drafting/retrain; no offer change without approval.</x:v>
      </x:c>
      <x:c r="V177" s="31" t="n">
        <x:v>2.4</x:v>
      </x:c>
      <x:c r="W177" s="26" t="str"/>
      <x:c r="X177" s="26" t="str">
        <x:v>DSI Reset PDF: lane responsibilities and dated runbook; dated allocation proposed for this tracker.</x:v>
      </x:c>
      <x:c r="Y177" s="30" t="n">
        <x:f>B177-WEEKDAY(B177,2)+1</x:f>
        <x:v>46335</x:v>
      </x:c>
      <x:c r="Z177" s="2" t="str">
        <x:v>checklist</x:v>
      </x:c>
      <x:c r="AA177" s="2" t="n">
        <x:f>IF(Q177=1,IF(P177&gt;B177,1,0),0)</x:f>
        <x:v>0</x:v>
      </x:c>
      <x:c r="AB177" s="2" t="n">
        <x:f>IF(AND(Q177=1,P177&lt;='Dashboard'!$B$5),0,MAX(0,'Dashboard'!$B$5-B177))</x:f>
        <x:v>0</x:v>
      </x:c>
      <x:c r="AC177" s="28" t="str"/>
      <x:c r="AD177" s="2" t="str">
        <x:f>IF(AND(ISNUMBER(F177),ISNUMBER(G177)),G177-F177,"")</x:f>
      </x:c>
      <x:c r="AE177" s="2" t="n">
        <x:f>IF(AND(I177="Accepted",K177&lt;&gt;"",O177&lt;&gt;"",ISNUMBER(P177),P177&gt;0,P177&lt;='Dashboard'!$B$5,IF(ISNUMBER(F177),ISNUMBER(G177),TRUE),IF(ISNUMBER(F177),G177&gt;=F177,TRUE)),1,0)</x:f>
        <x:v>0</x:v>
      </x:c>
    </x:row>
    <x:row r="178" ht="58" customHeight="1">
      <x:c r="A178" s="2" t="str">
        <x:v>T0154</x:v>
      </x:c>
      <x:c r="B178" s="30" t="n">
        <x:v>46338</x:v>
      </x:c>
      <x:c r="C178" s="2" t="str">
        <x:v>Joey</x:v>
      </x:c>
      <x:c r="D178" s="2" t="str">
        <x:v>Data Orchestrator</x:v>
      </x:c>
      <x:c r="E178" s="26" t="str">
        <x:v>Mailbox/bounce/suppression log; ready verified records; due-follow up versus new-send capacity plan.</x:v>
      </x:c>
      <x:c r="F178" s="2" t="n">
        <x:v>1</x:v>
      </x:c>
      <x:c r="G178" s="20"/>
      <x:c r="H178" s="2" t="str">
        <x:v>verified queue and health check</x:v>
      </x:c>
      <x:c r="I178" s="20" t="str">
        <x:v>Ready</x:v>
      </x:c>
      <x:c r="J178" s="2" t="str">
        <x:v>16:45</x:v>
      </x:c>
      <x:c r="K178" s="28" t="str"/>
      <x:c r="L178" s="28" t="str"/>
      <x:c r="M178" s="20" t="str"/>
      <x:c r="N178" s="33"/>
      <x:c r="O178" s="20" t="str"/>
      <x:c r="P178" s="33"/>
      <x:c r="Q178" s="2" t="n">
        <x:f>IF(AND(AE178=1,COUNTIFS($A$7:$A$500,"T0067",$AE$7:$AE$500,1)=1,COUNTIFS($A$7:$A$500,"T0055",$AE$7:$AE$500,1)=1),1,0)</x:f>
        <x:v>0</x:v>
      </x:c>
      <x:c r="R178" s="2" t="str">
        <x:f>IF(AND(Q178=1,P178&lt;='Dashboard'!$B$5),IF(P178&gt;B178,"Accepted late","Accepted"),IF(B178&lt;'Dashboard'!$B$5,"Overdue",IF(I178="Blocked","Blocked",IF(B178='Dashboard'!$B$5,"Due today","Planned"))))</x:f>
        <x:v>Planned</x:v>
      </x:c>
      <x:c r="S178" s="26" t="str">
        <x:f>IF(I178="Accepted",IF(K178="","Add evidence",IF(O178="","Add reviewer",IF(P178="","Add accepted date",IF(AND(ISNUMBER(F178),COUNT(G178)=0),"Add actual quantity",IF(Q178=0,"Review target / date / dependencies","Complete"))))),IF(OR(I178="Blocked",I178="Deferred"),IF(L178="","Record blocker / reason",IF(M178="","Assign rescue owner",IF(N178="","Set recovery date","Recovery assigned"))),IF(B178&lt;'Dashboard'!$B$5,"Escalate and record recovery","Work to acceptance standard")))</x:f>
        <x:v>Work to acceptance standard</x:v>
      </x:c>
      <x:c r="T178" s="26" t="str">
        <x:v>T0067</x:v>
      </x:c>
      <x:c r="U178" s="26" t="str">
        <x:v>Planning pool addition 0 contacts today; quality gate wins over quota. Total sends&lt;=150/day;&gt;3% bounce affected mailbox held. No new cold enrollments on reduced/buffer days.</x:v>
      </x:c>
      <x:c r="V178" s="31" t="n">
        <x:v>3</x:v>
      </x:c>
      <x:c r="W178" s="26" t="str"/>
      <x:c r="X178" s="26" t="str">
        <x:v>DSI Reset PDF: lane responsibilities and dated runbook; dated allocation proposed for this tracker.</x:v>
      </x:c>
      <x:c r="Y178" s="30" t="n">
        <x:f>B178-WEEKDAY(B178,2)+1</x:f>
        <x:v>46335</x:v>
      </x:c>
      <x:c r="Z178" s="2" t="str">
        <x:v>checklist</x:v>
      </x:c>
      <x:c r="AA178" s="2" t="n">
        <x:f>IF(Q178=1,IF(P178&gt;B178,1,0),0)</x:f>
        <x:v>0</x:v>
      </x:c>
      <x:c r="AB178" s="2" t="n">
        <x:f>IF(AND(Q178=1,P178&lt;='Dashboard'!$B$5),0,MAX(0,'Dashboard'!$B$5-B178))</x:f>
        <x:v>0</x:v>
      </x:c>
      <x:c r="AC178" s="28" t="str"/>
      <x:c r="AD178" s="2" t="str">
        <x:f>IF(AND(ISNUMBER(F178),ISNUMBER(G178)),G178-F178,"")</x:f>
      </x:c>
      <x:c r="AE178" s="2" t="n">
        <x:f>IF(AND(I178="Accepted",K178&lt;&gt;"",O178&lt;&gt;"",ISNUMBER(P178),P178&gt;0,P178&lt;='Dashboard'!$B$5,IF(ISNUMBER(F178),ISNUMBER(G178),TRUE),IF(ISNUMBER(F178),G178&gt;=F178,TRUE)),1,0)</x:f>
        <x:v>0</x:v>
      </x:c>
    </x:row>
    <x:row r="179" ht="58" customHeight="1">
      <x:c r="A179" s="2" t="str">
        <x:v>T0155</x:v>
      </x:c>
      <x:c r="B179" s="30" t="n">
        <x:v>46338</x:v>
      </x:c>
      <x:c r="C179" s="2" t="str">
        <x:v>Nova</x:v>
      </x:c>
      <x:c r="D179" s="2" t="str">
        <x:v>Conversion Orchestrator</x:v>
      </x:c>
      <x:c r="E179" s="26" t="str">
        <x:v>Coverage/SLA evidence; 2 call reviews; booked/held updates; next-step and trial handoffs. Log each unique qualified inquiry with practice type, decision-maker access, case volume, service need and readiness timing.</x:v>
      </x:c>
      <x:c r="F179" s="2" t="n">
        <x:v>1</x:v>
      </x:c>
      <x:c r="G179" s="20"/>
      <x:c r="H179" s="2" t="str">
        <x:v>accepted output</x:v>
      </x:c>
      <x:c r="I179" s="20" t="str">
        <x:v>Ready</x:v>
      </x:c>
      <x:c r="J179" s="2" t="str">
        <x:v>16:45</x:v>
      </x:c>
      <x:c r="K179" s="28" t="str"/>
      <x:c r="L179" s="28" t="str"/>
      <x:c r="M179" s="20" t="str"/>
      <x:c r="N179" s="33"/>
      <x:c r="O179" s="20" t="str"/>
      <x:c r="P179" s="33"/>
      <x:c r="Q179" s="2" t="n">
        <x:f>IF(AND(AE179=1,COUNTIFS($A$7:$A$500,"T0067",$AE$7:$AE$500,1)=1,COUNTIFS($A$7:$A$500,"T0055",$AE$7:$AE$500,1)=1),1,0)</x:f>
        <x:v>0</x:v>
      </x:c>
      <x:c r="R179" s="2" t="str">
        <x:f>IF(AND(Q179=1,P179&lt;='Dashboard'!$B$5),IF(P179&gt;B179,"Accepted late","Accepted"),IF(B179&lt;'Dashboard'!$B$5,"Overdue",IF(I179="Blocked","Blocked",IF(B179='Dashboard'!$B$5,"Due today","Planned"))))</x:f>
        <x:v>Planned</x:v>
      </x:c>
      <x:c r="S179" s="26" t="str">
        <x:f>IF(I179="Accepted",IF(K179="","Add evidence",IF(O179="","Add reviewer",IF(P179="","Add accepted date",IF(AND(ISNUMBER(F179),COUNT(G179)=0),"Add actual quantity",IF(Q179=0,"Review target / date / dependencies","Complete"))))),IF(OR(I179="Blocked",I179="Deferred"),IF(L179="","Record blocker / reason",IF(M179="","Assign rescue owner",IF(N179="","Set recovery date","Recovery assigned"))),IF(B179&lt;'Dashboard'!$B$5,"Escalate and record recovery","Work to acceptance standard")))</x:f>
        <x:v>Work to acceptance standard</x:v>
      </x:c>
      <x:c r="T179" s="26" t="str">
        <x:v>T0067</x:v>
      </x:c>
      <x:c r="U179" s="26" t="str">
        <x:v>Every eligible reply&lt;=15 min; positive call&lt;=60 min; no opportunity without next step; booked brief to Nic; trial logistics to Maseeha. Raw contacts, opens and accepts never count as qualified inquiries; deduplicate across channels.</x:v>
      </x:c>
      <x:c r="V179" s="31" t="n">
        <x:v>4</x:v>
      </x:c>
      <x:c r="W179" s="26" t="str"/>
      <x:c r="X179" s="26" t="str">
        <x:v>DSI Reset PDF: lane responsibilities and dated runbook; dated allocation proposed for this tracker.</x:v>
      </x:c>
      <x:c r="Y179" s="30" t="n">
        <x:f>B179-WEEKDAY(B179,2)+1</x:f>
        <x:v>46335</x:v>
      </x:c>
      <x:c r="Z179" s="2" t="str">
        <x:v>checklist</x:v>
      </x:c>
      <x:c r="AA179" s="2" t="n">
        <x:f>IF(Q179=1,IF(P179&gt;B179,1,0),0)</x:f>
        <x:v>0</x:v>
      </x:c>
      <x:c r="AB179" s="2" t="n">
        <x:f>IF(AND(Q179=1,P179&lt;='Dashboard'!$B$5),0,MAX(0,'Dashboard'!$B$5-B179))</x:f>
        <x:v>0</x:v>
      </x:c>
      <x:c r="AC179" s="28" t="str"/>
      <x:c r="AD179" s="2" t="str">
        <x:f>IF(AND(ISNUMBER(F179),ISNUMBER(G179)),G179-F179,"")</x:f>
      </x:c>
      <x:c r="AE179" s="2" t="n">
        <x:f>IF(AND(I179="Accepted",K179&lt;&gt;"",O179&lt;&gt;"",ISNUMBER(P179),P179&gt;0,P179&lt;='Dashboard'!$B$5,IF(ISNUMBER(F179),ISNUMBER(G179),TRUE),IF(ISNUMBER(F179),G179&gt;=F179,TRUE)),1,0)</x:f>
        <x:v>0</x:v>
      </x:c>
    </x:row>
    <x:row r="180" ht="58" customHeight="1">
      <x:c r="A180" s="2" t="str">
        <x:v>T0156</x:v>
      </x:c>
      <x:c r="B180" s="30" t="n">
        <x:v>46338</x:v>
      </x:c>
      <x:c r="C180" s="2" t="str">
        <x:v>Emman</x:v>
      </x:c>
      <x:c r="D180" s="2" t="str">
        <x:v>AI Build Orchestrator</x:v>
      </x:c>
      <x:c r="E180" s="26" t="str">
        <x:v>3-day manual-versus-system reconciliation</x:v>
      </x:c>
      <x:c r="F180" s="2" t="n">
        <x:v>1</x:v>
      </x:c>
      <x:c r="G180" s="20"/>
      <x:c r="H180" s="2" t="str">
        <x:v>accepted output</x:v>
      </x:c>
      <x:c r="I180" s="20" t="str">
        <x:v>Ready</x:v>
      </x:c>
      <x:c r="J180" s="2" t="str">
        <x:v>16:45</x:v>
      </x:c>
      <x:c r="K180" s="28" t="str"/>
      <x:c r="L180" s="28" t="str"/>
      <x:c r="M180" s="20" t="str"/>
      <x:c r="N180" s="33"/>
      <x:c r="O180" s="20" t="str"/>
      <x:c r="P180" s="33"/>
      <x:c r="Q180" s="2" t="n">
        <x:f>IF(AND(AE180=1,COUNTIFS($A$7:$A$500,"T0067",$AE$7:$AE$500,1)=1,COUNTIFS($A$7:$A$500,"T0055",$AE$7:$AE$500,1)=1),1,0)</x:f>
        <x:v>0</x:v>
      </x:c>
      <x:c r="R180" s="2" t="str">
        <x:f>IF(AND(Q180=1,P180&lt;='Dashboard'!$B$5),IF(P180&gt;B180,"Accepted late","Accepted"),IF(B180&lt;'Dashboard'!$B$5,"Overdue",IF(I180="Blocked","Blocked",IF(B180='Dashboard'!$B$5,"Due today","Planned"))))</x:f>
        <x:v>Planned</x:v>
      </x:c>
      <x:c r="S180" s="26" t="str">
        <x:f>IF(I180="Accepted",IF(K180="","Add evidence",IF(O180="","Add reviewer",IF(P180="","Add accepted date",IF(AND(ISNUMBER(F180),COUNT(G180)=0),"Add actual quantity",IF(Q180=0,"Review target / date / dependencies","Complete"))))),IF(OR(I180="Blocked",I180="Deferred"),IF(L180="","Record blocker / reason",IF(M180="","Assign rescue owner",IF(N180="","Set recovery date","Recovery assigned"))),IF(B180&lt;'Dashboard'!$B$5,"Escalate and record recovery","Work to acceptance standard")))</x:f>
        <x:v>Work to acceptance standard</x:v>
      </x:c>
      <x:c r="T180" s="26" t="str">
        <x:v>T0067</x:v>
      </x:c>
      <x:c r="U180" s="26" t="str">
        <x:v>All metrics match; missing actuals blank; Wyline signs.</x:v>
      </x:c>
      <x:c r="V180" s="31" t="n">
        <x:v>4</x:v>
      </x:c>
      <x:c r="W180" s="26" t="str"/>
      <x:c r="X180" s="26" t="str">
        <x:v>DSI Reset PDF: lane responsibilities and dated runbook; dated allocation proposed for this tracker.</x:v>
      </x:c>
      <x:c r="Y180" s="30" t="n">
        <x:f>B180-WEEKDAY(B180,2)+1</x:f>
        <x:v>46335</x:v>
      </x:c>
      <x:c r="Z180" s="2" t="str">
        <x:v>checklist</x:v>
      </x:c>
      <x:c r="AA180" s="2" t="n">
        <x:f>IF(Q180=1,IF(P180&gt;B180,1,0),0)</x:f>
        <x:v>0</x:v>
      </x:c>
      <x:c r="AB180" s="2" t="n">
        <x:f>IF(AND(Q180=1,P180&lt;='Dashboard'!$B$5),0,MAX(0,'Dashboard'!$B$5-B180))</x:f>
        <x:v>0</x:v>
      </x:c>
      <x:c r="AC180" s="28" t="str"/>
      <x:c r="AD180" s="2" t="str">
        <x:f>IF(AND(ISNUMBER(F180),ISNUMBER(G180)),G180-F180,"")</x:f>
      </x:c>
      <x:c r="AE180" s="2" t="n">
        <x:f>IF(AND(I180="Accepted",K180&lt;&gt;"",O180&lt;&gt;"",ISNUMBER(P180),P180&gt;0,P180&lt;='Dashboard'!$B$5,IF(ISNUMBER(F180),ISNUMBER(G180),TRUE),IF(ISNUMBER(F180),G180&gt;=F180,TRUE)),1,0)</x:f>
        <x:v>0</x:v>
      </x:c>
    </x:row>
    <x:row r="181" ht="58" customHeight="1">
      <x:c r="A181" s="2" t="str">
        <x:v>T0157</x:v>
      </x:c>
      <x:c r="B181" s="30" t="n">
        <x:v>46338</x:v>
      </x:c>
      <x:c r="C181" s="2" t="str">
        <x:v>Ludwig</x:v>
      </x:c>
      <x:c r="D181" s="2" t="str">
        <x:v>Integration Engineer</x:v>
      </x:c>
      <x:c r="E181" s="26" t="str">
        <x:v>Webhook/error/dead-letter check; top assigned integration ticket or verified no-ticket note</x:v>
      </x:c>
      <x:c r="F181" s="2" t="n">
        <x:v>1</x:v>
      </x:c>
      <x:c r="G181" s="20"/>
      <x:c r="H181" s="2" t="str">
        <x:v>accepted output</x:v>
      </x:c>
      <x:c r="I181" s="20" t="str">
        <x:v>Ready</x:v>
      </x:c>
      <x:c r="J181" s="2" t="str">
        <x:v>16:45</x:v>
      </x:c>
      <x:c r="K181" s="28" t="str"/>
      <x:c r="L181" s="28" t="str"/>
      <x:c r="M181" s="20" t="str"/>
      <x:c r="N181" s="33"/>
      <x:c r="O181" s="20" t="str"/>
      <x:c r="P181" s="33"/>
      <x:c r="Q181" s="2" t="n">
        <x:f>IF(AND(AE181=1,COUNTIFS($A$7:$A$500,"T0067",$AE$7:$AE$500,1)=1,COUNTIFS($A$7:$A$500,"T0055",$AE$7:$AE$500,1)=1),1,0)</x:f>
        <x:v>0</x:v>
      </x:c>
      <x:c r="R181" s="2" t="str">
        <x:f>IF(AND(Q181=1,P181&lt;='Dashboard'!$B$5),IF(P181&gt;B181,"Accepted late","Accepted"),IF(B181&lt;'Dashboard'!$B$5,"Overdue",IF(I181="Blocked","Blocked",IF(B181='Dashboard'!$B$5,"Due today","Planned"))))</x:f>
        <x:v>Planned</x:v>
      </x:c>
      <x:c r="S181" s="26" t="str">
        <x:f>IF(I181="Accepted",IF(K181="","Add evidence",IF(O181="","Add reviewer",IF(P181="","Add accepted date",IF(AND(ISNUMBER(F181),COUNT(G181)=0),"Add actual quantity",IF(Q181=0,"Review target / date / dependencies","Complete"))))),IF(OR(I181="Blocked",I181="Deferred"),IF(L181="","Record blocker / reason",IF(M181="","Assign rescue owner",IF(N181="","Set recovery date","Recovery assigned"))),IF(B181&lt;'Dashboard'!$B$5,"Escalate and record recovery","Work to acceptance standard")))</x:f>
        <x:v>Work to acceptance standard</x:v>
      </x:c>
      <x:c r="T181" s="26" t="str">
        <x:v>T0067</x:v>
      </x:c>
      <x:c r="U181" s="26" t="str">
        <x:v>Only Emman’s priority queue; 100% test capture; runbook/retry/rollback evidence. If no fault/ticket, release reserve; do not invent work.</x:v>
      </x:c>
      <x:c r="V181" s="31" t="n">
        <x:v>1.6</x:v>
      </x:c>
      <x:c r="W181" s="26" t="str"/>
      <x:c r="X181" s="26" t="str">
        <x:v>DSI Reset PDF: lane responsibilities and dated runbook; dated allocation proposed for this tracker.</x:v>
      </x:c>
      <x:c r="Y181" s="30" t="n">
        <x:f>B181-WEEKDAY(B181,2)+1</x:f>
        <x:v>46335</x:v>
      </x:c>
      <x:c r="Z181" s="2" t="str">
        <x:v>checklist</x:v>
      </x:c>
      <x:c r="AA181" s="2" t="n">
        <x:f>IF(Q181=1,IF(P181&gt;B181,1,0),0)</x:f>
        <x:v>0</x:v>
      </x:c>
      <x:c r="AB181" s="2" t="n">
        <x:f>IF(AND(Q181=1,P181&lt;='Dashboard'!$B$5),0,MAX(0,'Dashboard'!$B$5-B181))</x:f>
        <x:v>0</x:v>
      </x:c>
      <x:c r="AC181" s="28" t="str"/>
      <x:c r="AD181" s="2" t="str">
        <x:f>IF(AND(ISNUMBER(F181),ISNUMBER(G181)),G181-F181,"")</x:f>
      </x:c>
      <x:c r="AE181" s="2" t="n">
        <x:f>IF(AND(I181="Accepted",K181&lt;&gt;"",O181&lt;&gt;"",ISNUMBER(P181),P181&gt;0,P181&lt;='Dashboard'!$B$5,IF(ISNUMBER(F181),ISNUMBER(G181),TRUE),IF(ISNUMBER(F181),G181&gt;=F181,TRUE)),1,0)</x:f>
        <x:v>0</x:v>
      </x:c>
    </x:row>
    <x:row r="182" ht="58" customHeight="1">
      <x:c r="A182" s="2" t="str">
        <x:v>T0158</x:v>
      </x:c>
      <x:c r="B182" s="30" t="n">
        <x:v>46338</x:v>
      </x:c>
      <x:c r="C182" s="2" t="str">
        <x:v>Alvin</x:v>
      </x:c>
      <x:c r="D182" s="2" t="str">
        <x:v>CQL/GHL Implementation</x:v>
      </x:c>
      <x:c r="E182" s="26" t="str">
        <x:v>Stage/calendar/reminder QA; due workflow fixes; approved post mirrors/evidence Publish approved post SOC06 (Promote); capture the live URL.</x:v>
      </x:c>
      <x:c r="F182" s="2" t="n">
        <x:v>1</x:v>
      </x:c>
      <x:c r="G182" s="20"/>
      <x:c r="H182" s="2" t="str">
        <x:v>accepted output</x:v>
      </x:c>
      <x:c r="I182" s="20" t="str">
        <x:v>Ready</x:v>
      </x:c>
      <x:c r="J182" s="2" t="str">
        <x:v>16:45</x:v>
      </x:c>
      <x:c r="K182" s="28" t="str"/>
      <x:c r="L182" s="28" t="str"/>
      <x:c r="M182" s="20" t="str"/>
      <x:c r="N182" s="33"/>
      <x:c r="O182" s="20" t="str"/>
      <x:c r="P182" s="33"/>
      <x:c r="Q182" s="2" t="n">
        <x:f>IF(AND(AE182=1,COUNTIFS($A$7:$A$500,"T0067",$AE$7:$AE$500,1)=1,COUNTIFS($A$7:$A$500,"T0055",$AE$7:$AE$500,1)=1),1,0)</x:f>
        <x:v>0</x:v>
      </x:c>
      <x:c r="R182" s="2" t="str">
        <x:f>IF(AND(Q182=1,P182&lt;='Dashboard'!$B$5),IF(P182&gt;B182,"Accepted late","Accepted"),IF(B182&lt;'Dashboard'!$B$5,"Overdue",IF(I182="Blocked","Blocked",IF(B182='Dashboard'!$B$5,"Due today","Planned"))))</x:f>
        <x:v>Planned</x:v>
      </x:c>
      <x:c r="S182" s="26" t="str">
        <x:f>IF(I182="Accepted",IF(K182="","Add evidence",IF(O182="","Add reviewer",IF(P182="","Add accepted date",IF(AND(ISNUMBER(F182),COUNT(G182)=0),"Add actual quantity",IF(Q182=0,"Review target / date / dependencies","Complete"))))),IF(OR(I182="Blocked",I182="Deferred"),IF(L182="","Record blocker / reason",IF(M182="","Assign rescue owner",IF(N182="","Set recovery date","Recovery assigned"))),IF(B182&lt;'Dashboard'!$B$5,"Escalate and record recovery","Work to acceptance standard")))</x:f>
        <x:v>Work to acceptance standard</x:v>
      </x:c>
      <x:c r="T182" s="26" t="str">
        <x:v>T0067</x:v>
      </x:c>
      <x:c r="U182" s="26" t="str">
        <x:v>No-show task&lt;=10 min; form/source fields correct; finish critical CRM defect same day. Facebook mirrors exact approved post; Instagram requires permissioned image.</x:v>
      </x:c>
      <x:c r="V182" s="31" t="n">
        <x:v>2</x:v>
      </x:c>
      <x:c r="W182" s="26" t="str"/>
      <x:c r="X182" s="26" t="str">
        <x:v>DSI Reset PDF: lane responsibilities and dated runbook; dated allocation proposed for this tracker.</x:v>
      </x:c>
      <x:c r="Y182" s="30" t="n">
        <x:f>B182-WEEKDAY(B182,2)+1</x:f>
        <x:v>46335</x:v>
      </x:c>
      <x:c r="Z182" s="2" t="str">
        <x:v>checklist</x:v>
      </x:c>
      <x:c r="AA182" s="2" t="n">
        <x:f>IF(Q182=1,IF(P182&gt;B182,1,0),0)</x:f>
        <x:v>0</x:v>
      </x:c>
      <x:c r="AB182" s="2" t="n">
        <x:f>IF(AND(Q182=1,P182&lt;='Dashboard'!$B$5),0,MAX(0,'Dashboard'!$B$5-B182))</x:f>
        <x:v>0</x:v>
      </x:c>
      <x:c r="AC182" s="28" t="str"/>
      <x:c r="AD182" s="2" t="str">
        <x:f>IF(AND(ISNUMBER(F182),ISNUMBER(G182)),G182-F182,"")</x:f>
      </x:c>
      <x:c r="AE182" s="2" t="n">
        <x:f>IF(AND(I182="Accepted",K182&lt;&gt;"",O182&lt;&gt;"",ISNUMBER(P182),P182&gt;0,P182&lt;='Dashboard'!$B$5,IF(ISNUMBER(F182),ISNUMBER(G182),TRUE),IF(ISNUMBER(F182),G182&gt;=F182,TRUE)),1,0)</x:f>
        <x:v>0</x:v>
      </x:c>
    </x:row>
    <x:row r="183" ht="58" customHeight="1">
      <x:c r="A183" s="2" t="str">
        <x:v>T0159</x:v>
      </x:c>
      <x:c r="B183" s="30" t="n">
        <x:v>46338</x:v>
      </x:c>
      <x:c r="C183" s="2" t="str">
        <x:v>Brian</x:v>
      </x:c>
      <x:c r="D183" s="2" t="str">
        <x:v>Web and Tracking</x:v>
      </x:c>
      <x:c r="E183" s="26" t="str">
        <x:v>One health-check result; at most one weekly change ticket or no-ticket note</x:v>
      </x:c>
      <x:c r="F183" s="2" t="n">
        <x:v>1</x:v>
      </x:c>
      <x:c r="G183" s="20"/>
      <x:c r="H183" s="2" t="str">
        <x:v>accepted output</x:v>
      </x:c>
      <x:c r="I183" s="20" t="str">
        <x:v>Ready</x:v>
      </x:c>
      <x:c r="J183" s="2" t="str">
        <x:v>16:45</x:v>
      </x:c>
      <x:c r="K183" s="28" t="str"/>
      <x:c r="L183" s="28" t="str"/>
      <x:c r="M183" s="20" t="str"/>
      <x:c r="N183" s="33"/>
      <x:c r="O183" s="20" t="str"/>
      <x:c r="P183" s="33"/>
      <x:c r="Q183" s="2" t="n">
        <x:f>IF(AND(AE183=1,COUNTIFS($A$7:$A$500,"T0067",$AE$7:$AE$500,1)=1,COUNTIFS($A$7:$A$500,"T0055",$AE$7:$AE$500,1)=1),1,0)</x:f>
        <x:v>0</x:v>
      </x:c>
      <x:c r="R183" s="2" t="str">
        <x:f>IF(AND(Q183=1,P183&lt;='Dashboard'!$B$5),IF(P183&gt;B183,"Accepted late","Accepted"),IF(B183&lt;'Dashboard'!$B$5,"Overdue",IF(I183="Blocked","Blocked",IF(B183='Dashboard'!$B$5,"Due today","Planned"))))</x:f>
        <x:v>Planned</x:v>
      </x:c>
      <x:c r="S183" s="26" t="str">
        <x:f>IF(I183="Accepted",IF(K183="","Add evidence",IF(O183="","Add reviewer",IF(P183="","Add accepted date",IF(AND(ISNUMBER(F183),COUNT(G183)=0),"Add actual quantity",IF(Q183=0,"Review target / date / dependencies","Complete"))))),IF(OR(I183="Blocked",I183="Deferred"),IF(L183="","Record blocker / reason",IF(M183="","Assign rescue owner",IF(N183="","Set recovery date","Recovery assigned"))),IF(B183&lt;'Dashboard'!$B$5,"Escalate and record recovery","Work to acceptance standard")))</x:f>
        <x:v>Work to acceptance standard</x:v>
      </x:c>
      <x:c r="T183" s="26" t="str">
        <x:v>T0067</x:v>
      </x:c>
      <x:c r="U183" s="26" t="str">
        <x:v>Form to CQL&lt;1 min; approved copy unchanged; no work manufactured if healthy; ongoing reserve&lt;=2 h/week.</x:v>
      </x:c>
      <x:c r="V183" s="31" t="n">
        <x:v>0.4</x:v>
      </x:c>
      <x:c r="W183" s="26" t="str"/>
      <x:c r="X183" s="26" t="str">
        <x:v>DSI Reset PDF: lane responsibilities and dated runbook; dated allocation proposed for this tracker.</x:v>
      </x:c>
      <x:c r="Y183" s="30" t="n">
        <x:f>B183-WEEKDAY(B183,2)+1</x:f>
        <x:v>46335</x:v>
      </x:c>
      <x:c r="Z183" s="2" t="str">
        <x:v>checklist</x:v>
      </x:c>
      <x:c r="AA183" s="2" t="n">
        <x:f>IF(Q183=1,IF(P183&gt;B183,1,0),0)</x:f>
        <x:v>0</x:v>
      </x:c>
      <x:c r="AB183" s="2" t="n">
        <x:f>IF(AND(Q183=1,P183&lt;='Dashboard'!$B$5),0,MAX(0,'Dashboard'!$B$5-B183))</x:f>
        <x:v>0</x:v>
      </x:c>
      <x:c r="AC183" s="28" t="str"/>
      <x:c r="AD183" s="2" t="str">
        <x:f>IF(AND(ISNUMBER(F183),ISNUMBER(G183)),G183-F183,"")</x:f>
      </x:c>
      <x:c r="AE183" s="2" t="n">
        <x:f>IF(AND(I183="Accepted",K183&lt;&gt;"",O183&lt;&gt;"",ISNUMBER(P183),P183&gt;0,P183&lt;='Dashboard'!$B$5,IF(ISNUMBER(F183),ISNUMBER(G183),TRUE),IF(ISNUMBER(F183),G183&gt;=F183,TRUE)),1,0)</x:f>
        <x:v>0</x:v>
      </x:c>
    </x:row>
    <x:row r="184" ht="58" customHeight="1">
      <x:c r="A184" s="2" t="str">
        <x:v>T0160</x:v>
      </x:c>
      <x:c r="B184" s="30" t="n">
        <x:v>46338</x:v>
      </x:c>
      <x:c r="C184" s="2" t="str">
        <x:v>Dexter</x:v>
      </x:c>
      <x:c r="D184" s="2" t="str">
        <x:v>LinkedIn Execution</x:v>
      </x:c>
      <x:c r="E184" s="26" t="str">
        <x:v>CQL logged DMs/accepts; eligible requests; referred interested replies; approved post evidence Publish approved post SOC06 (Promote); capture the live URL.</x:v>
      </x:c>
      <x:c r="F184" s="2" t="n">
        <x:v>25</x:v>
      </x:c>
      <x:c r="G184" s="20"/>
      <x:c r="H184" s="2" t="str">
        <x:v>new request working target; eligible pool required</x:v>
      </x:c>
      <x:c r="I184" s="20" t="str">
        <x:v>Ready</x:v>
      </x:c>
      <x:c r="J184" s="2" t="str">
        <x:v>16:45</x:v>
      </x:c>
      <x:c r="K184" s="28" t="str"/>
      <x:c r="L184" s="28" t="str"/>
      <x:c r="M184" s="20" t="str"/>
      <x:c r="N184" s="33"/>
      <x:c r="O184" s="20" t="str"/>
      <x:c r="P184" s="33"/>
      <x:c r="Q184" s="2" t="n">
        <x:f>IF(AND(AE184=1,COUNTIFS($A$7:$A$500,"T0067",$AE$7:$AE$500,1)=1,COUNTIFS($A$7:$A$500,"T0055",$AE$7:$AE$500,1)=1),1,0)</x:f>
        <x:v>0</x:v>
      </x:c>
      <x:c r="R184" s="2" t="str">
        <x:f>IF(AND(Q184=1,P184&lt;='Dashboard'!$B$5),IF(P184&gt;B184,"Accepted late","Accepted"),IF(B184&lt;'Dashboard'!$B$5,"Overdue",IF(I184="Blocked","Blocked",IF(B184='Dashboard'!$B$5,"Due today","Planned"))))</x:f>
        <x:v>Planned</x:v>
      </x:c>
      <x:c r="S184" s="26" t="str">
        <x:f>IF(I184="Accepted",IF(K184="","Add evidence",IF(O184="","Add reviewer",IF(P184="","Add accepted date",IF(AND(ISNUMBER(F184),COUNT(G184)=0),"Add actual quantity",IF(Q184=0,"Review target / date / dependencies","Complete"))))),IF(OR(I184="Blocked",I184="Deferred"),IF(L184="","Record blocker / reason",IF(M184="","Assign rescue owner",IF(N184="","Set recovery date","Recovery assigned"))),IF(B184&lt;'Dashboard'!$B$5,"Escalate and record recovery","Work to acceptance standard")))</x:f>
        <x:v>Work to acceptance standard</x:v>
      </x:c>
      <x:c r="T184" s="26" t="str">
        <x:v>T0067</x:v>
      </x:c>
      <x:c r="U184"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84" s="31" t="n">
        <x:v>3</x:v>
      </x:c>
      <x:c r="W184" s="26" t="str"/>
      <x:c r="X184" s="26" t="str">
        <x:v>DSI Reset PDF: lane responsibilities and dated runbook; dated allocation proposed for this tracker.</x:v>
      </x:c>
      <x:c r="Y184" s="30" t="n">
        <x:f>B184-WEEKDAY(B184,2)+1</x:f>
        <x:v>46335</x:v>
      </x:c>
      <x:c r="Z184" s="2" t="str">
        <x:v>capacity</x:v>
      </x:c>
      <x:c r="AA184" s="2" t="n">
        <x:f>IF(Q184=1,IF(P184&gt;B184,1,0),0)</x:f>
        <x:v>0</x:v>
      </x:c>
      <x:c r="AB184" s="2" t="n">
        <x:f>IF(AND(Q184=1,P184&lt;='Dashboard'!$B$5),0,MAX(0,'Dashboard'!$B$5-B184))</x:f>
        <x:v>0</x:v>
      </x:c>
      <x:c r="AC184" s="28" t="str"/>
      <x:c r="AD184" s="2" t="str">
        <x:f>IF(AND(ISNUMBER(F184),ISNUMBER(G184)),G184-F184,"")</x:f>
      </x:c>
      <x:c r="AE184" s="2" t="n">
        <x:f>IF(AND(I184="Accepted",K184&lt;&gt;"",O184&lt;&gt;"",ISNUMBER(P184),P184&gt;0,P184&lt;='Dashboard'!$B$5,IF(ISNUMBER(F184),ISNUMBER(G184),TRUE),IF(ISNUMBER(F184),OR(G184&gt;=F184,AC184&lt;&gt;""),TRUE)),1,0)</x:f>
        <x:v>0</x:v>
      </x:c>
    </x:row>
    <x:row r="185" ht="58" customHeight="1">
      <x:c r="A185" s="2" t="str">
        <x:v>T0161</x:v>
      </x:c>
      <x:c r="B185" s="30" t="n">
        <x:v>46338</x:v>
      </x:c>
      <x:c r="C185" s="2" t="str">
        <x:v>Setter 1</x:v>
      </x:c>
      <x:c r="D185" s="2" t="str">
        <x:v>Reply and Phone Setter</x:v>
      </x:c>
      <x:c r="E185" s="26" t="str">
        <x:v>SLA/call outcome log; bookings and next steps; handoff to Nova</x:v>
      </x:c>
      <x:c r="F185" s="2" t="n">
        <x:v>50</x:v>
      </x:c>
      <x:c r="G185" s="20"/>
      <x:c r="H185" s="2" t="str">
        <x:v>dial working target; inbound SLA takes priority</x:v>
      </x:c>
      <x:c r="I185" s="20" t="str">
        <x:v>Ready</x:v>
      </x:c>
      <x:c r="J185" s="2" t="str">
        <x:v>16:45</x:v>
      </x:c>
      <x:c r="K185" s="28" t="str"/>
      <x:c r="L185" s="28" t="str"/>
      <x:c r="M185" s="20" t="str"/>
      <x:c r="N185" s="33"/>
      <x:c r="O185" s="20" t="str"/>
      <x:c r="P185" s="33"/>
      <x:c r="Q185" s="2" t="n">
        <x:f>IF(AND(AE185=1,COUNTIFS($A$7:$A$500,"T0013",$AE$7:$AE$500,1)=1,COUNTIFS($A$7:$A$500,"T0055",$AE$7:$AE$500,1)=1),1,0)</x:f>
        <x:v>0</x:v>
      </x:c>
      <x:c r="R185" s="2" t="str">
        <x:f>IF(AND(Q185=1,P185&lt;='Dashboard'!$B$5),IF(P185&gt;B185,"Accepted late","Accepted"),IF(B185&lt;'Dashboard'!$B$5,"Overdue",IF(I185="Blocked","Blocked",IF(B185='Dashboard'!$B$5,"Due today","Planned"))))</x:f>
        <x:v>Planned</x:v>
      </x:c>
      <x:c r="S185" s="26" t="str">
        <x:f>IF(I185="Accepted",IF(K185="","Add evidence",IF(O185="","Add reviewer",IF(P185="","Add accepted date",IF(AND(ISNUMBER(F185),COUNT(G185)=0),"Add actual quantity",IF(Q185=0,"Review target / date / dependencies","Complete"))))),IF(OR(I185="Blocked",I185="Deferred"),IF(L185="","Record blocker / reason",IF(M185="","Assign rescue owner",IF(N185="","Set recovery date","Recovery assigned"))),IF(B185&lt;'Dashboard'!$B$5,"Escalate and record recovery","Work to acceptance standard")))</x:f>
        <x:v>Work to acceptance standard</x:v>
      </x:c>
      <x:c r="T185" s="26" t="str">
        <x:v>T0013; T0055</x:v>
      </x:c>
      <x:c r="U18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85" s="31" t="n">
        <x:v>7.5</x:v>
      </x:c>
      <x:c r="W185" s="26" t="str"/>
      <x:c r="X185" s="26" t="str">
        <x:v>DSI Reset PDF: lane responsibilities and dated runbook; dated allocation proposed for this tracker.</x:v>
      </x:c>
      <x:c r="Y185" s="30" t="n">
        <x:f>B185-WEEKDAY(B185,2)+1</x:f>
        <x:v>46335</x:v>
      </x:c>
      <x:c r="Z185" s="2" t="str">
        <x:v>capacity</x:v>
      </x:c>
      <x:c r="AA185" s="2" t="n">
        <x:f>IF(Q185=1,IF(P185&gt;B185,1,0),0)</x:f>
        <x:v>0</x:v>
      </x:c>
      <x:c r="AB185" s="2" t="n">
        <x:f>IF(AND(Q185=1,P185&lt;='Dashboard'!$B$5),0,MAX(0,'Dashboard'!$B$5-B185))</x:f>
        <x:v>0</x:v>
      </x:c>
      <x:c r="AC185" s="28" t="str"/>
      <x:c r="AD185" s="2" t="str">
        <x:f>IF(AND(ISNUMBER(F185),ISNUMBER(G185)),G185-F185,"")</x:f>
      </x:c>
      <x:c r="AE185" s="2" t="n">
        <x:f>IF(AND(I185="Accepted",K185&lt;&gt;"",O185&lt;&gt;"",ISNUMBER(P185),P185&gt;0,P185&lt;='Dashboard'!$B$5,IF(ISNUMBER(F185),ISNUMBER(G185),TRUE),IF(ISNUMBER(F185),OR(G185&gt;=F185,AC185&lt;&gt;""),TRUE)),1,0)</x:f>
        <x:v>0</x:v>
      </x:c>
    </x:row>
    <x:row r="186" ht="58" customHeight="1">
      <x:c r="A186" s="2" t="str">
        <x:v>T0162</x:v>
      </x:c>
      <x:c r="B186" s="30" t="n">
        <x:v>46338</x:v>
      </x:c>
      <x:c r="C186" s="2" t="str">
        <x:v>Setter 2</x:v>
      </x:c>
      <x:c r="D186" s="2" t="str">
        <x:v>Reply and Phone Setter</x:v>
      </x:c>
      <x:c r="E186" s="26" t="str">
        <x:v>SLA/call outcome log; bookings and next steps; handoff to Nova</x:v>
      </x:c>
      <x:c r="F186" s="2" t="n">
        <x:v>50</x:v>
      </x:c>
      <x:c r="G186" s="20"/>
      <x:c r="H186" s="2" t="str">
        <x:v>dial working target; inbound SLA takes priority</x:v>
      </x:c>
      <x:c r="I186" s="20" t="str">
        <x:v>Ready</x:v>
      </x:c>
      <x:c r="J186" s="2" t="str">
        <x:v>16:45</x:v>
      </x:c>
      <x:c r="K186" s="28" t="str"/>
      <x:c r="L186" s="28" t="str"/>
      <x:c r="M186" s="20" t="str"/>
      <x:c r="N186" s="33"/>
      <x:c r="O186" s="20" t="str"/>
      <x:c r="P186" s="33"/>
      <x:c r="Q186" s="2" t="n">
        <x:f>IF(AND(AE186=1,COUNTIFS($A$7:$A$500,"T0013",$AE$7:$AE$500,1)=1,COUNTIFS($A$7:$A$500,"T0055",$AE$7:$AE$500,1)=1),1,0)</x:f>
        <x:v>0</x:v>
      </x:c>
      <x:c r="R186" s="2" t="str">
        <x:f>IF(AND(Q186=1,P186&lt;='Dashboard'!$B$5),IF(P186&gt;B186,"Accepted late","Accepted"),IF(B186&lt;'Dashboard'!$B$5,"Overdue",IF(I186="Blocked","Blocked",IF(B186='Dashboard'!$B$5,"Due today","Planned"))))</x:f>
        <x:v>Planned</x:v>
      </x:c>
      <x:c r="S186" s="26" t="str">
        <x:f>IF(I186="Accepted",IF(K186="","Add evidence",IF(O186="","Add reviewer",IF(P186="","Add accepted date",IF(AND(ISNUMBER(F186),COUNT(G186)=0),"Add actual quantity",IF(Q186=0,"Review target / date / dependencies","Complete"))))),IF(OR(I186="Blocked",I186="Deferred"),IF(L186="","Record blocker / reason",IF(M186="","Assign rescue owner",IF(N186="","Set recovery date","Recovery assigned"))),IF(B186&lt;'Dashboard'!$B$5,"Escalate and record recovery","Work to acceptance standard")))</x:f>
        <x:v>Work to acceptance standard</x:v>
      </x:c>
      <x:c r="T186" s="26" t="str">
        <x:v>T0013; T0055</x:v>
      </x:c>
      <x:c r="U186"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86" s="31" t="n">
        <x:v>7.5</x:v>
      </x:c>
      <x:c r="W186" s="26" t="str"/>
      <x:c r="X186" s="26" t="str">
        <x:v>DSI Reset PDF: lane responsibilities and dated runbook; dated allocation proposed for this tracker.</x:v>
      </x:c>
      <x:c r="Y186" s="30" t="n">
        <x:f>B186-WEEKDAY(B186,2)+1</x:f>
        <x:v>46335</x:v>
      </x:c>
      <x:c r="Z186" s="2" t="str">
        <x:v>capacity</x:v>
      </x:c>
      <x:c r="AA186" s="2" t="n">
        <x:f>IF(Q186=1,IF(P186&gt;B186,1,0),0)</x:f>
        <x:v>0</x:v>
      </x:c>
      <x:c r="AB186" s="2" t="n">
        <x:f>IF(AND(Q186=1,P186&lt;='Dashboard'!$B$5),0,MAX(0,'Dashboard'!$B$5-B186))</x:f>
        <x:v>0</x:v>
      </x:c>
      <x:c r="AC186" s="28" t="str"/>
      <x:c r="AD186" s="2" t="str">
        <x:f>IF(AND(ISNUMBER(F186),ISNUMBER(G186)),G186-F186,"")</x:f>
      </x:c>
      <x:c r="AE186" s="2" t="n">
        <x:f>IF(AND(I186="Accepted",K186&lt;&gt;"",O186&lt;&gt;"",ISNUMBER(P186),P186&gt;0,P186&lt;='Dashboard'!$B$5,IF(ISNUMBER(F186),ISNUMBER(G186),TRUE),IF(ISNUMBER(F186),OR(G186&gt;=F186,AC186&lt;&gt;""),TRUE)),1,0)</x:f>
        <x:v>0</x:v>
      </x:c>
    </x:row>
    <x:row r="187" ht="58" customHeight="1">
      <x:c r="A187" s="2" t="str">
        <x:v>T0449</x:v>
      </x:c>
      <x:c r="B187" s="30" t="n">
        <x:v>46338</x:v>
      </x:c>
      <x:c r="C187" s="2" t="str">
        <x:v>Nic</x:v>
      </x:c>
      <x:c r="D187" s="2" t="str">
        <x:v>Client dependency</x:v>
      </x:c>
      <x:c r="E187" s="26" t="str">
        <x:v>Call outcome/next step for every appointment due; first-case decisions</x:v>
      </x:c>
      <x:c r="F187" s="2" t="str"/>
      <x:c r="G187" s="20"/>
      <x:c r="H187" s="2" t="str">
        <x:v>all due appointments</x:v>
      </x:c>
      <x:c r="I187" s="20" t="str">
        <x:v>Ready</x:v>
      </x:c>
      <x:c r="J187" s="2" t="str">
        <x:v>16:45</x:v>
      </x:c>
      <x:c r="K187" s="28" t="str"/>
      <x:c r="L187" s="28" t="str"/>
      <x:c r="M187" s="20" t="str"/>
      <x:c r="N187" s="33"/>
      <x:c r="O187" s="20" t="str"/>
      <x:c r="P187" s="33"/>
      <x:c r="Q187" s="2" t="n">
        <x:f>IF(AND(AE187=1,COUNTIFS($A$7:$A$500,"T0028",$AE$7:$AE$500,1)=1),1,0)</x:f>
        <x:v>0</x:v>
      </x:c>
      <x:c r="R187" s="2" t="str">
        <x:f>IF(AND(Q187=1,P187&lt;='Dashboard'!$B$5),IF(P187&gt;B187,"Accepted late","Accepted"),IF(B187&lt;'Dashboard'!$B$5,"Overdue",IF(I187="Blocked","Blocked",IF(B187='Dashboard'!$B$5,"Due today","Planned"))))</x:f>
        <x:v>Planned</x:v>
      </x:c>
      <x:c r="S187" s="26" t="str">
        <x:f>IF(I187="Accepted",IF(K187="","Add evidence",IF(O187="","Add reviewer",IF(P187="","Add accepted date",IF(AND(ISNUMBER(F187),COUNT(G187)=0),"Add actual quantity",IF(Q187=0,"Review target / date / dependencies","Complete"))))),IF(OR(I187="Blocked",I187="Deferred"),IF(L187="","Record blocker / reason",IF(M187="","Assign rescue owner",IF(N187="","Set recovery date","Recovery assigned"))),IF(B187&lt;'Dashboard'!$B$5,"Escalate and record recovery","Work to acceptance standard")))</x:f>
        <x:v>Work to acceptance standard</x:v>
      </x:c>
      <x:c r="T187" s="26" t="str">
        <x:v>T0028</x:v>
      </x:c>
      <x:c r="U187" s="26" t="str">
        <x:v>Demand-linked: work actual approved calendar; setter brief present; outcome logged same day. No calls scheduled is N/A with calendar evidence.</x:v>
      </x:c>
      <x:c r="V187" s="31" t="n">
        <x:v>0.5</x:v>
      </x:c>
      <x:c r="W187" s="26" t="str"/>
      <x:c r="X187" s="26" t="str">
        <x:v>DSI Reset PDF: lane responsibilities and dated runbook; dated allocation proposed for this tracker.</x:v>
      </x:c>
      <x:c r="Y187" s="30" t="n">
        <x:f>B187-WEEKDAY(B187,2)+1</x:f>
        <x:v>46335</x:v>
      </x:c>
      <x:c r="Z187" s="2" t="str">
        <x:v>demand</x:v>
      </x:c>
      <x:c r="AA187" s="2" t="n">
        <x:f>IF(Q187=1,IF(P187&gt;B187,1,0),0)</x:f>
        <x:v>0</x:v>
      </x:c>
      <x:c r="AB187" s="2" t="n">
        <x:f>IF(AND(Q187=1,P187&lt;='Dashboard'!$B$5),0,MAX(0,'Dashboard'!$B$5-B187))</x:f>
        <x:v>0</x:v>
      </x:c>
      <x:c r="AC187" s="28" t="str"/>
      <x:c r="AD187" s="2" t="str">
        <x:f>IF(AND(ISNUMBER(F187),ISNUMBER(G187)),G187-F187,"")</x:f>
      </x:c>
      <x:c r="AE187" s="2" t="n">
        <x:f>IF(AND(I187="Accepted",K187&lt;&gt;"",O187&lt;&gt;"",ISNUMBER(P187),P187&gt;0,P187&lt;='Dashboard'!$B$5,IF(ISNUMBER(F187),ISNUMBER(G187),TRUE)),1,0)</x:f>
        <x:v>0</x:v>
      </x:c>
    </x:row>
    <x:row r="188" ht="58" customHeight="1">
      <x:c r="A188" s="2" t="str">
        <x:v>T0450</x:v>
      </x:c>
      <x:c r="B188" s="30" t="n">
        <x:v>46338</x:v>
      </x:c>
      <x:c r="C188" s="2" t="str">
        <x:v>Maseeha</x:v>
      </x:c>
      <x:c r="D188" s="2" t="str">
        <x:v>Client dependency</x:v>
      </x:c>
      <x:c r="E188" s="26" t="str">
        <x:v>Due intro verification; kit/case handoff; delivery/Day-30 dates; credit trigger log. Planned asks today: 2 unique existing accounts; cumulative 23.</x:v>
      </x:c>
      <x:c r="F188" s="2" t="str"/>
      <x:c r="G188" s="20"/>
      <x:c r="H188" s="2" t="str">
        <x:v>all due cases</x:v>
      </x:c>
      <x:c r="I188" s="20" t="str">
        <x:v>Ready</x:v>
      </x:c>
      <x:c r="J188" s="2" t="str">
        <x:v>16:45</x:v>
      </x:c>
      <x:c r="K188" s="28" t="str"/>
      <x:c r="L188" s="28" t="str"/>
      <x:c r="M188" s="20" t="str"/>
      <x:c r="N188" s="33"/>
      <x:c r="O188" s="20" t="str"/>
      <x:c r="P188" s="33"/>
      <x:c r="Q188" s="2" t="n">
        <x:f>IF(AND(AE188=1,COUNTIFS($A$7:$A$500,"T0028",$AE$7:$AE$500,1)=1),1,0)</x:f>
        <x:v>0</x:v>
      </x:c>
      <x:c r="R188" s="2" t="str">
        <x:f>IF(AND(Q188=1,P188&lt;='Dashboard'!$B$5),IF(P188&gt;B188,"Accepted late","Accepted"),IF(B188&lt;'Dashboard'!$B$5,"Overdue",IF(I188="Blocked","Blocked",IF(B188='Dashboard'!$B$5,"Due today","Planned"))))</x:f>
        <x:v>Planned</x:v>
      </x:c>
      <x:c r="S188" s="26" t="str">
        <x:f>IF(I188="Accepted",IF(K188="","Add evidence",IF(O188="","Add reviewer",IF(P188="","Add accepted date",IF(AND(ISNUMBER(F188),COUNT(G188)=0),"Add actual quantity",IF(Q188=0,"Review target / date / dependencies","Complete"))))),IF(OR(I188="Blocked",I188="Deferred"),IF(L188="","Record blocker / reason",IF(M188="","Assign rescue owner",IF(N188="","Set recovery date","Recovery assigned"))),IF(B188&lt;'Dashboard'!$B$5,"Escalate and record recovery","Work to acceptance standard")))</x:f>
        <x:v>Work to acceptance standard</x:v>
      </x:c>
      <x:c r="T188" s="26" t="str">
        <x:v>T0028</x:v>
      </x:c>
      <x:c r="U188" s="26" t="str">
        <x:v>Demand-linked: referral verification&lt;=2 business days; trial capacity respected; $200 credit only on eligible invoice paid.</x:v>
      </x:c>
      <x:c r="V188" s="31" t="n">
        <x:v>0.5</x:v>
      </x:c>
      <x:c r="W188" s="26" t="str"/>
      <x:c r="X188" s="26" t="str">
        <x:v>DSI Reset PDF: lane responsibilities and dated runbook; dated allocation proposed for this tracker.</x:v>
      </x:c>
      <x:c r="Y188" s="30" t="n">
        <x:f>B188-WEEKDAY(B188,2)+1</x:f>
        <x:v>46335</x:v>
      </x:c>
      <x:c r="Z188" s="2" t="str">
        <x:v>demand</x:v>
      </x:c>
      <x:c r="AA188" s="2" t="n">
        <x:f>IF(Q188=1,IF(P188&gt;B188,1,0),0)</x:f>
        <x:v>0</x:v>
      </x:c>
      <x:c r="AB188" s="2" t="n">
        <x:f>IF(AND(Q188=1,P188&lt;='Dashboard'!$B$5),0,MAX(0,'Dashboard'!$B$5-B188))</x:f>
        <x:v>0</x:v>
      </x:c>
      <x:c r="AC188" s="28" t="str"/>
      <x:c r="AD188" s="2" t="str">
        <x:f>IF(AND(ISNUMBER(F188),ISNUMBER(G188)),G188-F188,"")</x:f>
      </x:c>
      <x:c r="AE188" s="2" t="n">
        <x:f>IF(AND(I188="Accepted",K188&lt;&gt;"",O188&lt;&gt;"",ISNUMBER(P188),P188&gt;0,P188&lt;='Dashboard'!$B$5,IF(ISNUMBER(F188),ISNUMBER(G188),TRUE)),1,0)</x:f>
        <x:v>0</x:v>
      </x:c>
    </x:row>
    <x:row r="189" ht="58" customHeight="1">
      <x:c r="A189" s="2" t="str">
        <x:v>T0163</x:v>
      </x:c>
      <x:c r="B189" s="30" t="n">
        <x:v>46339</x:v>
      </x:c>
      <x:c r="C189" s="2" t="str">
        <x:v>Wyline</x:v>
      </x:c>
      <x:c r="D189" s="2" t="str">
        <x:v>Program Director</x:v>
      </x:c>
      <x:c r="E189" s="26" t="str">
        <x:v>Accepted-output register; actual-vs-target dashboard; blocker/rescue assignments</x:v>
      </x:c>
      <x:c r="F189" s="2" t="n">
        <x:v>1</x:v>
      </x:c>
      <x:c r="G189" s="20"/>
      <x:c r="H189" s="2" t="str">
        <x:v>accepted output</x:v>
      </x:c>
      <x:c r="I189" s="20" t="str">
        <x:v>Ready</x:v>
      </x:c>
      <x:c r="J189" s="2" t="str">
        <x:v>16:45</x:v>
      </x:c>
      <x:c r="K189" s="28" t="str"/>
      <x:c r="L189" s="28" t="str"/>
      <x:c r="M189" s="20" t="str"/>
      <x:c r="N189" s="33"/>
      <x:c r="O189" s="20" t="str"/>
      <x:c r="P189" s="33"/>
      <x:c r="Q189" s="2" t="n">
        <x:f>IF(AND(AE189=1,COUNTIFS($A$7:$A$500,"T0067",$AE$7:$AE$500,1)=1,COUNTIFS($A$7:$A$500,"T0055",$AE$7:$AE$500,1)=1),1,0)</x:f>
        <x:v>0</x:v>
      </x:c>
      <x:c r="R189" s="2" t="str">
        <x:f>IF(AND(Q189=1,P189&lt;='Dashboard'!$B$5),IF(P189&gt;B189,"Accepted late","Accepted"),IF(B189&lt;'Dashboard'!$B$5,"Overdue",IF(I189="Blocked","Blocked",IF(B189='Dashboard'!$B$5,"Due today","Planned"))))</x:f>
        <x:v>Planned</x:v>
      </x:c>
      <x:c r="S189" s="26" t="str">
        <x:f>IF(I189="Accepted",IF(K189="","Add evidence",IF(O189="","Add reviewer",IF(P189="","Add accepted date",IF(AND(ISNUMBER(F189),COUNT(G189)=0),"Add actual quantity",IF(Q189=0,"Review target / date / dependencies","Complete"))))),IF(OR(I189="Blocked",I189="Deferred"),IF(L189="","Record blocker / reason",IF(M189="","Assign rescue owner",IF(N189="","Set recovery date","Recovery assigned"))),IF(B189&lt;'Dashboard'!$B$5,"Escalate and record recovery","Work to acceptance standard")))</x:f>
        <x:v>Work to acceptance standard</x:v>
      </x:c>
      <x:c r="T189" s="26" t="str">
        <x:v>T0067</x:v>
      </x:c>
      <x:c r="U189" s="26" t="str">
        <x:v>09:00 standup; 13:00/16:30 recovery checks; 17:00 acceptance. Every overdue task keeps original date and named recovery owner.</x:v>
      </x:c>
      <x:c r="V189" s="31" t="n">
        <x:v>3</x:v>
      </x:c>
      <x:c r="W189" s="26" t="str"/>
      <x:c r="X189" s="26" t="str">
        <x:v>DSI Reset PDF: lane responsibilities and dated runbook; dated allocation proposed for this tracker.</x:v>
      </x:c>
      <x:c r="Y189" s="30" t="n">
        <x:f>B189-WEEKDAY(B189,2)+1</x:f>
        <x:v>46335</x:v>
      </x:c>
      <x:c r="Z189" s="2" t="str">
        <x:v>checklist</x:v>
      </x:c>
      <x:c r="AA189" s="2" t="n">
        <x:f>IF(Q189=1,IF(P189&gt;B189,1,0),0)</x:f>
        <x:v>0</x:v>
      </x:c>
      <x:c r="AB189" s="2" t="n">
        <x:f>IF(AND(Q189=1,P189&lt;='Dashboard'!$B$5),0,MAX(0,'Dashboard'!$B$5-B189))</x:f>
        <x:v>0</x:v>
      </x:c>
      <x:c r="AC189" s="28" t="str"/>
      <x:c r="AD189" s="2" t="str">
        <x:f>IF(AND(ISNUMBER(F189),ISNUMBER(G189)),G189-F189,"")</x:f>
      </x:c>
      <x:c r="AE189" s="2" t="n">
        <x:f>IF(AND(I189="Accepted",K189&lt;&gt;"",O189&lt;&gt;"",ISNUMBER(P189),P189&gt;0,P189&lt;='Dashboard'!$B$5,IF(ISNUMBER(F189),ISNUMBER(G189),TRUE),IF(ISNUMBER(F189),G189&gt;=F189,TRUE)),1,0)</x:f>
        <x:v>0</x:v>
      </x:c>
    </x:row>
    <x:row r="190" ht="58" customHeight="1">
      <x:c r="A190" s="2" t="str">
        <x:v>T0164</x:v>
      </x:c>
      <x:c r="B190" s="30" t="n">
        <x:v>46339</x:v>
      </x:c>
      <x:c r="C190" s="2" t="str">
        <x:v>Kenneth</x:v>
      </x:c>
      <x:c r="D190" s="2" t="str">
        <x:v>Message Orchestrator</x:v>
      </x:c>
      <x:c r="E190" s="26" t="str">
        <x:v>One-variable hypothesis/decision log</x:v>
      </x:c>
      <x:c r="F190" s="2" t="n">
        <x:v>1</x:v>
      </x:c>
      <x:c r="G190" s="20"/>
      <x:c r="H190" s="2" t="str">
        <x:v>accepted output</x:v>
      </x:c>
      <x:c r="I190" s="20" t="str">
        <x:v>Ready</x:v>
      </x:c>
      <x:c r="J190" s="2" t="str">
        <x:v>16:45</x:v>
      </x:c>
      <x:c r="K190" s="28" t="str"/>
      <x:c r="L190" s="28" t="str"/>
      <x:c r="M190" s="20" t="str"/>
      <x:c r="N190" s="33"/>
      <x:c r="O190" s="20" t="str"/>
      <x:c r="P190" s="33"/>
      <x:c r="Q190" s="2" t="n">
        <x:f>IF(AND(AE190=1,COUNTIFS($A$7:$A$500,"T0067",$AE$7:$AE$500,1)=1,COUNTIFS($A$7:$A$500,"T0055",$AE$7:$AE$500,1)=1),1,0)</x:f>
        <x:v>0</x:v>
      </x:c>
      <x:c r="R190" s="2" t="str">
        <x:f>IF(AND(Q190=1,P190&lt;='Dashboard'!$B$5),IF(P190&gt;B190,"Accepted late","Accepted"),IF(B190&lt;'Dashboard'!$B$5,"Overdue",IF(I190="Blocked","Blocked",IF(B190='Dashboard'!$B$5,"Due today","Planned"))))</x:f>
        <x:v>Planned</x:v>
      </x:c>
      <x:c r="S190" s="26" t="str">
        <x:f>IF(I190="Accepted",IF(K190="","Add evidence",IF(O190="","Add reviewer",IF(P190="","Add accepted date",IF(AND(ISNUMBER(F190),COUNT(G190)=0),"Add actual quantity",IF(Q190=0,"Review target / date / dependencies","Complete"))))),IF(OR(I190="Blocked",I190="Deferred"),IF(L190="","Record blocker / reason",IF(M190="","Assign rescue owner",IF(N190="","Set recovery date","Recovery assigned"))),IF(B190&lt;'Dashboard'!$B$5,"Escalate and record recovery","Work to acceptance standard")))</x:f>
        <x:v>Work to acceptance standard</x:v>
      </x:c>
      <x:c r="T190" s="26" t="str">
        <x:v>T0067</x:v>
      </x:c>
      <x:c r="U190" s="26" t="str">
        <x:v>Two hours per week reserved for social within Kenneth’s cap. Across each 12-post cycle use 6 Engage / 4 Educate / 2 Promote, with promotion no more than once per fortnight. Wyline approves the exact version before publishing.</x:v>
      </x:c>
      <x:c r="V190" s="31" t="n">
        <x:v>2.4</x:v>
      </x:c>
      <x:c r="W190" s="26" t="str"/>
      <x:c r="X190" s="26" t="str">
        <x:v>DSI Reset PDF: lane responsibilities and dated runbook; dated allocation proposed for this tracker.</x:v>
      </x:c>
      <x:c r="Y190" s="30" t="n">
        <x:f>B190-WEEKDAY(B190,2)+1</x:f>
        <x:v>46335</x:v>
      </x:c>
      <x:c r="Z190" s="2" t="str">
        <x:v>checklist</x:v>
      </x:c>
      <x:c r="AA190" s="2" t="n">
        <x:f>IF(Q190=1,IF(P190&gt;B190,1,0),0)</x:f>
        <x:v>0</x:v>
      </x:c>
      <x:c r="AB190" s="2" t="n">
        <x:f>IF(AND(Q190=1,P190&lt;='Dashboard'!$B$5),0,MAX(0,'Dashboard'!$B$5-B190))</x:f>
        <x:v>0</x:v>
      </x:c>
      <x:c r="AC190" s="28" t="str"/>
      <x:c r="AD190" s="2" t="str">
        <x:f>IF(AND(ISNUMBER(F190),ISNUMBER(G190)),G190-F190,"")</x:f>
      </x:c>
      <x:c r="AE190" s="2" t="n">
        <x:f>IF(AND(I190="Accepted",K190&lt;&gt;"",O190&lt;&gt;"",ISNUMBER(P190),P190&gt;0,P190&lt;='Dashboard'!$B$5,IF(ISNUMBER(F190),ISNUMBER(G190),TRUE),IF(ISNUMBER(F190),G190&gt;=F190,TRUE)),1,0)</x:f>
        <x:v>0</x:v>
      </x:c>
    </x:row>
    <x:row r="191" ht="58" customHeight="1">
      <x:c r="A191" s="2" t="str">
        <x:v>T0165</x:v>
      </x:c>
      <x:c r="B191" s="30" t="n">
        <x:v>46339</x:v>
      </x:c>
      <x:c r="C191" s="2" t="str">
        <x:v>Joey</x:v>
      </x:c>
      <x:c r="D191" s="2" t="str">
        <x:v>Data Orchestrator</x:v>
      </x:c>
      <x:c r="E191" s="26" t="str">
        <x:v>Mailbox/bounce/suppression log; ready verified records; due-follow up versus new-send capacity plan.</x:v>
      </x:c>
      <x:c r="F191" s="2" t="n">
        <x:v>1</x:v>
      </x:c>
      <x:c r="G191" s="20"/>
      <x:c r="H191" s="2" t="str">
        <x:v>verified queue and health check</x:v>
      </x:c>
      <x:c r="I191" s="20" t="str">
        <x:v>Ready</x:v>
      </x:c>
      <x:c r="J191" s="2" t="str">
        <x:v>16:45</x:v>
      </x:c>
      <x:c r="K191" s="28" t="str"/>
      <x:c r="L191" s="28" t="str"/>
      <x:c r="M191" s="20" t="str"/>
      <x:c r="N191" s="33"/>
      <x:c r="O191" s="20" t="str"/>
      <x:c r="P191" s="33"/>
      <x:c r="Q191" s="2" t="n">
        <x:f>IF(AND(AE191=1,COUNTIFS($A$7:$A$500,"T0067",$AE$7:$AE$500,1)=1,COUNTIFS($A$7:$A$500,"T0055",$AE$7:$AE$500,1)=1),1,0)</x:f>
        <x:v>0</x:v>
      </x:c>
      <x:c r="R191" s="2" t="str">
        <x:f>IF(AND(Q191=1,P191&lt;='Dashboard'!$B$5),IF(P191&gt;B191,"Accepted late","Accepted"),IF(B191&lt;'Dashboard'!$B$5,"Overdue",IF(I191="Blocked","Blocked",IF(B191='Dashboard'!$B$5,"Due today","Planned"))))</x:f>
        <x:v>Planned</x:v>
      </x:c>
      <x:c r="S191" s="26" t="str">
        <x:f>IF(I191="Accepted",IF(K191="","Add evidence",IF(O191="","Add reviewer",IF(P191="","Add accepted date",IF(AND(ISNUMBER(F191),COUNT(G191)=0),"Add actual quantity",IF(Q191=0,"Review target / date / dependencies","Complete"))))),IF(OR(I191="Blocked",I191="Deferred"),IF(L191="","Record blocker / reason",IF(M191="","Assign rescue owner",IF(N191="","Set recovery date","Recovery assigned"))),IF(B191&lt;'Dashboard'!$B$5,"Escalate and record recovery","Work to acceptance standard")))</x:f>
        <x:v>Work to acceptance standard</x:v>
      </x:c>
      <x:c r="T191" s="26" t="str">
        <x:v>T0067</x:v>
      </x:c>
      <x:c r="U191" s="26" t="str">
        <x:v>Planning pool addition 0 contacts today; quality gate wins over quota. Total sends&lt;=150/day;&gt;3% bounce affected mailbox held. No new cold enrollments on reduced/buffer days.</x:v>
      </x:c>
      <x:c r="V191" s="31" t="n">
        <x:v>3</x:v>
      </x:c>
      <x:c r="W191" s="26" t="str"/>
      <x:c r="X191" s="26" t="str">
        <x:v>DSI Reset PDF: lane responsibilities and dated runbook; dated allocation proposed for this tracker.</x:v>
      </x:c>
      <x:c r="Y191" s="30" t="n">
        <x:f>B191-WEEKDAY(B191,2)+1</x:f>
        <x:v>46335</x:v>
      </x:c>
      <x:c r="Z191" s="2" t="str">
        <x:v>checklist</x:v>
      </x:c>
      <x:c r="AA191" s="2" t="n">
        <x:f>IF(Q191=1,IF(P191&gt;B191,1,0),0)</x:f>
        <x:v>0</x:v>
      </x:c>
      <x:c r="AB191" s="2" t="n">
        <x:f>IF(AND(Q191=1,P191&lt;='Dashboard'!$B$5),0,MAX(0,'Dashboard'!$B$5-B191))</x:f>
        <x:v>0</x:v>
      </x:c>
      <x:c r="AC191" s="28" t="str"/>
      <x:c r="AD191" s="2" t="str">
        <x:f>IF(AND(ISNUMBER(F191),ISNUMBER(G191)),G191-F191,"")</x:f>
      </x:c>
      <x:c r="AE191" s="2" t="n">
        <x:f>IF(AND(I191="Accepted",K191&lt;&gt;"",O191&lt;&gt;"",ISNUMBER(P191),P191&gt;0,P191&lt;='Dashboard'!$B$5,IF(ISNUMBER(F191),ISNUMBER(G191),TRUE),IF(ISNUMBER(F191),G191&gt;=F191,TRUE)),1,0)</x:f>
        <x:v>0</x:v>
      </x:c>
    </x:row>
    <x:row r="192" ht="58" customHeight="1">
      <x:c r="A192" s="2" t="str">
        <x:v>T0166</x:v>
      </x:c>
      <x:c r="B192" s="30" t="n">
        <x:v>46339</x:v>
      </x:c>
      <x:c r="C192" s="2" t="str">
        <x:v>Nova</x:v>
      </x:c>
      <x:c r="D192" s="2" t="str">
        <x:v>Conversion Orchestrator</x:v>
      </x:c>
      <x:c r="E192" s="26" t="str">
        <x:v>Coverage/SLA evidence; 2 call reviews; booked/held updates; next-step and trial handoffs. Log each unique qualified inquiry with practice type, decision-maker access, case volume, service need and readiness timing.</x:v>
      </x:c>
      <x:c r="F192" s="2" t="n">
        <x:v>1</x:v>
      </x:c>
      <x:c r="G192" s="20"/>
      <x:c r="H192" s="2" t="str">
        <x:v>accepted output</x:v>
      </x:c>
      <x:c r="I192" s="20" t="str">
        <x:v>Ready</x:v>
      </x:c>
      <x:c r="J192" s="2" t="str">
        <x:v>16:45</x:v>
      </x:c>
      <x:c r="K192" s="28" t="str"/>
      <x:c r="L192" s="28" t="str"/>
      <x:c r="M192" s="20" t="str"/>
      <x:c r="N192" s="33"/>
      <x:c r="O192" s="20" t="str"/>
      <x:c r="P192" s="33"/>
      <x:c r="Q192" s="2" t="n">
        <x:f>IF(AND(AE192=1,COUNTIFS($A$7:$A$500,"T0067",$AE$7:$AE$500,1)=1,COUNTIFS($A$7:$A$500,"T0055",$AE$7:$AE$500,1)=1),1,0)</x:f>
        <x:v>0</x:v>
      </x:c>
      <x:c r="R192" s="2" t="str">
        <x:f>IF(AND(Q192=1,P192&lt;='Dashboard'!$B$5),IF(P192&gt;B192,"Accepted late","Accepted"),IF(B192&lt;'Dashboard'!$B$5,"Overdue",IF(I192="Blocked","Blocked",IF(B192='Dashboard'!$B$5,"Due today","Planned"))))</x:f>
        <x:v>Planned</x:v>
      </x:c>
      <x:c r="S192" s="26" t="str">
        <x:f>IF(I192="Accepted",IF(K192="","Add evidence",IF(O192="","Add reviewer",IF(P192="","Add accepted date",IF(AND(ISNUMBER(F192),COUNT(G192)=0),"Add actual quantity",IF(Q192=0,"Review target / date / dependencies","Complete"))))),IF(OR(I192="Blocked",I192="Deferred"),IF(L192="","Record blocker / reason",IF(M192="","Assign rescue owner",IF(N192="","Set recovery date","Recovery assigned"))),IF(B192&lt;'Dashboard'!$B$5,"Escalate and record recovery","Work to acceptance standard")))</x:f>
        <x:v>Work to acceptance standard</x:v>
      </x:c>
      <x:c r="T192" s="26" t="str">
        <x:v>T0067</x:v>
      </x:c>
      <x:c r="U192" s="26" t="str">
        <x:v>Every eligible reply&lt;=15 min; positive call&lt;=60 min; no opportunity without next step; booked brief to Nic; trial logistics to Maseeha. Raw contacts, opens and accepts never count as qualified inquiries; deduplicate across channels.</x:v>
      </x:c>
      <x:c r="V192" s="31" t="n">
        <x:v>4</x:v>
      </x:c>
      <x:c r="W192" s="26" t="str"/>
      <x:c r="X192" s="26" t="str">
        <x:v>DSI Reset PDF: lane responsibilities and dated runbook; dated allocation proposed for this tracker.</x:v>
      </x:c>
      <x:c r="Y192" s="30" t="n">
        <x:f>B192-WEEKDAY(B192,2)+1</x:f>
        <x:v>46335</x:v>
      </x:c>
      <x:c r="Z192" s="2" t="str">
        <x:v>checklist</x:v>
      </x:c>
      <x:c r="AA192" s="2" t="n">
        <x:f>IF(Q192=1,IF(P192&gt;B192,1,0),0)</x:f>
        <x:v>0</x:v>
      </x:c>
      <x:c r="AB192" s="2" t="n">
        <x:f>IF(AND(Q192=1,P192&lt;='Dashboard'!$B$5),0,MAX(0,'Dashboard'!$B$5-B192))</x:f>
        <x:v>0</x:v>
      </x:c>
      <x:c r="AC192" s="28" t="str"/>
      <x:c r="AD192" s="2" t="str">
        <x:f>IF(AND(ISNUMBER(F192),ISNUMBER(G192)),G192-F192,"")</x:f>
      </x:c>
      <x:c r="AE192" s="2" t="n">
        <x:f>IF(AND(I192="Accepted",K192&lt;&gt;"",O192&lt;&gt;"",ISNUMBER(P192),P192&gt;0,P192&lt;='Dashboard'!$B$5,IF(ISNUMBER(F192),ISNUMBER(G192),TRUE),IF(ISNUMBER(F192),G192&gt;=F192,TRUE)),1,0)</x:f>
        <x:v>0</x:v>
      </x:c>
    </x:row>
    <x:row r="193" ht="58" customHeight="1">
      <x:c r="A193" s="2" t="str">
        <x:v>T0167</x:v>
      </x:c>
      <x:c r="B193" s="30" t="n">
        <x:v>46339</x:v>
      </x:c>
      <x:c r="C193" s="2" t="str">
        <x:v>Emman</x:v>
      </x:c>
      <x:c r="D193" s="2" t="str">
        <x:v>AI Build Orchestrator</x:v>
      </x:c>
      <x:c r="E193" s="26" t="str">
        <x:v>Health/retry log; one acceptance-backed build increment; updated change log</x:v>
      </x:c>
      <x:c r="F193" s="2" t="n">
        <x:v>1</x:v>
      </x:c>
      <x:c r="G193" s="20"/>
      <x:c r="H193" s="2" t="str">
        <x:v>accepted output</x:v>
      </x:c>
      <x:c r="I193" s="20" t="str">
        <x:v>Ready</x:v>
      </x:c>
      <x:c r="J193" s="2" t="str">
        <x:v>16:45</x:v>
      </x:c>
      <x:c r="K193" s="28" t="str"/>
      <x:c r="L193" s="28" t="str"/>
      <x:c r="M193" s="20" t="str"/>
      <x:c r="N193" s="33"/>
      <x:c r="O193" s="20" t="str"/>
      <x:c r="P193" s="33"/>
      <x:c r="Q193" s="2" t="n">
        <x:f>IF(AND(AE193=1,COUNTIFS($A$7:$A$500,"T0067",$AE$7:$AE$500,1)=1,COUNTIFS($A$7:$A$500,"T0055",$AE$7:$AE$500,1)=1),1,0)</x:f>
        <x:v>0</x:v>
      </x:c>
      <x:c r="R193" s="2" t="str">
        <x:f>IF(AND(Q193=1,P193&lt;='Dashboard'!$B$5),IF(P193&gt;B193,"Accepted late","Accepted"),IF(B193&lt;'Dashboard'!$B$5,"Overdue",IF(I193="Blocked","Blocked",IF(B193='Dashboard'!$B$5,"Due today","Planned"))))</x:f>
        <x:v>Planned</x:v>
      </x:c>
      <x:c r="S193" s="26" t="str">
        <x:f>IF(I193="Accepted",IF(K193="","Add evidence",IF(O193="","Add reviewer",IF(P193="","Add accepted date",IF(AND(ISNUMBER(F193),COUNT(G193)=0),"Add actual quantity",IF(Q193=0,"Review target / date / dependencies","Complete"))))),IF(OR(I193="Blocked",I193="Deferred"),IF(L193="","Record blocker / reason",IF(M193="","Assign rescue owner",IF(N193="","Set recovery date","Recovery assigned"))),IF(B193&lt;'Dashboard'!$B$5,"Escalate and record recovery","Work to acceptance standard")))</x:f>
        <x:v>Work to acceptance standard</x:v>
      </x:c>
      <x:c r="T193" s="26" t="str">
        <x:v>T0067</x:v>
      </x:c>
      <x:c r="U193" s="26" t="str">
        <x:v>Fix a failing live agent beforestarting the next build. If an agent is still not working 48 hours after its due date, activate the manual SOP. Roll back a live failure within 1 hour. Release build reserve when no approved work remains.</x:v>
      </x:c>
      <x:c r="V193" s="31" t="n">
        <x:v>4</x:v>
      </x:c>
      <x:c r="W193" s="26" t="str"/>
      <x:c r="X193" s="26" t="str">
        <x:v>DSI Reset PDF: lane responsibilities and dated runbook; dated allocation proposed for this tracker.</x:v>
      </x:c>
      <x:c r="Y193" s="30" t="n">
        <x:f>B193-WEEKDAY(B193,2)+1</x:f>
        <x:v>46335</x:v>
      </x:c>
      <x:c r="Z193" s="2" t="str">
        <x:v>checklist</x:v>
      </x:c>
      <x:c r="AA193" s="2" t="n">
        <x:f>IF(Q193=1,IF(P193&gt;B193,1,0),0)</x:f>
        <x:v>0</x:v>
      </x:c>
      <x:c r="AB193" s="2" t="n">
        <x:f>IF(AND(Q193=1,P193&lt;='Dashboard'!$B$5),0,MAX(0,'Dashboard'!$B$5-B193))</x:f>
        <x:v>0</x:v>
      </x:c>
      <x:c r="AC193" s="28" t="str"/>
      <x:c r="AD193" s="2" t="str">
        <x:f>IF(AND(ISNUMBER(F193),ISNUMBER(G193)),G193-F193,"")</x:f>
      </x:c>
      <x:c r="AE193" s="2" t="n">
        <x:f>IF(AND(I193="Accepted",K193&lt;&gt;"",O193&lt;&gt;"",ISNUMBER(P193),P193&gt;0,P193&lt;='Dashboard'!$B$5,IF(ISNUMBER(F193),ISNUMBER(G193),TRUE),IF(ISNUMBER(F193),G193&gt;=F193,TRUE)),1,0)</x:f>
        <x:v>0</x:v>
      </x:c>
    </x:row>
    <x:row r="194" ht="58" customHeight="1">
      <x:c r="A194" s="2" t="str">
        <x:v>T0168</x:v>
      </x:c>
      <x:c r="B194" s="30" t="n">
        <x:v>46339</x:v>
      </x:c>
      <x:c r="C194" s="2" t="str">
        <x:v>Ludwig</x:v>
      </x:c>
      <x:c r="D194" s="2" t="str">
        <x:v>Integration Engineer</x:v>
      </x:c>
      <x:c r="E194" s="26" t="str">
        <x:v>Webhook/error/dead-letter check; top assigned integration ticket or verified no-ticket note</x:v>
      </x:c>
      <x:c r="F194" s="2" t="n">
        <x:v>1</x:v>
      </x:c>
      <x:c r="G194" s="20"/>
      <x:c r="H194" s="2" t="str">
        <x:v>accepted output</x:v>
      </x:c>
      <x:c r="I194" s="20" t="str">
        <x:v>Ready</x:v>
      </x:c>
      <x:c r="J194" s="2" t="str">
        <x:v>16:45</x:v>
      </x:c>
      <x:c r="K194" s="28" t="str"/>
      <x:c r="L194" s="28" t="str"/>
      <x:c r="M194" s="20" t="str"/>
      <x:c r="N194" s="33"/>
      <x:c r="O194" s="20" t="str"/>
      <x:c r="P194" s="33"/>
      <x:c r="Q194" s="2" t="n">
        <x:f>IF(AND(AE194=1,COUNTIFS($A$7:$A$500,"T0067",$AE$7:$AE$500,1)=1,COUNTIFS($A$7:$A$500,"T0055",$AE$7:$AE$500,1)=1),1,0)</x:f>
        <x:v>0</x:v>
      </x:c>
      <x:c r="R194" s="2" t="str">
        <x:f>IF(AND(Q194=1,P194&lt;='Dashboard'!$B$5),IF(P194&gt;B194,"Accepted late","Accepted"),IF(B194&lt;'Dashboard'!$B$5,"Overdue",IF(I194="Blocked","Blocked",IF(B194='Dashboard'!$B$5,"Due today","Planned"))))</x:f>
        <x:v>Planned</x:v>
      </x:c>
      <x:c r="S194" s="26" t="str">
        <x:f>IF(I194="Accepted",IF(K194="","Add evidence",IF(O194="","Add reviewer",IF(P194="","Add accepted date",IF(AND(ISNUMBER(F194),COUNT(G194)=0),"Add actual quantity",IF(Q194=0,"Review target / date / dependencies","Complete"))))),IF(OR(I194="Blocked",I194="Deferred"),IF(L194="","Record blocker / reason",IF(M194="","Assign rescue owner",IF(N194="","Set recovery date","Recovery assigned"))),IF(B194&lt;'Dashboard'!$B$5,"Escalate and record recovery","Work to acceptance standard")))</x:f>
        <x:v>Work to acceptance standard</x:v>
      </x:c>
      <x:c r="T194" s="26" t="str">
        <x:v>T0067</x:v>
      </x:c>
      <x:c r="U194" s="26" t="str">
        <x:v>Only Emman’s priority queue; 100% test capture; runbook/retry/rollback evidence. If no fault/ticket, release reserve; do not invent work.</x:v>
      </x:c>
      <x:c r="V194" s="31" t="n">
        <x:v>1.6</x:v>
      </x:c>
      <x:c r="W194" s="26" t="str"/>
      <x:c r="X194" s="26" t="str">
        <x:v>DSI Reset PDF: lane responsibilities and dated runbook; dated allocation proposed for this tracker.</x:v>
      </x:c>
      <x:c r="Y194" s="30" t="n">
        <x:f>B194-WEEKDAY(B194,2)+1</x:f>
        <x:v>46335</x:v>
      </x:c>
      <x:c r="Z194" s="2" t="str">
        <x:v>checklist</x:v>
      </x:c>
      <x:c r="AA194" s="2" t="n">
        <x:f>IF(Q194=1,IF(P194&gt;B194,1,0),0)</x:f>
        <x:v>0</x:v>
      </x:c>
      <x:c r="AB194" s="2" t="n">
        <x:f>IF(AND(Q194=1,P194&lt;='Dashboard'!$B$5),0,MAX(0,'Dashboard'!$B$5-B194))</x:f>
        <x:v>0</x:v>
      </x:c>
      <x:c r="AC194" s="28" t="str"/>
      <x:c r="AD194" s="2" t="str">
        <x:f>IF(AND(ISNUMBER(F194),ISNUMBER(G194)),G194-F194,"")</x:f>
      </x:c>
      <x:c r="AE194" s="2" t="n">
        <x:f>IF(AND(I194="Accepted",K194&lt;&gt;"",O194&lt;&gt;"",ISNUMBER(P194),P194&gt;0,P194&lt;='Dashboard'!$B$5,IF(ISNUMBER(F194),ISNUMBER(G194),TRUE),IF(ISNUMBER(F194),G194&gt;=F194,TRUE)),1,0)</x:f>
        <x:v>0</x:v>
      </x:c>
    </x:row>
    <x:row r="195" ht="58" customHeight="1">
      <x:c r="A195" s="2" t="str">
        <x:v>T0169</x:v>
      </x:c>
      <x:c r="B195" s="30" t="n">
        <x:v>46339</x:v>
      </x:c>
      <x:c r="C195" s="2" t="str">
        <x:v>Alvin</x:v>
      </x:c>
      <x:c r="D195" s="2" t="str">
        <x:v>CQL/GHL Implementation</x:v>
      </x:c>
      <x:c r="E195" s="26" t="str">
        <x:v>Stage/calendar/reminder QA; due workflow fixes</x:v>
      </x:c>
      <x:c r="F195" s="2" t="n">
        <x:v>1</x:v>
      </x:c>
      <x:c r="G195" s="20"/>
      <x:c r="H195" s="2" t="str">
        <x:v>accepted output</x:v>
      </x:c>
      <x:c r="I195" s="20" t="str">
        <x:v>Ready</x:v>
      </x:c>
      <x:c r="J195" s="2" t="str">
        <x:v>16:45</x:v>
      </x:c>
      <x:c r="K195" s="28" t="str"/>
      <x:c r="L195" s="28" t="str"/>
      <x:c r="M195" s="20" t="str"/>
      <x:c r="N195" s="33"/>
      <x:c r="O195" s="20" t="str"/>
      <x:c r="P195" s="33"/>
      <x:c r="Q195" s="2" t="n">
        <x:f>IF(AND(AE195=1,COUNTIFS($A$7:$A$500,"T0067",$AE$7:$AE$500,1)=1,COUNTIFS($A$7:$A$500,"T0055",$AE$7:$AE$500,1)=1),1,0)</x:f>
        <x:v>0</x:v>
      </x:c>
      <x:c r="R195" s="2" t="str">
        <x:f>IF(AND(Q195=1,P195&lt;='Dashboard'!$B$5),IF(P195&gt;B195,"Accepted late","Accepted"),IF(B195&lt;'Dashboard'!$B$5,"Overdue",IF(I195="Blocked","Blocked",IF(B195='Dashboard'!$B$5,"Due today","Planned"))))</x:f>
        <x:v>Planned</x:v>
      </x:c>
      <x:c r="S195" s="26" t="str">
        <x:f>IF(I195="Accepted",IF(K195="","Add evidence",IF(O195="","Add reviewer",IF(P195="","Add accepted date",IF(AND(ISNUMBER(F195),COUNT(G195)=0),"Add actual quantity",IF(Q195=0,"Review target / date / dependencies","Complete"))))),IF(OR(I195="Blocked",I195="Deferred"),IF(L195="","Record blocker / reason",IF(M195="","Assign rescue owner",IF(N195="","Set recovery date","Recovery assigned"))),IF(B195&lt;'Dashboard'!$B$5,"Escalate and record recovery","Work to acceptance standard")))</x:f>
        <x:v>Work to acceptance standard</x:v>
      </x:c>
      <x:c r="T195" s="26" t="str">
        <x:v>T0067</x:v>
      </x:c>
      <x:c r="U195" s="26" t="str">
        <x:v>No-show task&lt;=10 min; form/source fields correct; finish critical CRM defect same day. Facebook mirrors exact approved post; Instagram requires permissioned image.</x:v>
      </x:c>
      <x:c r="V195" s="31" t="n">
        <x:v>2</x:v>
      </x:c>
      <x:c r="W195" s="26" t="str"/>
      <x:c r="X195" s="26" t="str">
        <x:v>DSI Reset PDF: lane responsibilities and dated runbook; dated allocation proposed for this tracker.</x:v>
      </x:c>
      <x:c r="Y195" s="30" t="n">
        <x:f>B195-WEEKDAY(B195,2)+1</x:f>
        <x:v>46335</x:v>
      </x:c>
      <x:c r="Z195" s="2" t="str">
        <x:v>checklist</x:v>
      </x:c>
      <x:c r="AA195" s="2" t="n">
        <x:f>IF(Q195=1,IF(P195&gt;B195,1,0),0)</x:f>
        <x:v>0</x:v>
      </x:c>
      <x:c r="AB195" s="2" t="n">
        <x:f>IF(AND(Q195=1,P195&lt;='Dashboard'!$B$5),0,MAX(0,'Dashboard'!$B$5-B195))</x:f>
        <x:v>0</x:v>
      </x:c>
      <x:c r="AC195" s="28" t="str"/>
      <x:c r="AD195" s="2" t="str">
        <x:f>IF(AND(ISNUMBER(F195),ISNUMBER(G195)),G195-F195,"")</x:f>
      </x:c>
      <x:c r="AE195" s="2" t="n">
        <x:f>IF(AND(I195="Accepted",K195&lt;&gt;"",O195&lt;&gt;"",ISNUMBER(P195),P195&gt;0,P195&lt;='Dashboard'!$B$5,IF(ISNUMBER(F195),ISNUMBER(G195),TRUE),IF(ISNUMBER(F195),G195&gt;=F195,TRUE)),1,0)</x:f>
        <x:v>0</x:v>
      </x:c>
    </x:row>
    <x:row r="196" ht="58" customHeight="1">
      <x:c r="A196" s="2" t="str">
        <x:v>T0170</x:v>
      </x:c>
      <x:c r="B196" s="30" t="n">
        <x:v>46339</x:v>
      </x:c>
      <x:c r="C196" s="2" t="str">
        <x:v>Brian</x:v>
      </x:c>
      <x:c r="D196" s="2" t="str">
        <x:v>Web and Tracking</x:v>
      </x:c>
      <x:c r="E196" s="26" t="str">
        <x:v>One health-check result; at most one weekly change ticket or no-ticket note</x:v>
      </x:c>
      <x:c r="F196" s="2" t="n">
        <x:v>1</x:v>
      </x:c>
      <x:c r="G196" s="20"/>
      <x:c r="H196" s="2" t="str">
        <x:v>accepted output</x:v>
      </x:c>
      <x:c r="I196" s="20" t="str">
        <x:v>Ready</x:v>
      </x:c>
      <x:c r="J196" s="2" t="str">
        <x:v>16:45</x:v>
      </x:c>
      <x:c r="K196" s="28" t="str"/>
      <x:c r="L196" s="28" t="str"/>
      <x:c r="M196" s="20" t="str"/>
      <x:c r="N196" s="33"/>
      <x:c r="O196" s="20" t="str"/>
      <x:c r="P196" s="33"/>
      <x:c r="Q196" s="2" t="n">
        <x:f>IF(AND(AE196=1,COUNTIFS($A$7:$A$500,"T0067",$AE$7:$AE$500,1)=1,COUNTIFS($A$7:$A$500,"T0055",$AE$7:$AE$500,1)=1),1,0)</x:f>
        <x:v>0</x:v>
      </x:c>
      <x:c r="R196" s="2" t="str">
        <x:f>IF(AND(Q196=1,P196&lt;='Dashboard'!$B$5),IF(P196&gt;B196,"Accepted late","Accepted"),IF(B196&lt;'Dashboard'!$B$5,"Overdue",IF(I196="Blocked","Blocked",IF(B196='Dashboard'!$B$5,"Due today","Planned"))))</x:f>
        <x:v>Planned</x:v>
      </x:c>
      <x:c r="S196" s="26" t="str">
        <x:f>IF(I196="Accepted",IF(K196="","Add evidence",IF(O196="","Add reviewer",IF(P196="","Add accepted date",IF(AND(ISNUMBER(F196),COUNT(G196)=0),"Add actual quantity",IF(Q196=0,"Review target / date / dependencies","Complete"))))),IF(OR(I196="Blocked",I196="Deferred"),IF(L196="","Record blocker / reason",IF(M196="","Assign rescue owner",IF(N196="","Set recovery date","Recovery assigned"))),IF(B196&lt;'Dashboard'!$B$5,"Escalate and record recovery","Work to acceptance standard")))</x:f>
        <x:v>Work to acceptance standard</x:v>
      </x:c>
      <x:c r="T196" s="26" t="str">
        <x:v>T0067</x:v>
      </x:c>
      <x:c r="U196" s="26" t="str">
        <x:v>Form to CQL&lt;1 min; approved copy unchanged; no work manufactured if healthy; ongoing reserve&lt;=2 h/week.</x:v>
      </x:c>
      <x:c r="V196" s="31" t="n">
        <x:v>0.4</x:v>
      </x:c>
      <x:c r="W196" s="26" t="str"/>
      <x:c r="X196" s="26" t="str">
        <x:v>DSI Reset PDF: lane responsibilities and dated runbook; dated allocation proposed for this tracker.</x:v>
      </x:c>
      <x:c r="Y196" s="30" t="n">
        <x:f>B196-WEEKDAY(B196,2)+1</x:f>
        <x:v>46335</x:v>
      </x:c>
      <x:c r="Z196" s="2" t="str">
        <x:v>checklist</x:v>
      </x:c>
      <x:c r="AA196" s="2" t="n">
        <x:f>IF(Q196=1,IF(P196&gt;B196,1,0),0)</x:f>
        <x:v>0</x:v>
      </x:c>
      <x:c r="AB196" s="2" t="n">
        <x:f>IF(AND(Q196=1,P196&lt;='Dashboard'!$B$5),0,MAX(0,'Dashboard'!$B$5-B196))</x:f>
        <x:v>0</x:v>
      </x:c>
      <x:c r="AC196" s="28" t="str"/>
      <x:c r="AD196" s="2" t="str">
        <x:f>IF(AND(ISNUMBER(F196),ISNUMBER(G196)),G196-F196,"")</x:f>
      </x:c>
      <x:c r="AE196" s="2" t="n">
        <x:f>IF(AND(I196="Accepted",K196&lt;&gt;"",O196&lt;&gt;"",ISNUMBER(P196),P196&gt;0,P196&lt;='Dashboard'!$B$5,IF(ISNUMBER(F196),ISNUMBER(G196),TRUE),IF(ISNUMBER(F196),G196&gt;=F196,TRUE)),1,0)</x:f>
        <x:v>0</x:v>
      </x:c>
    </x:row>
    <x:row r="197" ht="58" customHeight="1">
      <x:c r="A197" s="2" t="str">
        <x:v>T0171</x:v>
      </x:c>
      <x:c r="B197" s="30" t="n">
        <x:v>46339</x:v>
      </x:c>
      <x:c r="C197" s="2" t="str">
        <x:v>Dexter</x:v>
      </x:c>
      <x:c r="D197" s="2" t="str">
        <x:v>LinkedIn Execution</x:v>
      </x:c>
      <x:c r="E197" s="26" t="str">
        <x:v>CQL logged DMs/accepts; eligible requests; referred interested replies; approved post evidence</x:v>
      </x:c>
      <x:c r="F197" s="2" t="n">
        <x:v>25</x:v>
      </x:c>
      <x:c r="G197" s="20"/>
      <x:c r="H197" s="2" t="str">
        <x:v>new request working target; eligible pool required</x:v>
      </x:c>
      <x:c r="I197" s="20" t="str">
        <x:v>Ready</x:v>
      </x:c>
      <x:c r="J197" s="2" t="str">
        <x:v>16:45</x:v>
      </x:c>
      <x:c r="K197" s="28" t="str"/>
      <x:c r="L197" s="28" t="str"/>
      <x:c r="M197" s="20" t="str"/>
      <x:c r="N197" s="33"/>
      <x:c r="O197" s="20" t="str"/>
      <x:c r="P197" s="33"/>
      <x:c r="Q197" s="2" t="n">
        <x:f>IF(AND(AE197=1,COUNTIFS($A$7:$A$500,"T0067",$AE$7:$AE$500,1)=1,COUNTIFS($A$7:$A$500,"T0055",$AE$7:$AE$500,1)=1),1,0)</x:f>
        <x:v>0</x:v>
      </x:c>
      <x:c r="R197" s="2" t="str">
        <x:f>IF(AND(Q197=1,P197&lt;='Dashboard'!$B$5),IF(P197&gt;B197,"Accepted late","Accepted"),IF(B197&lt;'Dashboard'!$B$5,"Overdue",IF(I197="Blocked","Blocked",IF(B197='Dashboard'!$B$5,"Due today","Planned"))))</x:f>
        <x:v>Planned</x:v>
      </x:c>
      <x:c r="S197" s="26" t="str">
        <x:f>IF(I197="Accepted",IF(K197="","Add evidence",IF(O197="","Add reviewer",IF(P197="","Add accepted date",IF(AND(ISNUMBER(F197),COUNT(G197)=0),"Add actual quantity",IF(Q197=0,"Review target / date / dependencies","Complete"))))),IF(OR(I197="Blocked",I197="Deferred"),IF(L197="","Record blocker / reason",IF(M197="","Assign rescue owner",IF(N197="","Set recovery date","Recovery assigned"))),IF(B197&lt;'Dashboard'!$B$5,"Escalate and record recovery","Work to acceptance standard")))</x:f>
        <x:v>Work to acceptance standard</x:v>
      </x:c>
      <x:c r="T197" s="26" t="str">
        <x:v>T0067</x:v>
      </x:c>
      <x:c r="U197"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197" s="31" t="n">
        <x:v>3</x:v>
      </x:c>
      <x:c r="W197" s="26" t="str"/>
      <x:c r="X197" s="26" t="str">
        <x:v>DSI Reset PDF: lane responsibilities and dated runbook; dated allocation proposed for this tracker.</x:v>
      </x:c>
      <x:c r="Y197" s="30" t="n">
        <x:f>B197-WEEKDAY(B197,2)+1</x:f>
        <x:v>46335</x:v>
      </x:c>
      <x:c r="Z197" s="2" t="str">
        <x:v>capacity</x:v>
      </x:c>
      <x:c r="AA197" s="2" t="n">
        <x:f>IF(Q197=1,IF(P197&gt;B197,1,0),0)</x:f>
        <x:v>0</x:v>
      </x:c>
      <x:c r="AB197" s="2" t="n">
        <x:f>IF(AND(Q197=1,P197&lt;='Dashboard'!$B$5),0,MAX(0,'Dashboard'!$B$5-B197))</x:f>
        <x:v>0</x:v>
      </x:c>
      <x:c r="AC197" s="28" t="str"/>
      <x:c r="AD197" s="2" t="str">
        <x:f>IF(AND(ISNUMBER(F197),ISNUMBER(G197)),G197-F197,"")</x:f>
      </x:c>
      <x:c r="AE197" s="2" t="n">
        <x:f>IF(AND(I197="Accepted",K197&lt;&gt;"",O197&lt;&gt;"",ISNUMBER(P197),P197&gt;0,P197&lt;='Dashboard'!$B$5,IF(ISNUMBER(F197),ISNUMBER(G197),TRUE),IF(ISNUMBER(F197),OR(G197&gt;=F197,AC197&lt;&gt;""),TRUE)),1,0)</x:f>
        <x:v>0</x:v>
      </x:c>
    </x:row>
    <x:row r="198" ht="58" customHeight="1">
      <x:c r="A198" s="2" t="str">
        <x:v>T0172</x:v>
      </x:c>
      <x:c r="B198" s="30" t="n">
        <x:v>46339</x:v>
      </x:c>
      <x:c r="C198" s="2" t="str">
        <x:v>Setter 1</x:v>
      </x:c>
      <x:c r="D198" s="2" t="str">
        <x:v>Reply and Phone Setter</x:v>
      </x:c>
      <x:c r="E198" s="26" t="str">
        <x:v>SLA/call outcome log; bookings and next steps; handoff to Nova</x:v>
      </x:c>
      <x:c r="F198" s="2" t="n">
        <x:v>50</x:v>
      </x:c>
      <x:c r="G198" s="20"/>
      <x:c r="H198" s="2" t="str">
        <x:v>dial working target; inbound SLA takes priority</x:v>
      </x:c>
      <x:c r="I198" s="20" t="str">
        <x:v>Ready</x:v>
      </x:c>
      <x:c r="J198" s="2" t="str">
        <x:v>16:45</x:v>
      </x:c>
      <x:c r="K198" s="28" t="str"/>
      <x:c r="L198" s="28" t="str"/>
      <x:c r="M198" s="20" t="str"/>
      <x:c r="N198" s="33"/>
      <x:c r="O198" s="20" t="str"/>
      <x:c r="P198" s="33"/>
      <x:c r="Q198" s="2" t="n">
        <x:f>IF(AND(AE198=1,COUNTIFS($A$7:$A$500,"T0013",$AE$7:$AE$500,1)=1,COUNTIFS($A$7:$A$500,"T0055",$AE$7:$AE$500,1)=1),1,0)</x:f>
        <x:v>0</x:v>
      </x:c>
      <x:c r="R198" s="2" t="str">
        <x:f>IF(AND(Q198=1,P198&lt;='Dashboard'!$B$5),IF(P198&gt;B198,"Accepted late","Accepted"),IF(B198&lt;'Dashboard'!$B$5,"Overdue",IF(I198="Blocked","Blocked",IF(B198='Dashboard'!$B$5,"Due today","Planned"))))</x:f>
        <x:v>Planned</x:v>
      </x:c>
      <x:c r="S198" s="26" t="str">
        <x:f>IF(I198="Accepted",IF(K198="","Add evidence",IF(O198="","Add reviewer",IF(P198="","Add accepted date",IF(AND(ISNUMBER(F198),COUNT(G198)=0),"Add actual quantity",IF(Q198=0,"Review target / date / dependencies","Complete"))))),IF(OR(I198="Blocked",I198="Deferred"),IF(L198="","Record blocker / reason",IF(M198="","Assign rescue owner",IF(N198="","Set recovery date","Recovery assigned"))),IF(B198&lt;'Dashboard'!$B$5,"Escalate and record recovery","Work to acceptance standard")))</x:f>
        <x:v>Work to acceptance standard</x:v>
      </x:c>
      <x:c r="T198" s="26" t="str">
        <x:v>T0013; T0055</x:v>
      </x:c>
      <x:c r="U19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98" s="31" t="n">
        <x:v>7.5</x:v>
      </x:c>
      <x:c r="W198" s="26" t="str"/>
      <x:c r="X198" s="26" t="str">
        <x:v>DSI Reset PDF: lane responsibilities and dated runbook; dated allocation proposed for this tracker.</x:v>
      </x:c>
      <x:c r="Y198" s="30" t="n">
        <x:f>B198-WEEKDAY(B198,2)+1</x:f>
        <x:v>46335</x:v>
      </x:c>
      <x:c r="Z198" s="2" t="str">
        <x:v>capacity</x:v>
      </x:c>
      <x:c r="AA198" s="2" t="n">
        <x:f>IF(Q198=1,IF(P198&gt;B198,1,0),0)</x:f>
        <x:v>0</x:v>
      </x:c>
      <x:c r="AB198" s="2" t="n">
        <x:f>IF(AND(Q198=1,P198&lt;='Dashboard'!$B$5),0,MAX(0,'Dashboard'!$B$5-B198))</x:f>
        <x:v>0</x:v>
      </x:c>
      <x:c r="AC198" s="28" t="str"/>
      <x:c r="AD198" s="2" t="str">
        <x:f>IF(AND(ISNUMBER(F198),ISNUMBER(G198)),G198-F198,"")</x:f>
      </x:c>
      <x:c r="AE198" s="2" t="n">
        <x:f>IF(AND(I198="Accepted",K198&lt;&gt;"",O198&lt;&gt;"",ISNUMBER(P198),P198&gt;0,P198&lt;='Dashboard'!$B$5,IF(ISNUMBER(F198),ISNUMBER(G198),TRUE),IF(ISNUMBER(F198),OR(G198&gt;=F198,AC198&lt;&gt;""),TRUE)),1,0)</x:f>
        <x:v>0</x:v>
      </x:c>
    </x:row>
    <x:row r="199" ht="58" customHeight="1">
      <x:c r="A199" s="2" t="str">
        <x:v>T0173</x:v>
      </x:c>
      <x:c r="B199" s="30" t="n">
        <x:v>46339</x:v>
      </x:c>
      <x:c r="C199" s="2" t="str">
        <x:v>Setter 2</x:v>
      </x:c>
      <x:c r="D199" s="2" t="str">
        <x:v>Reply and Phone Setter</x:v>
      </x:c>
      <x:c r="E199" s="26" t="str">
        <x:v>SLA/call outcome log; bookings and next steps; handoff to Nova</x:v>
      </x:c>
      <x:c r="F199" s="2" t="n">
        <x:v>50</x:v>
      </x:c>
      <x:c r="G199" s="20"/>
      <x:c r="H199" s="2" t="str">
        <x:v>dial working target; inbound SLA takes priority</x:v>
      </x:c>
      <x:c r="I199" s="20" t="str">
        <x:v>Ready</x:v>
      </x:c>
      <x:c r="J199" s="2" t="str">
        <x:v>16:45</x:v>
      </x:c>
      <x:c r="K199" s="28" t="str"/>
      <x:c r="L199" s="28" t="str"/>
      <x:c r="M199" s="20" t="str"/>
      <x:c r="N199" s="33"/>
      <x:c r="O199" s="20" t="str"/>
      <x:c r="P199" s="33"/>
      <x:c r="Q199" s="2" t="n">
        <x:f>IF(AND(AE199=1,COUNTIFS($A$7:$A$500,"T0013",$AE$7:$AE$500,1)=1,COUNTIFS($A$7:$A$500,"T0055",$AE$7:$AE$500,1)=1),1,0)</x:f>
        <x:v>0</x:v>
      </x:c>
      <x:c r="R199" s="2" t="str">
        <x:f>IF(AND(Q199=1,P199&lt;='Dashboard'!$B$5),IF(P199&gt;B199,"Accepted late","Accepted"),IF(B199&lt;'Dashboard'!$B$5,"Overdue",IF(I199="Blocked","Blocked",IF(B199='Dashboard'!$B$5,"Due today","Planned"))))</x:f>
        <x:v>Planned</x:v>
      </x:c>
      <x:c r="S199" s="26" t="str">
        <x:f>IF(I199="Accepted",IF(K199="","Add evidence",IF(O199="","Add reviewer",IF(P199="","Add accepted date",IF(AND(ISNUMBER(F199),COUNT(G199)=0),"Add actual quantity",IF(Q199=0,"Review target / date / dependencies","Complete"))))),IF(OR(I199="Blocked",I199="Deferred"),IF(L199="","Record blocker / reason",IF(M199="","Assign rescue owner",IF(N199="","Set recovery date","Recovery assigned"))),IF(B199&lt;'Dashboard'!$B$5,"Escalate and record recovery","Work to acceptance standard")))</x:f>
        <x:v>Work to acceptance standard</x:v>
      </x:c>
      <x:c r="T199" s="26" t="str">
        <x:v>T0013; T0055</x:v>
      </x:c>
      <x:c r="U199"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199" s="31" t="n">
        <x:v>7.5</x:v>
      </x:c>
      <x:c r="W199" s="26" t="str"/>
      <x:c r="X199" s="26" t="str">
        <x:v>DSI Reset PDF: lane responsibilities and dated runbook; dated allocation proposed for this tracker.</x:v>
      </x:c>
      <x:c r="Y199" s="30" t="n">
        <x:f>B199-WEEKDAY(B199,2)+1</x:f>
        <x:v>46335</x:v>
      </x:c>
      <x:c r="Z199" s="2" t="str">
        <x:v>capacity</x:v>
      </x:c>
      <x:c r="AA199" s="2" t="n">
        <x:f>IF(Q199=1,IF(P199&gt;B199,1,0),0)</x:f>
        <x:v>0</x:v>
      </x:c>
      <x:c r="AB199" s="2" t="n">
        <x:f>IF(AND(Q199=1,P199&lt;='Dashboard'!$B$5),0,MAX(0,'Dashboard'!$B$5-B199))</x:f>
        <x:v>0</x:v>
      </x:c>
      <x:c r="AC199" s="28" t="str"/>
      <x:c r="AD199" s="2" t="str">
        <x:f>IF(AND(ISNUMBER(F199),ISNUMBER(G199)),G199-F199,"")</x:f>
      </x:c>
      <x:c r="AE199" s="2" t="n">
        <x:f>IF(AND(I199="Accepted",K199&lt;&gt;"",O199&lt;&gt;"",ISNUMBER(P199),P199&gt;0,P199&lt;='Dashboard'!$B$5,IF(ISNUMBER(F199),ISNUMBER(G199),TRUE),IF(ISNUMBER(F199),OR(G199&gt;=F199,AC199&lt;&gt;""),TRUE)),1,0)</x:f>
        <x:v>0</x:v>
      </x:c>
    </x:row>
    <x:row r="200" ht="58" customHeight="1">
      <x:c r="A200" s="2" t="str">
        <x:v>T0451</x:v>
      </x:c>
      <x:c r="B200" s="30" t="n">
        <x:v>46339</x:v>
      </x:c>
      <x:c r="C200" s="2" t="str">
        <x:v>Nic</x:v>
      </x:c>
      <x:c r="D200" s="2" t="str">
        <x:v>Client dependency</x:v>
      </x:c>
      <x:c r="E200" s="26" t="str">
        <x:v>Call outcome/next step for every appointment due; first-case decisions</x:v>
      </x:c>
      <x:c r="F200" s="2" t="str"/>
      <x:c r="G200" s="20"/>
      <x:c r="H200" s="2" t="str">
        <x:v>all due appointments</x:v>
      </x:c>
      <x:c r="I200" s="20" t="str">
        <x:v>Ready</x:v>
      </x:c>
      <x:c r="J200" s="2" t="str">
        <x:v>16:45</x:v>
      </x:c>
      <x:c r="K200" s="28" t="str"/>
      <x:c r="L200" s="28" t="str"/>
      <x:c r="M200" s="20" t="str"/>
      <x:c r="N200" s="33"/>
      <x:c r="O200" s="20" t="str"/>
      <x:c r="P200" s="33"/>
      <x:c r="Q200" s="2" t="n">
        <x:f>IF(AND(AE200=1,COUNTIFS($A$7:$A$500,"T0028",$AE$7:$AE$500,1)=1),1,0)</x:f>
        <x:v>0</x:v>
      </x:c>
      <x:c r="R200" s="2" t="str">
        <x:f>IF(AND(Q200=1,P200&lt;='Dashboard'!$B$5),IF(P200&gt;B200,"Accepted late","Accepted"),IF(B200&lt;'Dashboard'!$B$5,"Overdue",IF(I200="Blocked","Blocked",IF(B200='Dashboard'!$B$5,"Due today","Planned"))))</x:f>
        <x:v>Planned</x:v>
      </x:c>
      <x:c r="S200" s="26" t="str">
        <x:f>IF(I200="Accepted",IF(K200="","Add evidence",IF(O200="","Add reviewer",IF(P200="","Add accepted date",IF(AND(ISNUMBER(F200),COUNT(G200)=0),"Add actual quantity",IF(Q200=0,"Review target / date / dependencies","Complete"))))),IF(OR(I200="Blocked",I200="Deferred"),IF(L200="","Record blocker / reason",IF(M200="","Assign rescue owner",IF(N200="","Set recovery date","Recovery assigned"))),IF(B200&lt;'Dashboard'!$B$5,"Escalate and record recovery","Work to acceptance standard")))</x:f>
        <x:v>Work to acceptance standard</x:v>
      </x:c>
      <x:c r="T200" s="26" t="str">
        <x:v>T0028</x:v>
      </x:c>
      <x:c r="U200" s="26" t="str">
        <x:v>Demand-linked: work actual approved calendar; setter brief present; outcome logged same day. No calls scheduled is N/A with calendar evidence.</x:v>
      </x:c>
      <x:c r="V200" s="31" t="n">
        <x:v>0.5</x:v>
      </x:c>
      <x:c r="W200" s="26" t="str"/>
      <x:c r="X200" s="26" t="str">
        <x:v>DSI Reset PDF: lane responsibilities and dated runbook; dated allocation proposed for this tracker.</x:v>
      </x:c>
      <x:c r="Y200" s="30" t="n">
        <x:f>B200-WEEKDAY(B200,2)+1</x:f>
        <x:v>46335</x:v>
      </x:c>
      <x:c r="Z200" s="2" t="str">
        <x:v>demand</x:v>
      </x:c>
      <x:c r="AA200" s="2" t="n">
        <x:f>IF(Q200=1,IF(P200&gt;B200,1,0),0)</x:f>
        <x:v>0</x:v>
      </x:c>
      <x:c r="AB200" s="2" t="n">
        <x:f>IF(AND(Q200=1,P200&lt;='Dashboard'!$B$5),0,MAX(0,'Dashboard'!$B$5-B200))</x:f>
        <x:v>0</x:v>
      </x:c>
      <x:c r="AC200" s="28" t="str"/>
      <x:c r="AD200" s="2" t="str">
        <x:f>IF(AND(ISNUMBER(F200),ISNUMBER(G200)),G200-F200,"")</x:f>
      </x:c>
      <x:c r="AE200" s="2" t="n">
        <x:f>IF(AND(I200="Accepted",K200&lt;&gt;"",O200&lt;&gt;"",ISNUMBER(P200),P200&gt;0,P200&lt;='Dashboard'!$B$5,IF(ISNUMBER(F200),ISNUMBER(G200),TRUE)),1,0)</x:f>
        <x:v>0</x:v>
      </x:c>
    </x:row>
    <x:row r="201" ht="58" customHeight="1">
      <x:c r="A201" s="2" t="str">
        <x:v>T0432</x:v>
      </x:c>
      <x:c r="B201" s="30" t="n">
        <x:v>46339</x:v>
      </x:c>
      <x:c r="C201" s="2" t="str">
        <x:v>Maseeha</x:v>
      </x:c>
      <x:c r="D201" s="2" t="str">
        <x:v>Client dependency</x:v>
      </x:c>
      <x:c r="E201" s="26" t="str">
        <x:v>5 A+20 B unique asks/outcomes. Planned asks today: 2 unique existing accounts; cumulative 25.</x:v>
      </x:c>
      <x:c r="F201" s="2" t="n">
        <x:v>1</x:v>
      </x:c>
      <x:c r="G201" s="20"/>
      <x:c r="H201" s="2" t="str">
        <x:v>accepted output</x:v>
      </x:c>
      <x:c r="I201" s="20" t="str">
        <x:v>Ready</x:v>
      </x:c>
      <x:c r="J201" s="2" t="str">
        <x:v>16:45</x:v>
      </x:c>
      <x:c r="K201" s="28" t="str"/>
      <x:c r="L201" s="28" t="str"/>
      <x:c r="M201" s="20" t="str"/>
      <x:c r="N201" s="33"/>
      <x:c r="O201" s="20" t="str"/>
      <x:c r="P201" s="33"/>
      <x:c r="Q201" s="2" t="n">
        <x:f>IF(AND(AE201=1,COUNTIFS($A$7:$A$500,"T0028",$AE$7:$AE$500,1)=1),1,0)</x:f>
        <x:v>0</x:v>
      </x:c>
      <x:c r="R201" s="2" t="str">
        <x:f>IF(AND(Q201=1,P201&lt;='Dashboard'!$B$5),IF(P201&gt;B201,"Accepted late","Accepted"),IF(B201&lt;'Dashboard'!$B$5,"Overdue",IF(I201="Blocked","Blocked",IF(B201='Dashboard'!$B$5,"Due today","Planned"))))</x:f>
        <x:v>Planned</x:v>
      </x:c>
      <x:c r="S201" s="26" t="str">
        <x:f>IF(I201="Accepted",IF(K201="","Add evidence",IF(O201="","Add reviewer",IF(P201="","Add accepted date",IF(AND(ISNUMBER(F201),COUNT(G201)=0),"Add actual quantity",IF(Q201=0,"Review target / date / dependencies","Complete"))))),IF(OR(I201="Blocked",I201="Deferred"),IF(L201="","Record blocker / reason",IF(M201="","Assign rescue owner",IF(N201="","Set recovery date","Recovery assigned"))),IF(B201&lt;'Dashboard'!$B$5,"Escalate and record recovery","Work to acceptance standard")))</x:f>
        <x:v>Work to acceptance standard</x:v>
      </x:c>
      <x:c r="T201" s="26" t="str">
        <x:v>T0028</x:v>
      </x:c>
      <x:c r="U201" s="26" t="str">
        <x:v>25 accounts asked; intro actuals reported separately.</x:v>
      </x:c>
      <x:c r="V201" s="31" t="n">
        <x:v>2</x:v>
      </x:c>
      <x:c r="W201" s="26" t="str"/>
      <x:c r="X201" s="26" t="str">
        <x:v>DSI Reset PDF: lane responsibilities and dated runbook; dated allocation proposed for this tracker.</x:v>
      </x:c>
      <x:c r="Y201" s="30" t="n">
        <x:f>B201-WEEKDAY(B201,2)+1</x:f>
        <x:v>46335</x:v>
      </x:c>
      <x:c r="Z201" s="2" t="str">
        <x:v>checklist</x:v>
      </x:c>
      <x:c r="AA201" s="2" t="n">
        <x:f>IF(Q201=1,IF(P201&gt;B201,1,0),0)</x:f>
        <x:v>0</x:v>
      </x:c>
      <x:c r="AB201" s="2" t="n">
        <x:f>IF(AND(Q201=1,P201&lt;='Dashboard'!$B$5),0,MAX(0,'Dashboard'!$B$5-B201))</x:f>
        <x:v>0</x:v>
      </x:c>
      <x:c r="AC201" s="28" t="str"/>
      <x:c r="AD201" s="2" t="str">
        <x:f>IF(AND(ISNUMBER(F201),ISNUMBER(G201)),G201-F201,"")</x:f>
      </x:c>
      <x:c r="AE201" s="2" t="n">
        <x:f>IF(AND(I201="Accepted",K201&lt;&gt;"",O201&lt;&gt;"",ISNUMBER(P201),P201&gt;0,P201&lt;='Dashboard'!$B$5,IF(ISNUMBER(F201),ISNUMBER(G201),TRUE),IF(ISNUMBER(F201),G201&gt;=F201,TRUE)),1,0)</x:f>
        <x:v>0</x:v>
      </x:c>
    </x:row>
    <x:row r="202" ht="58" customHeight="1">
      <x:c r="A202" s="2" t="str">
        <x:v>T0174</x:v>
      </x:c>
      <x:c r="B202" s="30" t="n">
        <x:v>46342</x:v>
      </x:c>
      <x:c r="C202" s="2" t="str">
        <x:v>Wyline</x:v>
      </x:c>
      <x:c r="D202" s="2" t="str">
        <x:v>Program Director</x:v>
      </x:c>
      <x:c r="E202" s="26" t="str">
        <x:v>Accepted-output register; actual-vs-target dashboard; blocker/rescue assignments</x:v>
      </x:c>
      <x:c r="F202" s="2" t="n">
        <x:v>1</x:v>
      </x:c>
      <x:c r="G202" s="20"/>
      <x:c r="H202" s="2" t="str">
        <x:v>accepted output</x:v>
      </x:c>
      <x:c r="I202" s="20" t="str">
        <x:v>Ready</x:v>
      </x:c>
      <x:c r="J202" s="2" t="str">
        <x:v>16:45</x:v>
      </x:c>
      <x:c r="K202" s="28" t="str"/>
      <x:c r="L202" s="28" t="str"/>
      <x:c r="M202" s="20" t="str"/>
      <x:c r="N202" s="33"/>
      <x:c r="O202" s="20" t="str"/>
      <x:c r="P202" s="33"/>
      <x:c r="Q202" s="2" t="n">
        <x:f>IF(AND(AE202=1,COUNTIFS($A$7:$A$500,"T0067",$AE$7:$AE$500,1)=1,COUNTIFS($A$7:$A$500,"T0055",$AE$7:$AE$500,1)=1),1,0)</x:f>
        <x:v>0</x:v>
      </x:c>
      <x:c r="R202" s="2" t="str">
        <x:f>IF(AND(Q202=1,P202&lt;='Dashboard'!$B$5),IF(P202&gt;B202,"Accepted late","Accepted"),IF(B202&lt;'Dashboard'!$B$5,"Overdue",IF(I202="Blocked","Blocked",IF(B202='Dashboard'!$B$5,"Due today","Planned"))))</x:f>
        <x:v>Planned</x:v>
      </x:c>
      <x:c r="S202" s="26" t="str">
        <x:f>IF(I202="Accepted",IF(K202="","Add evidence",IF(O202="","Add reviewer",IF(P202="","Add accepted date",IF(AND(ISNUMBER(F202),COUNT(G202)=0),"Add actual quantity",IF(Q202=0,"Review target / date / dependencies","Complete"))))),IF(OR(I202="Blocked",I202="Deferred"),IF(L202="","Record blocker / reason",IF(M202="","Assign rescue owner",IF(N202="","Set recovery date","Recovery assigned"))),IF(B202&lt;'Dashboard'!$B$5,"Escalate and record recovery","Work to acceptance standard")))</x:f>
        <x:v>Work to acceptance standard</x:v>
      </x:c>
      <x:c r="T202" s="26" t="str">
        <x:v>T0067</x:v>
      </x:c>
      <x:c r="U202" s="26" t="str">
        <x:v>09:00 standup; 13:00/16:30 recovery checks; 17:00 acceptance. Every overdue task keeps original date and named recovery owner.</x:v>
      </x:c>
      <x:c r="V202" s="31" t="n">
        <x:v>3</x:v>
      </x:c>
      <x:c r="W202" s="26" t="str"/>
      <x:c r="X202" s="26" t="str">
        <x:v>DSI Reset PDF: lane responsibilities and dated runbook; dated allocation proposed for this tracker.</x:v>
      </x:c>
      <x:c r="Y202" s="30" t="n">
        <x:f>B202-WEEKDAY(B202,2)+1</x:f>
        <x:v>46342</x:v>
      </x:c>
      <x:c r="Z202" s="2" t="str">
        <x:v>checklist</x:v>
      </x:c>
      <x:c r="AA202" s="2" t="n">
        <x:f>IF(Q202=1,IF(P202&gt;B202,1,0),0)</x:f>
        <x:v>0</x:v>
      </x:c>
      <x:c r="AB202" s="2" t="n">
        <x:f>IF(AND(Q202=1,P202&lt;='Dashboard'!$B$5),0,MAX(0,'Dashboard'!$B$5-B202))</x:f>
        <x:v>0</x:v>
      </x:c>
      <x:c r="AC202" s="28" t="str"/>
      <x:c r="AD202" s="2" t="str">
        <x:f>IF(AND(ISNUMBER(F202),ISNUMBER(G202)),G202-F202,"")</x:f>
      </x:c>
      <x:c r="AE202" s="2" t="n">
        <x:f>IF(AND(I202="Accepted",K202&lt;&gt;"",O202&lt;&gt;"",ISNUMBER(P202),P202&gt;0,P202&lt;='Dashboard'!$B$5,IF(ISNUMBER(F202),ISNUMBER(G202),TRUE),IF(ISNUMBER(F202),G202&gt;=F202,TRUE)),1,0)</x:f>
        <x:v>0</x:v>
      </x:c>
    </x:row>
    <x:row r="203" ht="58" customHeight="1">
      <x:c r="A203" s="2" t="str">
        <x:v>T0175</x:v>
      </x:c>
      <x:c r="B203" s="30" t="n">
        <x:v>46342</x:v>
      </x:c>
      <x:c r="C203" s="2" t="str">
        <x:v>Kenneth</x:v>
      </x:c>
      <x:c r="D203" s="2" t="str">
        <x:v>Message Orchestrator</x:v>
      </x:c>
      <x:c r="E203" s="26" t="str">
        <x:v>Human-reply insights; 5 Inbox draft checks; approved first lines; claim exceptions</x:v>
      </x:c>
      <x:c r="F203" s="2" t="n">
        <x:v>1</x:v>
      </x:c>
      <x:c r="G203" s="20"/>
      <x:c r="H203" s="2" t="str">
        <x:v>accepted output</x:v>
      </x:c>
      <x:c r="I203" s="20" t="str">
        <x:v>Ready</x:v>
      </x:c>
      <x:c r="J203" s="2" t="str">
        <x:v>16:45</x:v>
      </x:c>
      <x:c r="K203" s="28" t="str"/>
      <x:c r="L203" s="28" t="str"/>
      <x:c r="M203" s="20" t="str"/>
      <x:c r="N203" s="33"/>
      <x:c r="O203" s="20" t="str"/>
      <x:c r="P203" s="33"/>
      <x:c r="Q203" s="2" t="n">
        <x:f>IF(AND(AE203=1,COUNTIFS($A$7:$A$500,"T0067",$AE$7:$AE$500,1)=1,COUNTIFS($A$7:$A$500,"T0055",$AE$7:$AE$500,1)=1),1,0)</x:f>
        <x:v>0</x:v>
      </x:c>
      <x:c r="R203" s="2" t="str">
        <x:f>IF(AND(Q203=1,P203&lt;='Dashboard'!$B$5),IF(P203&gt;B203,"Accepted late","Accepted"),IF(B203&lt;'Dashboard'!$B$5,"Overdue",IF(I203="Blocked","Blocked",IF(B203='Dashboard'!$B$5,"Due today","Planned"))))</x:f>
        <x:v>Planned</x:v>
      </x:c>
      <x:c r="S203" s="26" t="str">
        <x:f>IF(I203="Accepted",IF(K203="","Add evidence",IF(O203="","Add reviewer",IF(P203="","Add accepted date",IF(AND(ISNUMBER(F203),COUNT(G203)=0),"Add actual quantity",IF(Q203=0,"Review target / date / dependencies","Complete"))))),IF(OR(I203="Blocked",I203="Deferred"),IF(L203="","Record blocker / reason",IF(M203="","Assign rescue owner",IF(N203="","Set recovery date","Recovery assigned"))),IF(B203&lt;'Dashboard'!$B$5,"Escalate and record recovery","Work to acceptance standard")))</x:f>
        <x:v>Work to acceptance standard</x:v>
      </x:c>
      <x:c r="T203" s="26" t="str">
        <x:v>T0067</x:v>
      </x:c>
      <x:c r="U203" s="26" t="str">
        <x:v>Zero invented claims. If any draft fails facts, stop drafting/retrain; no offer change without approval.</x:v>
      </x:c>
      <x:c r="V203" s="31" t="n">
        <x:v>2.4</x:v>
      </x:c>
      <x:c r="W203" s="26" t="str"/>
      <x:c r="X203" s="26" t="str">
        <x:v>DSI Reset PDF: lane responsibilities and dated runbook; dated allocation proposed for this tracker.</x:v>
      </x:c>
      <x:c r="Y203" s="30" t="n">
        <x:f>B203-WEEKDAY(B203,2)+1</x:f>
        <x:v>46342</x:v>
      </x:c>
      <x:c r="Z203" s="2" t="str">
        <x:v>checklist</x:v>
      </x:c>
      <x:c r="AA203" s="2" t="n">
        <x:f>IF(Q203=1,IF(P203&gt;B203,1,0),0)</x:f>
        <x:v>0</x:v>
      </x:c>
      <x:c r="AB203" s="2" t="n">
        <x:f>IF(AND(Q203=1,P203&lt;='Dashboard'!$B$5),0,MAX(0,'Dashboard'!$B$5-B203))</x:f>
        <x:v>0</x:v>
      </x:c>
      <x:c r="AC203" s="28" t="str"/>
      <x:c r="AD203" s="2" t="str">
        <x:f>IF(AND(ISNUMBER(F203),ISNUMBER(G203)),G203-F203,"")</x:f>
      </x:c>
      <x:c r="AE203" s="2" t="n">
        <x:f>IF(AND(I203="Accepted",K203&lt;&gt;"",O203&lt;&gt;"",ISNUMBER(P203),P203&gt;0,P203&lt;='Dashboard'!$B$5,IF(ISNUMBER(F203),ISNUMBER(G203),TRUE),IF(ISNUMBER(F203),G203&gt;=F203,TRUE)),1,0)</x:f>
        <x:v>0</x:v>
      </x:c>
    </x:row>
    <x:row r="204" ht="58" customHeight="1">
      <x:c r="A204" s="2" t="str">
        <x:v>T0176</x:v>
      </x:c>
      <x:c r="B204" s="30" t="n">
        <x:v>46342</x:v>
      </x:c>
      <x:c r="C204" s="2" t="str">
        <x:v>Joey</x:v>
      </x:c>
      <x:c r="D204" s="2" t="str">
        <x:v>Data Orchestrator</x:v>
      </x:c>
      <x:c r="E204" s="26" t="str">
        <x:v>Mailbox/bounce/suppression log; ready verified records; due-follow up versus new-send capacity plan.</x:v>
      </x:c>
      <x:c r="F204" s="2" t="n">
        <x:v>1</x:v>
      </x:c>
      <x:c r="G204" s="20"/>
      <x:c r="H204" s="2" t="str">
        <x:v>verified queue and health check</x:v>
      </x:c>
      <x:c r="I204" s="20" t="str">
        <x:v>Ready</x:v>
      </x:c>
      <x:c r="J204" s="2" t="str">
        <x:v>16:45</x:v>
      </x:c>
      <x:c r="K204" s="28" t="str"/>
      <x:c r="L204" s="28" t="str"/>
      <x:c r="M204" s="20" t="str"/>
      <x:c r="N204" s="33"/>
      <x:c r="O204" s="20" t="str"/>
      <x:c r="P204" s="33"/>
      <x:c r="Q204" s="2" t="n">
        <x:f>IF(AND(AE204=1,COUNTIFS($A$7:$A$500,"T0067",$AE$7:$AE$500,1)=1,COUNTIFS($A$7:$A$500,"T0055",$AE$7:$AE$500,1)=1),1,0)</x:f>
        <x:v>0</x:v>
      </x:c>
      <x:c r="R204" s="2" t="str">
        <x:f>IF(AND(Q204=1,P204&lt;='Dashboard'!$B$5),IF(P204&gt;B204,"Accepted late","Accepted"),IF(B204&lt;'Dashboard'!$B$5,"Overdue",IF(I204="Blocked","Blocked",IF(B204='Dashboard'!$B$5,"Due today","Planned"))))</x:f>
        <x:v>Planned</x:v>
      </x:c>
      <x:c r="S204" s="26" t="str">
        <x:f>IF(I204="Accepted",IF(K204="","Add evidence",IF(O204="","Add reviewer",IF(P204="","Add accepted date",IF(AND(ISNUMBER(F204),COUNT(G204)=0),"Add actual quantity",IF(Q204=0,"Review target / date / dependencies","Complete"))))),IF(OR(I204="Blocked",I204="Deferred"),IF(L204="","Record blocker / reason",IF(M204="","Assign rescue owner",IF(N204="","Set recovery date","Recovery assigned"))),IF(B204&lt;'Dashboard'!$B$5,"Escalate and record recovery","Work to acceptance standard")))</x:f>
        <x:v>Work to acceptance standard</x:v>
      </x:c>
      <x:c r="T204" s="26" t="str">
        <x:v>T0067</x:v>
      </x:c>
      <x:c r="U204" s="26" t="str">
        <x:v>Planning pool addition 0 contacts today; quality gate wins over quota. Total sends&lt;=150/day;&gt;3% bounce affected mailbox held. No new cold enrollments on reduced/buffer days.</x:v>
      </x:c>
      <x:c r="V204" s="31" t="n">
        <x:v>3</x:v>
      </x:c>
      <x:c r="W204" s="26" t="str"/>
      <x:c r="X204" s="26" t="str">
        <x:v>DSI Reset PDF: lane responsibilities and dated runbook; dated allocation proposed for this tracker.</x:v>
      </x:c>
      <x:c r="Y204" s="30" t="n">
        <x:f>B204-WEEKDAY(B204,2)+1</x:f>
        <x:v>46342</x:v>
      </x:c>
      <x:c r="Z204" s="2" t="str">
        <x:v>checklist</x:v>
      </x:c>
      <x:c r="AA204" s="2" t="n">
        <x:f>IF(Q204=1,IF(P204&gt;B204,1,0),0)</x:f>
        <x:v>0</x:v>
      </x:c>
      <x:c r="AB204" s="2" t="n">
        <x:f>IF(AND(Q204=1,P204&lt;='Dashboard'!$B$5),0,MAX(0,'Dashboard'!$B$5-B204))</x:f>
        <x:v>0</x:v>
      </x:c>
      <x:c r="AC204" s="28" t="str"/>
      <x:c r="AD204" s="2" t="str">
        <x:f>IF(AND(ISNUMBER(F204),ISNUMBER(G204)),G204-F204,"")</x:f>
      </x:c>
      <x:c r="AE204" s="2" t="n">
        <x:f>IF(AND(I204="Accepted",K204&lt;&gt;"",O204&lt;&gt;"",ISNUMBER(P204),P204&gt;0,P204&lt;='Dashboard'!$B$5,IF(ISNUMBER(F204),ISNUMBER(G204),TRUE),IF(ISNUMBER(F204),G204&gt;=F204,TRUE)),1,0)</x:f>
        <x:v>0</x:v>
      </x:c>
    </x:row>
    <x:row r="205" ht="58" customHeight="1">
      <x:c r="A205" s="2" t="str">
        <x:v>T0177</x:v>
      </x:c>
      <x:c r="B205" s="30" t="n">
        <x:v>46342</x:v>
      </x:c>
      <x:c r="C205" s="2" t="str">
        <x:v>Nova</x:v>
      </x:c>
      <x:c r="D205" s="2" t="str">
        <x:v>Conversion Orchestrator</x:v>
      </x:c>
      <x:c r="E205" s="26" t="str">
        <x:v>Coverage/SLA evidence; 2 call reviews; booked/held updates; next-step and trial handoffs. Log each unique qualified inquiry with practice type, decision-maker access, case volume, service need and readiness timing.</x:v>
      </x:c>
      <x:c r="F205" s="2" t="n">
        <x:v>1</x:v>
      </x:c>
      <x:c r="G205" s="20"/>
      <x:c r="H205" s="2" t="str">
        <x:v>accepted output</x:v>
      </x:c>
      <x:c r="I205" s="20" t="str">
        <x:v>Ready</x:v>
      </x:c>
      <x:c r="J205" s="2" t="str">
        <x:v>16:45</x:v>
      </x:c>
      <x:c r="K205" s="28" t="str"/>
      <x:c r="L205" s="28" t="str"/>
      <x:c r="M205" s="20" t="str"/>
      <x:c r="N205" s="33"/>
      <x:c r="O205" s="20" t="str"/>
      <x:c r="P205" s="33"/>
      <x:c r="Q205" s="2" t="n">
        <x:f>IF(AND(AE205=1,COUNTIFS($A$7:$A$500,"T0067",$AE$7:$AE$500,1)=1,COUNTIFS($A$7:$A$500,"T0055",$AE$7:$AE$500,1)=1),1,0)</x:f>
        <x:v>0</x:v>
      </x:c>
      <x:c r="R205" s="2" t="str">
        <x:f>IF(AND(Q205=1,P205&lt;='Dashboard'!$B$5),IF(P205&gt;B205,"Accepted late","Accepted"),IF(B205&lt;'Dashboard'!$B$5,"Overdue",IF(I205="Blocked","Blocked",IF(B205='Dashboard'!$B$5,"Due today","Planned"))))</x:f>
        <x:v>Planned</x:v>
      </x:c>
      <x:c r="S205" s="26" t="str">
        <x:f>IF(I205="Accepted",IF(K205="","Add evidence",IF(O205="","Add reviewer",IF(P205="","Add accepted date",IF(AND(ISNUMBER(F205),COUNT(G205)=0),"Add actual quantity",IF(Q205=0,"Review target / date / dependencies","Complete"))))),IF(OR(I205="Blocked",I205="Deferred"),IF(L205="","Record blocker / reason",IF(M205="","Assign rescue owner",IF(N205="","Set recovery date","Recovery assigned"))),IF(B205&lt;'Dashboard'!$B$5,"Escalate and record recovery","Work to acceptance standard")))</x:f>
        <x:v>Work to acceptance standard</x:v>
      </x:c>
      <x:c r="T205" s="26" t="str">
        <x:v>T0067</x:v>
      </x:c>
      <x:c r="U205" s="26" t="str">
        <x:v>Every eligible reply&lt;=15 min; positive call&lt;=60 min; no opportunity without next step; booked brief to Nic; trial logistics to Maseeha. Raw contacts, opens and accepts never count as qualified inquiries; deduplicate across channels.</x:v>
      </x:c>
      <x:c r="V205" s="31" t="n">
        <x:v>4</x:v>
      </x:c>
      <x:c r="W205" s="26" t="str"/>
      <x:c r="X205" s="26" t="str">
        <x:v>DSI Reset PDF: lane responsibilities and dated runbook; dated allocation proposed for this tracker.</x:v>
      </x:c>
      <x:c r="Y205" s="30" t="n">
        <x:f>B205-WEEKDAY(B205,2)+1</x:f>
        <x:v>46342</x:v>
      </x:c>
      <x:c r="Z205" s="2" t="str">
        <x:v>checklist</x:v>
      </x:c>
      <x:c r="AA205" s="2" t="n">
        <x:f>IF(Q205=1,IF(P205&gt;B205,1,0),0)</x:f>
        <x:v>0</x:v>
      </x:c>
      <x:c r="AB205" s="2" t="n">
        <x:f>IF(AND(Q205=1,P205&lt;='Dashboard'!$B$5),0,MAX(0,'Dashboard'!$B$5-B205))</x:f>
        <x:v>0</x:v>
      </x:c>
      <x:c r="AC205" s="28" t="str"/>
      <x:c r="AD205" s="2" t="str">
        <x:f>IF(AND(ISNUMBER(F205),ISNUMBER(G205)),G205-F205,"")</x:f>
      </x:c>
      <x:c r="AE205" s="2" t="n">
        <x:f>IF(AND(I205="Accepted",K205&lt;&gt;"",O205&lt;&gt;"",ISNUMBER(P205),P205&gt;0,P205&lt;='Dashboard'!$B$5,IF(ISNUMBER(F205),ISNUMBER(G205),TRUE),IF(ISNUMBER(F205),G205&gt;=F205,TRUE)),1,0)</x:f>
        <x:v>0</x:v>
      </x:c>
    </x:row>
    <x:row r="206" ht="58" customHeight="1">
      <x:c r="A206" s="2" t="str">
        <x:v>T0178</x:v>
      </x:c>
      <x:c r="B206" s="30" t="n">
        <x:v>46342</x:v>
      </x:c>
      <x:c r="C206" s="2" t="str">
        <x:v>Emman</x:v>
      </x:c>
      <x:c r="D206" s="2" t="str">
        <x:v>AI Build Orchestrator</x:v>
      </x:c>
      <x:c r="E206" s="26" t="str">
        <x:v>Health/retry log; one acceptance-backed build increment; updated change log</x:v>
      </x:c>
      <x:c r="F206" s="2" t="n">
        <x:v>1</x:v>
      </x:c>
      <x:c r="G206" s="20"/>
      <x:c r="H206" s="2" t="str">
        <x:v>accepted output</x:v>
      </x:c>
      <x:c r="I206" s="20" t="str">
        <x:v>Ready</x:v>
      </x:c>
      <x:c r="J206" s="2" t="str">
        <x:v>16:45</x:v>
      </x:c>
      <x:c r="K206" s="28" t="str"/>
      <x:c r="L206" s="28" t="str"/>
      <x:c r="M206" s="20" t="str"/>
      <x:c r="N206" s="33"/>
      <x:c r="O206" s="20" t="str"/>
      <x:c r="P206" s="33"/>
      <x:c r="Q206" s="2" t="n">
        <x:f>IF(AND(AE206=1,COUNTIFS($A$7:$A$500,"T0067",$AE$7:$AE$500,1)=1,COUNTIFS($A$7:$A$500,"T0055",$AE$7:$AE$500,1)=1),1,0)</x:f>
        <x:v>0</x:v>
      </x:c>
      <x:c r="R206" s="2" t="str">
        <x:f>IF(AND(Q206=1,P206&lt;='Dashboard'!$B$5),IF(P206&gt;B206,"Accepted late","Accepted"),IF(B206&lt;'Dashboard'!$B$5,"Overdue",IF(I206="Blocked","Blocked",IF(B206='Dashboard'!$B$5,"Due today","Planned"))))</x:f>
        <x:v>Planned</x:v>
      </x:c>
      <x:c r="S206" s="26" t="str">
        <x:f>IF(I206="Accepted",IF(K206="","Add evidence",IF(O206="","Add reviewer",IF(P206="","Add accepted date",IF(AND(ISNUMBER(F206),COUNT(G206)=0),"Add actual quantity",IF(Q206=0,"Review target / date / dependencies","Complete"))))),IF(OR(I206="Blocked",I206="Deferred"),IF(L206="","Record blocker / reason",IF(M206="","Assign rescue owner",IF(N206="","Set recovery date","Recovery assigned"))),IF(B206&lt;'Dashboard'!$B$5,"Escalate and record recovery","Work to acceptance standard")))</x:f>
        <x:v>Work to acceptance standard</x:v>
      </x:c>
      <x:c r="T206" s="26" t="str">
        <x:v>T0067</x:v>
      </x:c>
      <x:c r="U206" s="26" t="str">
        <x:v>Fix a failing live agent beforestarting the next build. If an agent is still not working 48 hours after its due date, activate the manual SOP. Roll back a live failure within 1 hour. Release build reserve when no approved work remains.</x:v>
      </x:c>
      <x:c r="V206" s="31" t="n">
        <x:v>4</x:v>
      </x:c>
      <x:c r="W206" s="26" t="str"/>
      <x:c r="X206" s="26" t="str">
        <x:v>DSI Reset PDF: lane responsibilities and dated runbook; dated allocation proposed for this tracker.</x:v>
      </x:c>
      <x:c r="Y206" s="30" t="n">
        <x:f>B206-WEEKDAY(B206,2)+1</x:f>
        <x:v>46342</x:v>
      </x:c>
      <x:c r="Z206" s="2" t="str">
        <x:v>checklist</x:v>
      </x:c>
      <x:c r="AA206" s="2" t="n">
        <x:f>IF(Q206=1,IF(P206&gt;B206,1,0),0)</x:f>
        <x:v>0</x:v>
      </x:c>
      <x:c r="AB206" s="2" t="n">
        <x:f>IF(AND(Q206=1,P206&lt;='Dashboard'!$B$5),0,MAX(0,'Dashboard'!$B$5-B206))</x:f>
        <x:v>0</x:v>
      </x:c>
      <x:c r="AC206" s="28" t="str"/>
      <x:c r="AD206" s="2" t="str">
        <x:f>IF(AND(ISNUMBER(F206),ISNUMBER(G206)),G206-F206,"")</x:f>
      </x:c>
      <x:c r="AE206" s="2" t="n">
        <x:f>IF(AND(I206="Accepted",K206&lt;&gt;"",O206&lt;&gt;"",ISNUMBER(P206),P206&gt;0,P206&lt;='Dashboard'!$B$5,IF(ISNUMBER(F206),ISNUMBER(G206),TRUE),IF(ISNUMBER(F206),G206&gt;=F206,TRUE)),1,0)</x:f>
        <x:v>0</x:v>
      </x:c>
    </x:row>
    <x:row r="207" ht="58" customHeight="1">
      <x:c r="A207" s="2" t="str">
        <x:v>T0179</x:v>
      </x:c>
      <x:c r="B207" s="30" t="n">
        <x:v>46342</x:v>
      </x:c>
      <x:c r="C207" s="2" t="str">
        <x:v>Ludwig</x:v>
      </x:c>
      <x:c r="D207" s="2" t="str">
        <x:v>Integration Engineer</x:v>
      </x:c>
      <x:c r="E207" s="26" t="str">
        <x:v>Webhook/error/dead-letter check; top assigned integration ticket or verified no-ticket note</x:v>
      </x:c>
      <x:c r="F207" s="2" t="n">
        <x:v>1</x:v>
      </x:c>
      <x:c r="G207" s="20"/>
      <x:c r="H207" s="2" t="str">
        <x:v>accepted output</x:v>
      </x:c>
      <x:c r="I207" s="20" t="str">
        <x:v>Ready</x:v>
      </x:c>
      <x:c r="J207" s="2" t="str">
        <x:v>16:45</x:v>
      </x:c>
      <x:c r="K207" s="28" t="str"/>
      <x:c r="L207" s="28" t="str"/>
      <x:c r="M207" s="20" t="str"/>
      <x:c r="N207" s="33"/>
      <x:c r="O207" s="20" t="str"/>
      <x:c r="P207" s="33"/>
      <x:c r="Q207" s="2" t="n">
        <x:f>IF(AND(AE207=1,COUNTIFS($A$7:$A$500,"T0067",$AE$7:$AE$500,1)=1,COUNTIFS($A$7:$A$500,"T0055",$AE$7:$AE$500,1)=1),1,0)</x:f>
        <x:v>0</x:v>
      </x:c>
      <x:c r="R207" s="2" t="str">
        <x:f>IF(AND(Q207=1,P207&lt;='Dashboard'!$B$5),IF(P207&gt;B207,"Accepted late","Accepted"),IF(B207&lt;'Dashboard'!$B$5,"Overdue",IF(I207="Blocked","Blocked",IF(B207='Dashboard'!$B$5,"Due today","Planned"))))</x:f>
        <x:v>Planned</x:v>
      </x:c>
      <x:c r="S207" s="26" t="str">
        <x:f>IF(I207="Accepted",IF(K207="","Add evidence",IF(O207="","Add reviewer",IF(P207="","Add accepted date",IF(AND(ISNUMBER(F207),COUNT(G207)=0),"Add actual quantity",IF(Q207=0,"Review target / date / dependencies","Complete"))))),IF(OR(I207="Blocked",I207="Deferred"),IF(L207="","Record blocker / reason",IF(M207="","Assign rescue owner",IF(N207="","Set recovery date","Recovery assigned"))),IF(B207&lt;'Dashboard'!$B$5,"Escalate and record recovery","Work to acceptance standard")))</x:f>
        <x:v>Work to acceptance standard</x:v>
      </x:c>
      <x:c r="T207" s="26" t="str">
        <x:v>T0067</x:v>
      </x:c>
      <x:c r="U207" s="26" t="str">
        <x:v>Only Emman’s priority queue; 100% test capture; runbook/retry/rollback evidence. If no fault/ticket, release reserve; do not invent work.</x:v>
      </x:c>
      <x:c r="V207" s="31" t="n">
        <x:v>1.6</x:v>
      </x:c>
      <x:c r="W207" s="26" t="str"/>
      <x:c r="X207" s="26" t="str">
        <x:v>DSI Reset PDF: lane responsibilities and dated runbook; dated allocation proposed for this tracker.</x:v>
      </x:c>
      <x:c r="Y207" s="30" t="n">
        <x:f>B207-WEEKDAY(B207,2)+1</x:f>
        <x:v>46342</x:v>
      </x:c>
      <x:c r="Z207" s="2" t="str">
        <x:v>checklist</x:v>
      </x:c>
      <x:c r="AA207" s="2" t="n">
        <x:f>IF(Q207=1,IF(P207&gt;B207,1,0),0)</x:f>
        <x:v>0</x:v>
      </x:c>
      <x:c r="AB207" s="2" t="n">
        <x:f>IF(AND(Q207=1,P207&lt;='Dashboard'!$B$5),0,MAX(0,'Dashboard'!$B$5-B207))</x:f>
        <x:v>0</x:v>
      </x:c>
      <x:c r="AC207" s="28" t="str"/>
      <x:c r="AD207" s="2" t="str">
        <x:f>IF(AND(ISNUMBER(F207),ISNUMBER(G207)),G207-F207,"")</x:f>
      </x:c>
      <x:c r="AE207" s="2" t="n">
        <x:f>IF(AND(I207="Accepted",K207&lt;&gt;"",O207&lt;&gt;"",ISNUMBER(P207),P207&gt;0,P207&lt;='Dashboard'!$B$5,IF(ISNUMBER(F207),ISNUMBER(G207),TRUE),IF(ISNUMBER(F207),G207&gt;=F207,TRUE)),1,0)</x:f>
        <x:v>0</x:v>
      </x:c>
    </x:row>
    <x:row r="208" ht="58" customHeight="1">
      <x:c r="A208" s="2" t="str">
        <x:v>T0180</x:v>
      </x:c>
      <x:c r="B208" s="30" t="n">
        <x:v>46342</x:v>
      </x:c>
      <x:c r="C208" s="2" t="str">
        <x:v>Alvin</x:v>
      </x:c>
      <x:c r="D208" s="2" t="str">
        <x:v>CQL/GHL Implementation</x:v>
      </x:c>
      <x:c r="E208" s="26" t="str">
        <x:v>Stage/calendar/reminder QA; due workflow fixes</x:v>
      </x:c>
      <x:c r="F208" s="2" t="n">
        <x:v>1</x:v>
      </x:c>
      <x:c r="G208" s="20"/>
      <x:c r="H208" s="2" t="str">
        <x:v>accepted output</x:v>
      </x:c>
      <x:c r="I208" s="20" t="str">
        <x:v>Ready</x:v>
      </x:c>
      <x:c r="J208" s="2" t="str">
        <x:v>16:45</x:v>
      </x:c>
      <x:c r="K208" s="28" t="str"/>
      <x:c r="L208" s="28" t="str"/>
      <x:c r="M208" s="20" t="str"/>
      <x:c r="N208" s="33"/>
      <x:c r="O208" s="20" t="str"/>
      <x:c r="P208" s="33"/>
      <x:c r="Q208" s="2" t="n">
        <x:f>IF(AND(AE208=1,COUNTIFS($A$7:$A$500,"T0067",$AE$7:$AE$500,1)=1,COUNTIFS($A$7:$A$500,"T0055",$AE$7:$AE$500,1)=1),1,0)</x:f>
        <x:v>0</x:v>
      </x:c>
      <x:c r="R208" s="2" t="str">
        <x:f>IF(AND(Q208=1,P208&lt;='Dashboard'!$B$5),IF(P208&gt;B208,"Accepted late","Accepted"),IF(B208&lt;'Dashboard'!$B$5,"Overdue",IF(I208="Blocked","Blocked",IF(B208='Dashboard'!$B$5,"Due today","Planned"))))</x:f>
        <x:v>Planned</x:v>
      </x:c>
      <x:c r="S208" s="26" t="str">
        <x:f>IF(I208="Accepted",IF(K208="","Add evidence",IF(O208="","Add reviewer",IF(P208="","Add accepted date",IF(AND(ISNUMBER(F208),COUNT(G208)=0),"Add actual quantity",IF(Q208=0,"Review target / date / dependencies","Complete"))))),IF(OR(I208="Blocked",I208="Deferred"),IF(L208="","Record blocker / reason",IF(M208="","Assign rescue owner",IF(N208="","Set recovery date","Recovery assigned"))),IF(B208&lt;'Dashboard'!$B$5,"Escalate and record recovery","Work to acceptance standard")))</x:f>
        <x:v>Work to acceptance standard</x:v>
      </x:c>
      <x:c r="T208" s="26" t="str">
        <x:v>T0067</x:v>
      </x:c>
      <x:c r="U208" s="26" t="str">
        <x:v>No-show task&lt;=10 min; form/source fields correct; finish critical CRM defect same day. Facebook mirrors exact approved post; Instagram requires permissioned image.</x:v>
      </x:c>
      <x:c r="V208" s="31" t="n">
        <x:v>2</x:v>
      </x:c>
      <x:c r="W208" s="26" t="str"/>
      <x:c r="X208" s="26" t="str">
        <x:v>DSI Reset PDF: lane responsibilities and dated runbook; dated allocation proposed for this tracker.</x:v>
      </x:c>
      <x:c r="Y208" s="30" t="n">
        <x:f>B208-WEEKDAY(B208,2)+1</x:f>
        <x:v>46342</x:v>
      </x:c>
      <x:c r="Z208" s="2" t="str">
        <x:v>checklist</x:v>
      </x:c>
      <x:c r="AA208" s="2" t="n">
        <x:f>IF(Q208=1,IF(P208&gt;B208,1,0),0)</x:f>
        <x:v>0</x:v>
      </x:c>
      <x:c r="AB208" s="2" t="n">
        <x:f>IF(AND(Q208=1,P208&lt;='Dashboard'!$B$5),0,MAX(0,'Dashboard'!$B$5-B208))</x:f>
        <x:v>0</x:v>
      </x:c>
      <x:c r="AC208" s="28" t="str"/>
      <x:c r="AD208" s="2" t="str">
        <x:f>IF(AND(ISNUMBER(F208),ISNUMBER(G208)),G208-F208,"")</x:f>
      </x:c>
      <x:c r="AE208" s="2" t="n">
        <x:f>IF(AND(I208="Accepted",K208&lt;&gt;"",O208&lt;&gt;"",ISNUMBER(P208),P208&gt;0,P208&lt;='Dashboard'!$B$5,IF(ISNUMBER(F208),ISNUMBER(G208),TRUE),IF(ISNUMBER(F208),G208&gt;=F208,TRUE)),1,0)</x:f>
        <x:v>0</x:v>
      </x:c>
    </x:row>
    <x:row r="209" ht="58" customHeight="1">
      <x:c r="A209" s="2" t="str">
        <x:v>T0181</x:v>
      </x:c>
      <x:c r="B209" s="30" t="n">
        <x:v>46342</x:v>
      </x:c>
      <x:c r="C209" s="2" t="str">
        <x:v>Brian</x:v>
      </x:c>
      <x:c r="D209" s="2" t="str">
        <x:v>Web and Tracking</x:v>
      </x:c>
      <x:c r="E209" s="26" t="str">
        <x:v>One health-check result; at most one weekly change ticket or no-ticket note</x:v>
      </x:c>
      <x:c r="F209" s="2" t="n">
        <x:v>1</x:v>
      </x:c>
      <x:c r="G209" s="20"/>
      <x:c r="H209" s="2" t="str">
        <x:v>accepted output</x:v>
      </x:c>
      <x:c r="I209" s="20" t="str">
        <x:v>Ready</x:v>
      </x:c>
      <x:c r="J209" s="2" t="str">
        <x:v>16:45</x:v>
      </x:c>
      <x:c r="K209" s="28" t="str"/>
      <x:c r="L209" s="28" t="str"/>
      <x:c r="M209" s="20" t="str"/>
      <x:c r="N209" s="33"/>
      <x:c r="O209" s="20" t="str"/>
      <x:c r="P209" s="33"/>
      <x:c r="Q209" s="2" t="n">
        <x:f>IF(AND(AE209=1,COUNTIFS($A$7:$A$500,"T0067",$AE$7:$AE$500,1)=1,COUNTIFS($A$7:$A$500,"T0055",$AE$7:$AE$500,1)=1),1,0)</x:f>
        <x:v>0</x:v>
      </x:c>
      <x:c r="R209" s="2" t="str">
        <x:f>IF(AND(Q209=1,P209&lt;='Dashboard'!$B$5),IF(P209&gt;B209,"Accepted late","Accepted"),IF(B209&lt;'Dashboard'!$B$5,"Overdue",IF(I209="Blocked","Blocked",IF(B209='Dashboard'!$B$5,"Due today","Planned"))))</x:f>
        <x:v>Planned</x:v>
      </x:c>
      <x:c r="S209" s="26" t="str">
        <x:f>IF(I209="Accepted",IF(K209="","Add evidence",IF(O209="","Add reviewer",IF(P209="","Add accepted date",IF(AND(ISNUMBER(F209),COUNT(G209)=0),"Add actual quantity",IF(Q209=0,"Review target / date / dependencies","Complete"))))),IF(OR(I209="Blocked",I209="Deferred"),IF(L209="","Record blocker / reason",IF(M209="","Assign rescue owner",IF(N209="","Set recovery date","Recovery assigned"))),IF(B209&lt;'Dashboard'!$B$5,"Escalate and record recovery","Work to acceptance standard")))</x:f>
        <x:v>Work to acceptance standard</x:v>
      </x:c>
      <x:c r="T209" s="26" t="str">
        <x:v>T0067</x:v>
      </x:c>
      <x:c r="U209" s="26" t="str">
        <x:v>Form to CQL&lt;1 min; approved copy unchanged; no work manufactured if healthy; ongoing reserve&lt;=2 h/week.</x:v>
      </x:c>
      <x:c r="V209" s="31" t="n">
        <x:v>0.4</x:v>
      </x:c>
      <x:c r="W209" s="26" t="str"/>
      <x:c r="X209" s="26" t="str">
        <x:v>DSI Reset PDF: lane responsibilities and dated runbook; dated allocation proposed for this tracker.</x:v>
      </x:c>
      <x:c r="Y209" s="30" t="n">
        <x:f>B209-WEEKDAY(B209,2)+1</x:f>
        <x:v>46342</x:v>
      </x:c>
      <x:c r="Z209" s="2" t="str">
        <x:v>checklist</x:v>
      </x:c>
      <x:c r="AA209" s="2" t="n">
        <x:f>IF(Q209=1,IF(P209&gt;B209,1,0),0)</x:f>
        <x:v>0</x:v>
      </x:c>
      <x:c r="AB209" s="2" t="n">
        <x:f>IF(AND(Q209=1,P209&lt;='Dashboard'!$B$5),0,MAX(0,'Dashboard'!$B$5-B209))</x:f>
        <x:v>0</x:v>
      </x:c>
      <x:c r="AC209" s="28" t="str"/>
      <x:c r="AD209" s="2" t="str">
        <x:f>IF(AND(ISNUMBER(F209),ISNUMBER(G209)),G209-F209,"")</x:f>
      </x:c>
      <x:c r="AE209" s="2" t="n">
        <x:f>IF(AND(I209="Accepted",K209&lt;&gt;"",O209&lt;&gt;"",ISNUMBER(P209),P209&gt;0,P209&lt;='Dashboard'!$B$5,IF(ISNUMBER(F209),ISNUMBER(G209),TRUE),IF(ISNUMBER(F209),G209&gt;=F209,TRUE)),1,0)</x:f>
        <x:v>0</x:v>
      </x:c>
    </x:row>
    <x:row r="210" ht="58" customHeight="1">
      <x:c r="A210" s="2" t="str">
        <x:v>T0182</x:v>
      </x:c>
      <x:c r="B210" s="30" t="n">
        <x:v>46342</x:v>
      </x:c>
      <x:c r="C210" s="2" t="str">
        <x:v>Dexter</x:v>
      </x:c>
      <x:c r="D210" s="2" t="str">
        <x:v>LinkedIn Execution</x:v>
      </x:c>
      <x:c r="E210" s="26" t="str">
        <x:v>CQL logged DMs/accepts; eligible requests; referred interested replies; approved post evidence</x:v>
      </x:c>
      <x:c r="F210" s="2" t="n">
        <x:v>25</x:v>
      </x:c>
      <x:c r="G210" s="20"/>
      <x:c r="H210" s="2" t="str">
        <x:v>new request working target; eligible pool required</x:v>
      </x:c>
      <x:c r="I210" s="20" t="str">
        <x:v>Ready</x:v>
      </x:c>
      <x:c r="J210" s="2" t="str">
        <x:v>16:45</x:v>
      </x:c>
      <x:c r="K210" s="28" t="str"/>
      <x:c r="L210" s="28" t="str"/>
      <x:c r="M210" s="20" t="str"/>
      <x:c r="N210" s="33"/>
      <x:c r="O210" s="20" t="str"/>
      <x:c r="P210" s="33"/>
      <x:c r="Q210" s="2" t="n">
        <x:f>IF(AND(AE210=1,COUNTIFS($A$7:$A$500,"T0067",$AE$7:$AE$500,1)=1,COUNTIFS($A$7:$A$500,"T0055",$AE$7:$AE$500,1)=1),1,0)</x:f>
        <x:v>0</x:v>
      </x:c>
      <x:c r="R210" s="2" t="str">
        <x:f>IF(AND(Q210=1,P210&lt;='Dashboard'!$B$5),IF(P210&gt;B210,"Accepted late","Accepted"),IF(B210&lt;'Dashboard'!$B$5,"Overdue",IF(I210="Blocked","Blocked",IF(B210='Dashboard'!$B$5,"Due today","Planned"))))</x:f>
        <x:v>Planned</x:v>
      </x:c>
      <x:c r="S210" s="26" t="str">
        <x:f>IF(I210="Accepted",IF(K210="","Add evidence",IF(O210="","Add reviewer",IF(P210="","Add accepted date",IF(AND(ISNUMBER(F210),COUNT(G210)=0),"Add actual quantity",IF(Q210=0,"Review target / date / dependencies","Complete"))))),IF(OR(I210="Blocked",I210="Deferred"),IF(L210="","Record blocker / reason",IF(M210="","Assign rescue owner",IF(N210="","Set recovery date","Recovery assigned"))),IF(B210&lt;'Dashboard'!$B$5,"Escalate and record recovery","Work to acceptance standard")))</x:f>
        <x:v>Work to acceptance standard</x:v>
      </x:c>
      <x:c r="T210" s="26" t="str">
        <x:v>T0067</x:v>
      </x:c>
      <x:c r="U210"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10" s="31" t="n">
        <x:v>3</x:v>
      </x:c>
      <x:c r="W210" s="26" t="str"/>
      <x:c r="X210" s="26" t="str">
        <x:v>DSI Reset PDF: lane responsibilities and dated runbook; dated allocation proposed for this tracker.</x:v>
      </x:c>
      <x:c r="Y210" s="30" t="n">
        <x:f>B210-WEEKDAY(B210,2)+1</x:f>
        <x:v>46342</x:v>
      </x:c>
      <x:c r="Z210" s="2" t="str">
        <x:v>capacity</x:v>
      </x:c>
      <x:c r="AA210" s="2" t="n">
        <x:f>IF(Q210=1,IF(P210&gt;B210,1,0),0)</x:f>
        <x:v>0</x:v>
      </x:c>
      <x:c r="AB210" s="2" t="n">
        <x:f>IF(AND(Q210=1,P210&lt;='Dashboard'!$B$5),0,MAX(0,'Dashboard'!$B$5-B210))</x:f>
        <x:v>0</x:v>
      </x:c>
      <x:c r="AC210" s="28" t="str"/>
      <x:c r="AD210" s="2" t="str">
        <x:f>IF(AND(ISNUMBER(F210),ISNUMBER(G210)),G210-F210,"")</x:f>
      </x:c>
      <x:c r="AE210" s="2" t="n">
        <x:f>IF(AND(I210="Accepted",K210&lt;&gt;"",O210&lt;&gt;"",ISNUMBER(P210),P210&gt;0,P210&lt;='Dashboard'!$B$5,IF(ISNUMBER(F210),ISNUMBER(G210),TRUE),IF(ISNUMBER(F210),OR(G210&gt;=F210,AC210&lt;&gt;""),TRUE)),1,0)</x:f>
        <x:v>0</x:v>
      </x:c>
    </x:row>
    <x:row r="211" ht="58" customHeight="1">
      <x:c r="A211" s="2" t="str">
        <x:v>T0183</x:v>
      </x:c>
      <x:c r="B211" s="30" t="n">
        <x:v>46342</x:v>
      </x:c>
      <x:c r="C211" s="2" t="str">
        <x:v>Setter 1</x:v>
      </x:c>
      <x:c r="D211" s="2" t="str">
        <x:v>Reply and Phone Setter</x:v>
      </x:c>
      <x:c r="E211" s="26" t="str">
        <x:v>SLA/call outcome log; bookings and next steps; handoff to Nova</x:v>
      </x:c>
      <x:c r="F211" s="2" t="n">
        <x:v>50</x:v>
      </x:c>
      <x:c r="G211" s="20"/>
      <x:c r="H211" s="2" t="str">
        <x:v>dial working target; inbound SLA takes priority</x:v>
      </x:c>
      <x:c r="I211" s="20" t="str">
        <x:v>Ready</x:v>
      </x:c>
      <x:c r="J211" s="2" t="str">
        <x:v>16:45</x:v>
      </x:c>
      <x:c r="K211" s="28" t="str"/>
      <x:c r="L211" s="28" t="str"/>
      <x:c r="M211" s="20" t="str"/>
      <x:c r="N211" s="33"/>
      <x:c r="O211" s="20" t="str"/>
      <x:c r="P211" s="33"/>
      <x:c r="Q211" s="2" t="n">
        <x:f>IF(AND(AE211=1,COUNTIFS($A$7:$A$500,"T0013",$AE$7:$AE$500,1)=1,COUNTIFS($A$7:$A$500,"T0055",$AE$7:$AE$500,1)=1),1,0)</x:f>
        <x:v>0</x:v>
      </x:c>
      <x:c r="R211" s="2" t="str">
        <x:f>IF(AND(Q211=1,P211&lt;='Dashboard'!$B$5),IF(P211&gt;B211,"Accepted late","Accepted"),IF(B211&lt;'Dashboard'!$B$5,"Overdue",IF(I211="Blocked","Blocked",IF(B211='Dashboard'!$B$5,"Due today","Planned"))))</x:f>
        <x:v>Planned</x:v>
      </x:c>
      <x:c r="S211" s="26" t="str">
        <x:f>IF(I211="Accepted",IF(K211="","Add evidence",IF(O211="","Add reviewer",IF(P211="","Add accepted date",IF(AND(ISNUMBER(F211),COUNT(G211)=0),"Add actual quantity",IF(Q211=0,"Review target / date / dependencies","Complete"))))),IF(OR(I211="Blocked",I211="Deferred"),IF(L211="","Record blocker / reason",IF(M211="","Assign rescue owner",IF(N211="","Set recovery date","Recovery assigned"))),IF(B211&lt;'Dashboard'!$B$5,"Escalate and record recovery","Work to acceptance standard")))</x:f>
        <x:v>Work to acceptance standard</x:v>
      </x:c>
      <x:c r="T211" s="26" t="str">
        <x:v>T0013; T0055</x:v>
      </x:c>
      <x:c r="U211"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11" s="31" t="n">
        <x:v>7.5</x:v>
      </x:c>
      <x:c r="W211" s="26" t="str"/>
      <x:c r="X211" s="26" t="str">
        <x:v>DSI Reset PDF: lane responsibilities and dated runbook; dated allocation proposed for this tracker.</x:v>
      </x:c>
      <x:c r="Y211" s="30" t="n">
        <x:f>B211-WEEKDAY(B211,2)+1</x:f>
        <x:v>46342</x:v>
      </x:c>
      <x:c r="Z211" s="2" t="str">
        <x:v>capacity</x:v>
      </x:c>
      <x:c r="AA211" s="2" t="n">
        <x:f>IF(Q211=1,IF(P211&gt;B211,1,0),0)</x:f>
        <x:v>0</x:v>
      </x:c>
      <x:c r="AB211" s="2" t="n">
        <x:f>IF(AND(Q211=1,P211&lt;='Dashboard'!$B$5),0,MAX(0,'Dashboard'!$B$5-B211))</x:f>
        <x:v>0</x:v>
      </x:c>
      <x:c r="AC211" s="28" t="str"/>
      <x:c r="AD211" s="2" t="str">
        <x:f>IF(AND(ISNUMBER(F211),ISNUMBER(G211)),G211-F211,"")</x:f>
      </x:c>
      <x:c r="AE211" s="2" t="n">
        <x:f>IF(AND(I211="Accepted",K211&lt;&gt;"",O211&lt;&gt;"",ISNUMBER(P211),P211&gt;0,P211&lt;='Dashboard'!$B$5,IF(ISNUMBER(F211),ISNUMBER(G211),TRUE),IF(ISNUMBER(F211),OR(G211&gt;=F211,AC211&lt;&gt;""),TRUE)),1,0)</x:f>
        <x:v>0</x:v>
      </x:c>
    </x:row>
    <x:row r="212" ht="58" customHeight="1">
      <x:c r="A212" s="2" t="str">
        <x:v>T0184</x:v>
      </x:c>
      <x:c r="B212" s="30" t="n">
        <x:v>46342</x:v>
      </x:c>
      <x:c r="C212" s="2" t="str">
        <x:v>Setter 2</x:v>
      </x:c>
      <x:c r="D212" s="2" t="str">
        <x:v>Reply and Phone Setter</x:v>
      </x:c>
      <x:c r="E212" s="26" t="str">
        <x:v>SLA/call outcome log; bookings and next steps; handoff to Nova</x:v>
      </x:c>
      <x:c r="F212" s="2" t="n">
        <x:v>50</x:v>
      </x:c>
      <x:c r="G212" s="20"/>
      <x:c r="H212" s="2" t="str">
        <x:v>dial working target; inbound SLA takes priority</x:v>
      </x:c>
      <x:c r="I212" s="20" t="str">
        <x:v>Ready</x:v>
      </x:c>
      <x:c r="J212" s="2" t="str">
        <x:v>16:45</x:v>
      </x:c>
      <x:c r="K212" s="28" t="str"/>
      <x:c r="L212" s="28" t="str"/>
      <x:c r="M212" s="20" t="str"/>
      <x:c r="N212" s="33"/>
      <x:c r="O212" s="20" t="str"/>
      <x:c r="P212" s="33"/>
      <x:c r="Q212" s="2" t="n">
        <x:f>IF(AND(AE212=1,COUNTIFS($A$7:$A$500,"T0013",$AE$7:$AE$500,1)=1,COUNTIFS($A$7:$A$500,"T0055",$AE$7:$AE$500,1)=1),1,0)</x:f>
        <x:v>0</x:v>
      </x:c>
      <x:c r="R212" s="2" t="str">
        <x:f>IF(AND(Q212=1,P212&lt;='Dashboard'!$B$5),IF(P212&gt;B212,"Accepted late","Accepted"),IF(B212&lt;'Dashboard'!$B$5,"Overdue",IF(I212="Blocked","Blocked",IF(B212='Dashboard'!$B$5,"Due today","Planned"))))</x:f>
        <x:v>Planned</x:v>
      </x:c>
      <x:c r="S212" s="26" t="str">
        <x:f>IF(I212="Accepted",IF(K212="","Add evidence",IF(O212="","Add reviewer",IF(P212="","Add accepted date",IF(AND(ISNUMBER(F212),COUNT(G212)=0),"Add actual quantity",IF(Q212=0,"Review target / date / dependencies","Complete"))))),IF(OR(I212="Blocked",I212="Deferred"),IF(L212="","Record blocker / reason",IF(M212="","Assign rescue owner",IF(N212="","Set recovery date","Recovery assigned"))),IF(B212&lt;'Dashboard'!$B$5,"Escalate and record recovery","Work to acceptance standard")))</x:f>
        <x:v>Work to acceptance standard</x:v>
      </x:c>
      <x:c r="T212" s="26" t="str">
        <x:v>T0013; T0055</x:v>
      </x:c>
      <x:c r="U212"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12" s="31" t="n">
        <x:v>7.5</x:v>
      </x:c>
      <x:c r="W212" s="26" t="str"/>
      <x:c r="X212" s="26" t="str">
        <x:v>DSI Reset PDF: lane responsibilities and dated runbook; dated allocation proposed for this tracker.</x:v>
      </x:c>
      <x:c r="Y212" s="30" t="n">
        <x:f>B212-WEEKDAY(B212,2)+1</x:f>
        <x:v>46342</x:v>
      </x:c>
      <x:c r="Z212" s="2" t="str">
        <x:v>capacity</x:v>
      </x:c>
      <x:c r="AA212" s="2" t="n">
        <x:f>IF(Q212=1,IF(P212&gt;B212,1,0),0)</x:f>
        <x:v>0</x:v>
      </x:c>
      <x:c r="AB212" s="2" t="n">
        <x:f>IF(AND(Q212=1,P212&lt;='Dashboard'!$B$5),0,MAX(0,'Dashboard'!$B$5-B212))</x:f>
        <x:v>0</x:v>
      </x:c>
      <x:c r="AC212" s="28" t="str"/>
      <x:c r="AD212" s="2" t="str">
        <x:f>IF(AND(ISNUMBER(F212),ISNUMBER(G212)),G212-F212,"")</x:f>
      </x:c>
      <x:c r="AE212" s="2" t="n">
        <x:f>IF(AND(I212="Accepted",K212&lt;&gt;"",O212&lt;&gt;"",ISNUMBER(P212),P212&gt;0,P212&lt;='Dashboard'!$B$5,IF(ISNUMBER(F212),ISNUMBER(G212),TRUE),IF(ISNUMBER(F212),OR(G212&gt;=F212,AC212&lt;&gt;""),TRUE)),1,0)</x:f>
        <x:v>0</x:v>
      </x:c>
    </x:row>
    <x:row r="213" ht="58" customHeight="1">
      <x:c r="A213" s="2" t="str">
        <x:v>T0452</x:v>
      </x:c>
      <x:c r="B213" s="30" t="n">
        <x:v>46342</x:v>
      </x:c>
      <x:c r="C213" s="2" t="str">
        <x:v>Nic</x:v>
      </x:c>
      <x:c r="D213" s="2" t="str">
        <x:v>Client dependency</x:v>
      </x:c>
      <x:c r="E213" s="26" t="str">
        <x:v>Call outcome/next step for every appointment due; first-case decisions</x:v>
      </x:c>
      <x:c r="F213" s="2" t="str"/>
      <x:c r="G213" s="20"/>
      <x:c r="H213" s="2" t="str">
        <x:v>all due appointments</x:v>
      </x:c>
      <x:c r="I213" s="20" t="str">
        <x:v>Ready</x:v>
      </x:c>
      <x:c r="J213" s="2" t="str">
        <x:v>16:45</x:v>
      </x:c>
      <x:c r="K213" s="28" t="str"/>
      <x:c r="L213" s="28" t="str"/>
      <x:c r="M213" s="20" t="str"/>
      <x:c r="N213" s="33"/>
      <x:c r="O213" s="20" t="str"/>
      <x:c r="P213" s="33"/>
      <x:c r="Q213" s="2" t="n">
        <x:f>IF(AND(AE213=1,COUNTIFS($A$7:$A$500,"T0028",$AE$7:$AE$500,1)=1),1,0)</x:f>
        <x:v>0</x:v>
      </x:c>
      <x:c r="R213" s="2" t="str">
        <x:f>IF(AND(Q213=1,P213&lt;='Dashboard'!$B$5),IF(P213&gt;B213,"Accepted late","Accepted"),IF(B213&lt;'Dashboard'!$B$5,"Overdue",IF(I213="Blocked","Blocked",IF(B213='Dashboard'!$B$5,"Due today","Planned"))))</x:f>
        <x:v>Planned</x:v>
      </x:c>
      <x:c r="S213" s="26" t="str">
        <x:f>IF(I213="Accepted",IF(K213="","Add evidence",IF(O213="","Add reviewer",IF(P213="","Add accepted date",IF(AND(ISNUMBER(F213),COUNT(G213)=0),"Add actual quantity",IF(Q213=0,"Review target / date / dependencies","Complete"))))),IF(OR(I213="Blocked",I213="Deferred"),IF(L213="","Record blocker / reason",IF(M213="","Assign rescue owner",IF(N213="","Set recovery date","Recovery assigned"))),IF(B213&lt;'Dashboard'!$B$5,"Escalate and record recovery","Work to acceptance standard")))</x:f>
        <x:v>Work to acceptance standard</x:v>
      </x:c>
      <x:c r="T213" s="26" t="str">
        <x:v>T0028</x:v>
      </x:c>
      <x:c r="U213" s="26" t="str">
        <x:v>Demand-linked: work actual approved calendar; setter brief present; outcome logged same day. No calls scheduled is N/A with calendar evidence.</x:v>
      </x:c>
      <x:c r="V213" s="31" t="n">
        <x:v>0.5</x:v>
      </x:c>
      <x:c r="W213" s="26" t="str"/>
      <x:c r="X213" s="26" t="str">
        <x:v>DSI Reset PDF: lane responsibilities and dated runbook; dated allocation proposed for this tracker.</x:v>
      </x:c>
      <x:c r="Y213" s="30" t="n">
        <x:f>B213-WEEKDAY(B213,2)+1</x:f>
        <x:v>46342</x:v>
      </x:c>
      <x:c r="Z213" s="2" t="str">
        <x:v>demand</x:v>
      </x:c>
      <x:c r="AA213" s="2" t="n">
        <x:f>IF(Q213=1,IF(P213&gt;B213,1,0),0)</x:f>
        <x:v>0</x:v>
      </x:c>
      <x:c r="AB213" s="2" t="n">
        <x:f>IF(AND(Q213=1,P213&lt;='Dashboard'!$B$5),0,MAX(0,'Dashboard'!$B$5-B213))</x:f>
        <x:v>0</x:v>
      </x:c>
      <x:c r="AC213" s="28" t="str"/>
      <x:c r="AD213" s="2" t="str">
        <x:f>IF(AND(ISNUMBER(F213),ISNUMBER(G213)),G213-F213,"")</x:f>
      </x:c>
      <x:c r="AE213" s="2" t="n">
        <x:f>IF(AND(I213="Accepted",K213&lt;&gt;"",O213&lt;&gt;"",ISNUMBER(P213),P213&gt;0,P213&lt;='Dashboard'!$B$5,IF(ISNUMBER(F213),ISNUMBER(G213),TRUE)),1,0)</x:f>
        <x:v>0</x:v>
      </x:c>
    </x:row>
    <x:row r="214" ht="58" customHeight="1">
      <x:c r="A214" s="2" t="str">
        <x:v>T0453</x:v>
      </x:c>
      <x:c r="B214" s="30" t="n">
        <x:v>46342</x:v>
      </x:c>
      <x:c r="C214" s="2" t="str">
        <x:v>Maseeha</x:v>
      </x:c>
      <x:c r="D214" s="2" t="str">
        <x:v>Client dependency</x:v>
      </x:c>
      <x:c r="E214" s="26" t="str">
        <x:v>Due intro verification; kit/case handoff; delivery/Day-30 dates; credit trigger log. Planned asks today: 2 unique existing accounts; cumulative 27.</x:v>
      </x:c>
      <x:c r="F214" s="2" t="str"/>
      <x:c r="G214" s="20"/>
      <x:c r="H214" s="2" t="str">
        <x:v>all due cases</x:v>
      </x:c>
      <x:c r="I214" s="20" t="str">
        <x:v>Ready</x:v>
      </x:c>
      <x:c r="J214" s="2" t="str">
        <x:v>16:45</x:v>
      </x:c>
      <x:c r="K214" s="28" t="str"/>
      <x:c r="L214" s="28" t="str"/>
      <x:c r="M214" s="20" t="str"/>
      <x:c r="N214" s="33"/>
      <x:c r="O214" s="20" t="str"/>
      <x:c r="P214" s="33"/>
      <x:c r="Q214" s="2" t="n">
        <x:f>IF(AND(AE214=1,COUNTIFS($A$7:$A$500,"T0028",$AE$7:$AE$500,1)=1),1,0)</x:f>
        <x:v>0</x:v>
      </x:c>
      <x:c r="R214" s="2" t="str">
        <x:f>IF(AND(Q214=1,P214&lt;='Dashboard'!$B$5),IF(P214&gt;B214,"Accepted late","Accepted"),IF(B214&lt;'Dashboard'!$B$5,"Overdue",IF(I214="Blocked","Blocked",IF(B214='Dashboard'!$B$5,"Due today","Planned"))))</x:f>
        <x:v>Planned</x:v>
      </x:c>
      <x:c r="S214" s="26" t="str">
        <x:f>IF(I214="Accepted",IF(K214="","Add evidence",IF(O214="","Add reviewer",IF(P214="","Add accepted date",IF(AND(ISNUMBER(F214),COUNT(G214)=0),"Add actual quantity",IF(Q214=0,"Review target / date / dependencies","Complete"))))),IF(OR(I214="Blocked",I214="Deferred"),IF(L214="","Record blocker / reason",IF(M214="","Assign rescue owner",IF(N214="","Set recovery date","Recovery assigned"))),IF(B214&lt;'Dashboard'!$B$5,"Escalate and record recovery","Work to acceptance standard")))</x:f>
        <x:v>Work to acceptance standard</x:v>
      </x:c>
      <x:c r="T214" s="26" t="str">
        <x:v>T0028</x:v>
      </x:c>
      <x:c r="U214" s="26" t="str">
        <x:v>Demand-linked: referral verification&lt;=2 business days; trial capacity respected; $200 credit only on eligible invoice paid.</x:v>
      </x:c>
      <x:c r="V214" s="31" t="n">
        <x:v>0.5</x:v>
      </x:c>
      <x:c r="W214" s="26" t="str"/>
      <x:c r="X214" s="26" t="str">
        <x:v>DSI Reset PDF: lane responsibilities and dated runbook; dated allocation proposed for this tracker.</x:v>
      </x:c>
      <x:c r="Y214" s="30" t="n">
        <x:f>B214-WEEKDAY(B214,2)+1</x:f>
        <x:v>46342</x:v>
      </x:c>
      <x:c r="Z214" s="2" t="str">
        <x:v>demand</x:v>
      </x:c>
      <x:c r="AA214" s="2" t="n">
        <x:f>IF(Q214=1,IF(P214&gt;B214,1,0),0)</x:f>
        <x:v>0</x:v>
      </x:c>
      <x:c r="AB214" s="2" t="n">
        <x:f>IF(AND(Q214=1,P214&lt;='Dashboard'!$B$5),0,MAX(0,'Dashboard'!$B$5-B214))</x:f>
        <x:v>0</x:v>
      </x:c>
      <x:c r="AC214" s="28" t="str"/>
      <x:c r="AD214" s="2" t="str">
        <x:f>IF(AND(ISNUMBER(F214),ISNUMBER(G214)),G214-F214,"")</x:f>
      </x:c>
      <x:c r="AE214" s="2" t="n">
        <x:f>IF(AND(I214="Accepted",K214&lt;&gt;"",O214&lt;&gt;"",ISNUMBER(P214),P214&gt;0,P214&lt;='Dashboard'!$B$5,IF(ISNUMBER(F214),ISNUMBER(G214),TRUE)),1,0)</x:f>
        <x:v>0</x:v>
      </x:c>
    </x:row>
    <x:row r="215" ht="58" customHeight="1">
      <x:c r="A215" s="2" t="str">
        <x:v>T0185</x:v>
      </x:c>
      <x:c r="B215" s="30" t="n">
        <x:v>46343</x:v>
      </x:c>
      <x:c r="C215" s="2" t="str">
        <x:v>Wyline</x:v>
      </x:c>
      <x:c r="D215" s="2" t="str">
        <x:v>Program Director</x:v>
      </x:c>
      <x:c r="E215" s="26" t="str">
        <x:v>Accepted-output register; actual-vs-target dashboard; blocker/rescue assignments</x:v>
      </x:c>
      <x:c r="F215" s="2" t="n">
        <x:v>1</x:v>
      </x:c>
      <x:c r="G215" s="20"/>
      <x:c r="H215" s="2" t="str">
        <x:v>accepted output</x:v>
      </x:c>
      <x:c r="I215" s="20" t="str">
        <x:v>Ready</x:v>
      </x:c>
      <x:c r="J215" s="2" t="str">
        <x:v>16:45</x:v>
      </x:c>
      <x:c r="K215" s="28" t="str"/>
      <x:c r="L215" s="28" t="str"/>
      <x:c r="M215" s="20" t="str"/>
      <x:c r="N215" s="33"/>
      <x:c r="O215" s="20" t="str"/>
      <x:c r="P215" s="33"/>
      <x:c r="Q215" s="2" t="n">
        <x:f>IF(AND(AE215=1,COUNTIFS($A$7:$A$500,"T0067",$AE$7:$AE$500,1)=1,COUNTIFS($A$7:$A$500,"T0055",$AE$7:$AE$500,1)=1),1,0)</x:f>
        <x:v>0</x:v>
      </x:c>
      <x:c r="R215" s="2" t="str">
        <x:f>IF(AND(Q215=1,P215&lt;='Dashboard'!$B$5),IF(P215&gt;B215,"Accepted late","Accepted"),IF(B215&lt;'Dashboard'!$B$5,"Overdue",IF(I215="Blocked","Blocked",IF(B215='Dashboard'!$B$5,"Due today","Planned"))))</x:f>
        <x:v>Planned</x:v>
      </x:c>
      <x:c r="S215" s="26" t="str">
        <x:f>IF(I215="Accepted",IF(K215="","Add evidence",IF(O215="","Add reviewer",IF(P215="","Add accepted date",IF(AND(ISNUMBER(F215),COUNT(G215)=0),"Add actual quantity",IF(Q215=0,"Review target / date / dependencies","Complete"))))),IF(OR(I215="Blocked",I215="Deferred"),IF(L215="","Record blocker / reason",IF(M215="","Assign rescue owner",IF(N215="","Set recovery date","Recovery assigned"))),IF(B215&lt;'Dashboard'!$B$5,"Escalate and record recovery","Work to acceptance standard")))</x:f>
        <x:v>Work to acceptance standard</x:v>
      </x:c>
      <x:c r="T215" s="26" t="str">
        <x:v>T0067</x:v>
      </x:c>
      <x:c r="U215" s="26" t="str">
        <x:v>09:00 standup; 13:00/16:30 recovery checks; 17:00 acceptance. Every overdue task keeps original date and named recovery owner.</x:v>
      </x:c>
      <x:c r="V215" s="31" t="n">
        <x:v>3</x:v>
      </x:c>
      <x:c r="W215" s="26" t="str"/>
      <x:c r="X215" s="26" t="str">
        <x:v>DSI Reset PDF: lane responsibilities and dated runbook; dated allocation proposed for this tracker.</x:v>
      </x:c>
      <x:c r="Y215" s="30" t="n">
        <x:f>B215-WEEKDAY(B215,2)+1</x:f>
        <x:v>46342</x:v>
      </x:c>
      <x:c r="Z215" s="2" t="str">
        <x:v>checklist</x:v>
      </x:c>
      <x:c r="AA215" s="2" t="n">
        <x:f>IF(Q215=1,IF(P215&gt;B215,1,0),0)</x:f>
        <x:v>0</x:v>
      </x:c>
      <x:c r="AB215" s="2" t="n">
        <x:f>IF(AND(Q215=1,P215&lt;='Dashboard'!$B$5),0,MAX(0,'Dashboard'!$B$5-B215))</x:f>
        <x:v>0</x:v>
      </x:c>
      <x:c r="AC215" s="28" t="str"/>
      <x:c r="AD215" s="2" t="str">
        <x:f>IF(AND(ISNUMBER(F215),ISNUMBER(G215)),G215-F215,"")</x:f>
      </x:c>
      <x:c r="AE215" s="2" t="n">
        <x:f>IF(AND(I215="Accepted",K215&lt;&gt;"",O215&lt;&gt;"",ISNUMBER(P215),P215&gt;0,P215&lt;='Dashboard'!$B$5,IF(ISNUMBER(F215),ISNUMBER(G215),TRUE),IF(ISNUMBER(F215),G215&gt;=F215,TRUE)),1,0)</x:f>
        <x:v>0</x:v>
      </x:c>
    </x:row>
    <x:row r="216" ht="58" customHeight="1">
      <x:c r="A216" s="2" t="str">
        <x:v>T0186</x:v>
      </x:c>
      <x:c r="B216" s="30" t="n">
        <x:v>46343</x:v>
      </x:c>
      <x:c r="C216" s="2" t="str">
        <x:v>Kenneth</x:v>
      </x:c>
      <x:c r="D216" s="2" t="str">
        <x:v>Message Orchestrator</x:v>
      </x:c>
      <x:c r="E216" s="26" t="str">
        <x:v>Human-reply insights; 5 Inbox draft checks; approved first lines; claim exceptions</x:v>
      </x:c>
      <x:c r="F216" s="2" t="n">
        <x:v>1</x:v>
      </x:c>
      <x:c r="G216" s="20"/>
      <x:c r="H216" s="2" t="str">
        <x:v>accepted output</x:v>
      </x:c>
      <x:c r="I216" s="20" t="str">
        <x:v>Ready</x:v>
      </x:c>
      <x:c r="J216" s="2" t="str">
        <x:v>16:45</x:v>
      </x:c>
      <x:c r="K216" s="28" t="str"/>
      <x:c r="L216" s="28" t="str"/>
      <x:c r="M216" s="20" t="str"/>
      <x:c r="N216" s="33"/>
      <x:c r="O216" s="20" t="str"/>
      <x:c r="P216" s="33"/>
      <x:c r="Q216" s="2" t="n">
        <x:f>IF(AND(AE216=1,COUNTIFS($A$7:$A$500,"T0067",$AE$7:$AE$500,1)=1,COUNTIFS($A$7:$A$500,"T0055",$AE$7:$AE$500,1)=1),1,0)</x:f>
        <x:v>0</x:v>
      </x:c>
      <x:c r="R216" s="2" t="str">
        <x:f>IF(AND(Q216=1,P216&lt;='Dashboard'!$B$5),IF(P216&gt;B216,"Accepted late","Accepted"),IF(B216&lt;'Dashboard'!$B$5,"Overdue",IF(I216="Blocked","Blocked",IF(B216='Dashboard'!$B$5,"Due today","Planned"))))</x:f>
        <x:v>Planned</x:v>
      </x:c>
      <x:c r="S216" s="26" t="str">
        <x:f>IF(I216="Accepted",IF(K216="","Add evidence",IF(O216="","Add reviewer",IF(P216="","Add accepted date",IF(AND(ISNUMBER(F216),COUNT(G216)=0),"Add actual quantity",IF(Q216=0,"Review target / date / dependencies","Complete"))))),IF(OR(I216="Blocked",I216="Deferred"),IF(L216="","Record blocker / reason",IF(M216="","Assign rescue owner",IF(N216="","Set recovery date","Recovery assigned"))),IF(B216&lt;'Dashboard'!$B$5,"Escalate and record recovery","Work to acceptance standard")))</x:f>
        <x:v>Work to acceptance standard</x:v>
      </x:c>
      <x:c r="T216" s="26" t="str">
        <x:v>T0067</x:v>
      </x:c>
      <x:c r="U216" s="26" t="str">
        <x:v>Zero invented claims. If any draft fails facts, stop drafting/retrain; no offer change without approval.</x:v>
      </x:c>
      <x:c r="V216" s="31" t="n">
        <x:v>2.4</x:v>
      </x:c>
      <x:c r="W216" s="26" t="str"/>
      <x:c r="X216" s="26" t="str">
        <x:v>DSI Reset PDF: lane responsibilities and dated runbook; dated allocation proposed for this tracker.</x:v>
      </x:c>
      <x:c r="Y216" s="30" t="n">
        <x:f>B216-WEEKDAY(B216,2)+1</x:f>
        <x:v>46342</x:v>
      </x:c>
      <x:c r="Z216" s="2" t="str">
        <x:v>checklist</x:v>
      </x:c>
      <x:c r="AA216" s="2" t="n">
        <x:f>IF(Q216=1,IF(P216&gt;B216,1,0),0)</x:f>
        <x:v>0</x:v>
      </x:c>
      <x:c r="AB216" s="2" t="n">
        <x:f>IF(AND(Q216=1,P216&lt;='Dashboard'!$B$5),0,MAX(0,'Dashboard'!$B$5-B216))</x:f>
        <x:v>0</x:v>
      </x:c>
      <x:c r="AC216" s="28" t="str"/>
      <x:c r="AD216" s="2" t="str">
        <x:f>IF(AND(ISNUMBER(F216),ISNUMBER(G216)),G216-F216,"")</x:f>
      </x:c>
      <x:c r="AE216" s="2" t="n">
        <x:f>IF(AND(I216="Accepted",K216&lt;&gt;"",O216&lt;&gt;"",ISNUMBER(P216),P216&gt;0,P216&lt;='Dashboard'!$B$5,IF(ISNUMBER(F216),ISNUMBER(G216),TRUE),IF(ISNUMBER(F216),G216&gt;=F216,TRUE)),1,0)</x:f>
        <x:v>0</x:v>
      </x:c>
    </x:row>
    <x:row r="217" ht="58" customHeight="1">
      <x:c r="A217" s="2" t="str">
        <x:v>T0187</x:v>
      </x:c>
      <x:c r="B217" s="30" t="n">
        <x:v>46343</x:v>
      </x:c>
      <x:c r="C217" s="2" t="str">
        <x:v>Joey</x:v>
      </x:c>
      <x:c r="D217" s="2" t="str">
        <x:v>Data Orchestrator</x:v>
      </x:c>
      <x:c r="E217" s="26" t="str">
        <x:v>Mailbox/bounce/suppression log; ready verified records; due-follow up versus new-send capacity plan.</x:v>
      </x:c>
      <x:c r="F217" s="2" t="n">
        <x:v>1</x:v>
      </x:c>
      <x:c r="G217" s="20"/>
      <x:c r="H217" s="2" t="str">
        <x:v>verified queue and health check</x:v>
      </x:c>
      <x:c r="I217" s="20" t="str">
        <x:v>Ready</x:v>
      </x:c>
      <x:c r="J217" s="2" t="str">
        <x:v>16:45</x:v>
      </x:c>
      <x:c r="K217" s="28" t="str"/>
      <x:c r="L217" s="28" t="str"/>
      <x:c r="M217" s="20" t="str"/>
      <x:c r="N217" s="33"/>
      <x:c r="O217" s="20" t="str"/>
      <x:c r="P217" s="33"/>
      <x:c r="Q217" s="2" t="n">
        <x:f>IF(AND(AE217=1,COUNTIFS($A$7:$A$500,"T0067",$AE$7:$AE$500,1)=1,COUNTIFS($A$7:$A$500,"T0055",$AE$7:$AE$500,1)=1),1,0)</x:f>
        <x:v>0</x:v>
      </x:c>
      <x:c r="R217" s="2" t="str">
        <x:f>IF(AND(Q217=1,P217&lt;='Dashboard'!$B$5),IF(P217&gt;B217,"Accepted late","Accepted"),IF(B217&lt;'Dashboard'!$B$5,"Overdue",IF(I217="Blocked","Blocked",IF(B217='Dashboard'!$B$5,"Due today","Planned"))))</x:f>
        <x:v>Planned</x:v>
      </x:c>
      <x:c r="S217" s="26" t="str">
        <x:f>IF(I217="Accepted",IF(K217="","Add evidence",IF(O217="","Add reviewer",IF(P217="","Add accepted date",IF(AND(ISNUMBER(F217),COUNT(G217)=0),"Add actual quantity",IF(Q217=0,"Review target / date / dependencies","Complete"))))),IF(OR(I217="Blocked",I217="Deferred"),IF(L217="","Record blocker / reason",IF(M217="","Assign rescue owner",IF(N217="","Set recovery date","Recovery assigned"))),IF(B217&lt;'Dashboard'!$B$5,"Escalate and record recovery","Work to acceptance standard")))</x:f>
        <x:v>Work to acceptance standard</x:v>
      </x:c>
      <x:c r="T217" s="26" t="str">
        <x:v>T0067</x:v>
      </x:c>
      <x:c r="U217" s="26" t="str">
        <x:v>Planning pool addition 0 contacts today; quality gate wins over quota. Total sends&lt;=150/day;&gt;3% bounce affected mailbox held. No new cold enrollments on reduced/buffer days.</x:v>
      </x:c>
      <x:c r="V217" s="31" t="n">
        <x:v>3</x:v>
      </x:c>
      <x:c r="W217" s="26" t="str"/>
      <x:c r="X217" s="26" t="str">
        <x:v>DSI Reset PDF: lane responsibilities and dated runbook; dated allocation proposed for this tracker.</x:v>
      </x:c>
      <x:c r="Y217" s="30" t="n">
        <x:f>B217-WEEKDAY(B217,2)+1</x:f>
        <x:v>46342</x:v>
      </x:c>
      <x:c r="Z217" s="2" t="str">
        <x:v>checklist</x:v>
      </x:c>
      <x:c r="AA217" s="2" t="n">
        <x:f>IF(Q217=1,IF(P217&gt;B217,1,0),0)</x:f>
        <x:v>0</x:v>
      </x:c>
      <x:c r="AB217" s="2" t="n">
        <x:f>IF(AND(Q217=1,P217&lt;='Dashboard'!$B$5),0,MAX(0,'Dashboard'!$B$5-B217))</x:f>
        <x:v>0</x:v>
      </x:c>
      <x:c r="AC217" s="28" t="str"/>
      <x:c r="AD217" s="2" t="str">
        <x:f>IF(AND(ISNUMBER(F217),ISNUMBER(G217)),G217-F217,"")</x:f>
      </x:c>
      <x:c r="AE217" s="2" t="n">
        <x:f>IF(AND(I217="Accepted",K217&lt;&gt;"",O217&lt;&gt;"",ISNUMBER(P217),P217&gt;0,P217&lt;='Dashboard'!$B$5,IF(ISNUMBER(F217),ISNUMBER(G217),TRUE),IF(ISNUMBER(F217),G217&gt;=F217,TRUE)),1,0)</x:f>
        <x:v>0</x:v>
      </x:c>
    </x:row>
    <x:row r="218" ht="58" customHeight="1">
      <x:c r="A218" s="2" t="str">
        <x:v>T0188</x:v>
      </x:c>
      <x:c r="B218" s="30" t="n">
        <x:v>46343</x:v>
      </x:c>
      <x:c r="C218" s="2" t="str">
        <x:v>Nova</x:v>
      </x:c>
      <x:c r="D218" s="2" t="str">
        <x:v>Conversion Orchestrator</x:v>
      </x:c>
      <x:c r="E218" s="26" t="str">
        <x:v>Coverage/SLA evidence; 2 call reviews; booked/held updates; next-step and trial handoffs. Log each unique qualified inquiry with practice type, decision-maker access, case volume, service need and readiness timing.</x:v>
      </x:c>
      <x:c r="F218" s="2" t="n">
        <x:v>1</x:v>
      </x:c>
      <x:c r="G218" s="20"/>
      <x:c r="H218" s="2" t="str">
        <x:v>accepted output</x:v>
      </x:c>
      <x:c r="I218" s="20" t="str">
        <x:v>Ready</x:v>
      </x:c>
      <x:c r="J218" s="2" t="str">
        <x:v>16:45</x:v>
      </x:c>
      <x:c r="K218" s="28" t="str"/>
      <x:c r="L218" s="28" t="str"/>
      <x:c r="M218" s="20" t="str"/>
      <x:c r="N218" s="33"/>
      <x:c r="O218" s="20" t="str"/>
      <x:c r="P218" s="33"/>
      <x:c r="Q218" s="2" t="n">
        <x:f>IF(AND(AE218=1,COUNTIFS($A$7:$A$500,"T0067",$AE$7:$AE$500,1)=1,COUNTIFS($A$7:$A$500,"T0055",$AE$7:$AE$500,1)=1),1,0)</x:f>
        <x:v>0</x:v>
      </x:c>
      <x:c r="R218" s="2" t="str">
        <x:f>IF(AND(Q218=1,P218&lt;='Dashboard'!$B$5),IF(P218&gt;B218,"Accepted late","Accepted"),IF(B218&lt;'Dashboard'!$B$5,"Overdue",IF(I218="Blocked","Blocked",IF(B218='Dashboard'!$B$5,"Due today","Planned"))))</x:f>
        <x:v>Planned</x:v>
      </x:c>
      <x:c r="S218" s="26" t="str">
        <x:f>IF(I218="Accepted",IF(K218="","Add evidence",IF(O218="","Add reviewer",IF(P218="","Add accepted date",IF(AND(ISNUMBER(F218),COUNT(G218)=0),"Add actual quantity",IF(Q218=0,"Review target / date / dependencies","Complete"))))),IF(OR(I218="Blocked",I218="Deferred"),IF(L218="","Record blocker / reason",IF(M218="","Assign rescue owner",IF(N218="","Set recovery date","Recovery assigned"))),IF(B218&lt;'Dashboard'!$B$5,"Escalate and record recovery","Work to acceptance standard")))</x:f>
        <x:v>Work to acceptance standard</x:v>
      </x:c>
      <x:c r="T218" s="26" t="str">
        <x:v>T0067</x:v>
      </x:c>
      <x:c r="U218" s="26" t="str">
        <x:v>Every eligible reply&lt;=15 min; positive call&lt;=60 min; no opportunity without next step; booked brief to Nic; trial logistics to Maseeha. Raw contacts, opens and accepts never count as qualified inquiries; deduplicate across channels.</x:v>
      </x:c>
      <x:c r="V218" s="31" t="n">
        <x:v>4</x:v>
      </x:c>
      <x:c r="W218" s="26" t="str"/>
      <x:c r="X218" s="26" t="str">
        <x:v>DSI Reset PDF: lane responsibilities and dated runbook; dated allocation proposed for this tracker.</x:v>
      </x:c>
      <x:c r="Y218" s="30" t="n">
        <x:f>B218-WEEKDAY(B218,2)+1</x:f>
        <x:v>46342</x:v>
      </x:c>
      <x:c r="Z218" s="2" t="str">
        <x:v>checklist</x:v>
      </x:c>
      <x:c r="AA218" s="2" t="n">
        <x:f>IF(Q218=1,IF(P218&gt;B218,1,0),0)</x:f>
        <x:v>0</x:v>
      </x:c>
      <x:c r="AB218" s="2" t="n">
        <x:f>IF(AND(Q218=1,P218&lt;='Dashboard'!$B$5),0,MAX(0,'Dashboard'!$B$5-B218))</x:f>
        <x:v>0</x:v>
      </x:c>
      <x:c r="AC218" s="28" t="str"/>
      <x:c r="AD218" s="2" t="str">
        <x:f>IF(AND(ISNUMBER(F218),ISNUMBER(G218)),G218-F218,"")</x:f>
      </x:c>
      <x:c r="AE218" s="2" t="n">
        <x:f>IF(AND(I218="Accepted",K218&lt;&gt;"",O218&lt;&gt;"",ISNUMBER(P218),P218&gt;0,P218&lt;='Dashboard'!$B$5,IF(ISNUMBER(F218),ISNUMBER(G218),TRUE),IF(ISNUMBER(F218),G218&gt;=F218,TRUE)),1,0)</x:f>
        <x:v>0</x:v>
      </x:c>
    </x:row>
    <x:row r="219" ht="58" customHeight="1">
      <x:c r="A219" s="2" t="str">
        <x:v>T0189</x:v>
      </x:c>
      <x:c r="B219" s="30" t="n">
        <x:v>46343</x:v>
      </x:c>
      <x:c r="C219" s="2" t="str">
        <x:v>Emman</x:v>
      </x:c>
      <x:c r="D219" s="2" t="str">
        <x:v>AI Build Orchestrator</x:v>
      </x:c>
      <x:c r="E219" s="26" t="str">
        <x:v>Health/retry log; one acceptance-backed build increment; updated change log</x:v>
      </x:c>
      <x:c r="F219" s="2" t="n">
        <x:v>1</x:v>
      </x:c>
      <x:c r="G219" s="20"/>
      <x:c r="H219" s="2" t="str">
        <x:v>accepted output</x:v>
      </x:c>
      <x:c r="I219" s="20" t="str">
        <x:v>Ready</x:v>
      </x:c>
      <x:c r="J219" s="2" t="str">
        <x:v>16:45</x:v>
      </x:c>
      <x:c r="K219" s="28" t="str"/>
      <x:c r="L219" s="28" t="str"/>
      <x:c r="M219" s="20" t="str"/>
      <x:c r="N219" s="33"/>
      <x:c r="O219" s="20" t="str"/>
      <x:c r="P219" s="33"/>
      <x:c r="Q219" s="2" t="n">
        <x:f>IF(AND(AE219=1,COUNTIFS($A$7:$A$500,"T0067",$AE$7:$AE$500,1)=1,COUNTIFS($A$7:$A$500,"T0055",$AE$7:$AE$500,1)=1),1,0)</x:f>
        <x:v>0</x:v>
      </x:c>
      <x:c r="R219" s="2" t="str">
        <x:f>IF(AND(Q219=1,P219&lt;='Dashboard'!$B$5),IF(P219&gt;B219,"Accepted late","Accepted"),IF(B219&lt;'Dashboard'!$B$5,"Overdue",IF(I219="Blocked","Blocked",IF(B219='Dashboard'!$B$5,"Due today","Planned"))))</x:f>
        <x:v>Planned</x:v>
      </x:c>
      <x:c r="S219" s="26" t="str">
        <x:f>IF(I219="Accepted",IF(K219="","Add evidence",IF(O219="","Add reviewer",IF(P219="","Add accepted date",IF(AND(ISNUMBER(F219),COUNT(G219)=0),"Add actual quantity",IF(Q219=0,"Review target / date / dependencies","Complete"))))),IF(OR(I219="Blocked",I219="Deferred"),IF(L219="","Record blocker / reason",IF(M219="","Assign rescue owner",IF(N219="","Set recovery date","Recovery assigned"))),IF(B219&lt;'Dashboard'!$B$5,"Escalate and record recovery","Work to acceptance standard")))</x:f>
        <x:v>Work to acceptance standard</x:v>
      </x:c>
      <x:c r="T219" s="26" t="str">
        <x:v>T0067</x:v>
      </x:c>
      <x:c r="U219" s="26" t="str">
        <x:v>Fix a failing live agent beforestarting the next build. If an agent is still not working 48 hours after its due date, activate the manual SOP. Roll back a live failure within 1 hour. Release build reserve when no approved work remains.</x:v>
      </x:c>
      <x:c r="V219" s="31" t="n">
        <x:v>4</x:v>
      </x:c>
      <x:c r="W219" s="26" t="str"/>
      <x:c r="X219" s="26" t="str">
        <x:v>DSI Reset PDF: lane responsibilities and dated runbook; dated allocation proposed for this tracker.</x:v>
      </x:c>
      <x:c r="Y219" s="30" t="n">
        <x:f>B219-WEEKDAY(B219,2)+1</x:f>
        <x:v>46342</x:v>
      </x:c>
      <x:c r="Z219" s="2" t="str">
        <x:v>checklist</x:v>
      </x:c>
      <x:c r="AA219" s="2" t="n">
        <x:f>IF(Q219=1,IF(P219&gt;B219,1,0),0)</x:f>
        <x:v>0</x:v>
      </x:c>
      <x:c r="AB219" s="2" t="n">
        <x:f>IF(AND(Q219=1,P219&lt;='Dashboard'!$B$5),0,MAX(0,'Dashboard'!$B$5-B219))</x:f>
        <x:v>0</x:v>
      </x:c>
      <x:c r="AC219" s="28" t="str"/>
      <x:c r="AD219" s="2" t="str">
        <x:f>IF(AND(ISNUMBER(F219),ISNUMBER(G219)),G219-F219,"")</x:f>
      </x:c>
      <x:c r="AE219" s="2" t="n">
        <x:f>IF(AND(I219="Accepted",K219&lt;&gt;"",O219&lt;&gt;"",ISNUMBER(P219),P219&gt;0,P219&lt;='Dashboard'!$B$5,IF(ISNUMBER(F219),ISNUMBER(G219),TRUE),IF(ISNUMBER(F219),G219&gt;=F219,TRUE)),1,0)</x:f>
        <x:v>0</x:v>
      </x:c>
    </x:row>
    <x:row r="220" ht="58" customHeight="1">
      <x:c r="A220" s="2" t="str">
        <x:v>T0190</x:v>
      </x:c>
      <x:c r="B220" s="30" t="n">
        <x:v>46343</x:v>
      </x:c>
      <x:c r="C220" s="2" t="str">
        <x:v>Ludwig</x:v>
      </x:c>
      <x:c r="D220" s="2" t="str">
        <x:v>Integration Engineer</x:v>
      </x:c>
      <x:c r="E220" s="26" t="str">
        <x:v>Webhook/error/dead-letter check; top assigned integration ticket or verified no-ticket note</x:v>
      </x:c>
      <x:c r="F220" s="2" t="n">
        <x:v>1</x:v>
      </x:c>
      <x:c r="G220" s="20"/>
      <x:c r="H220" s="2" t="str">
        <x:v>accepted output</x:v>
      </x:c>
      <x:c r="I220" s="20" t="str">
        <x:v>Ready</x:v>
      </x:c>
      <x:c r="J220" s="2" t="str">
        <x:v>16:45</x:v>
      </x:c>
      <x:c r="K220" s="28" t="str"/>
      <x:c r="L220" s="28" t="str"/>
      <x:c r="M220" s="20" t="str"/>
      <x:c r="N220" s="33"/>
      <x:c r="O220" s="20" t="str"/>
      <x:c r="P220" s="33"/>
      <x:c r="Q220" s="2" t="n">
        <x:f>IF(AND(AE220=1,COUNTIFS($A$7:$A$500,"T0067",$AE$7:$AE$500,1)=1,COUNTIFS($A$7:$A$500,"T0055",$AE$7:$AE$500,1)=1),1,0)</x:f>
        <x:v>0</x:v>
      </x:c>
      <x:c r="R220" s="2" t="str">
        <x:f>IF(AND(Q220=1,P220&lt;='Dashboard'!$B$5),IF(P220&gt;B220,"Accepted late","Accepted"),IF(B220&lt;'Dashboard'!$B$5,"Overdue",IF(I220="Blocked","Blocked",IF(B220='Dashboard'!$B$5,"Due today","Planned"))))</x:f>
        <x:v>Planned</x:v>
      </x:c>
      <x:c r="S220" s="26" t="str">
        <x:f>IF(I220="Accepted",IF(K220="","Add evidence",IF(O220="","Add reviewer",IF(P220="","Add accepted date",IF(AND(ISNUMBER(F220),COUNT(G220)=0),"Add actual quantity",IF(Q220=0,"Review target / date / dependencies","Complete"))))),IF(OR(I220="Blocked",I220="Deferred"),IF(L220="","Record blocker / reason",IF(M220="","Assign rescue owner",IF(N220="","Set recovery date","Recovery assigned"))),IF(B220&lt;'Dashboard'!$B$5,"Escalate and record recovery","Work to acceptance standard")))</x:f>
        <x:v>Work to acceptance standard</x:v>
      </x:c>
      <x:c r="T220" s="26" t="str">
        <x:v>T0067</x:v>
      </x:c>
      <x:c r="U220" s="26" t="str">
        <x:v>Only Emman’s priority queue; 100% test capture; runbook/retry/rollback evidence. If no fault/ticket, release reserve; do not invent work.</x:v>
      </x:c>
      <x:c r="V220" s="31" t="n">
        <x:v>1.6</x:v>
      </x:c>
      <x:c r="W220" s="26" t="str"/>
      <x:c r="X220" s="26" t="str">
        <x:v>DSI Reset PDF: lane responsibilities and dated runbook; dated allocation proposed for this tracker.</x:v>
      </x:c>
      <x:c r="Y220" s="30" t="n">
        <x:f>B220-WEEKDAY(B220,2)+1</x:f>
        <x:v>46342</x:v>
      </x:c>
      <x:c r="Z220" s="2" t="str">
        <x:v>checklist</x:v>
      </x:c>
      <x:c r="AA220" s="2" t="n">
        <x:f>IF(Q220=1,IF(P220&gt;B220,1,0),0)</x:f>
        <x:v>0</x:v>
      </x:c>
      <x:c r="AB220" s="2" t="n">
        <x:f>IF(AND(Q220=1,P220&lt;='Dashboard'!$B$5),0,MAX(0,'Dashboard'!$B$5-B220))</x:f>
        <x:v>0</x:v>
      </x:c>
      <x:c r="AC220" s="28" t="str"/>
      <x:c r="AD220" s="2" t="str">
        <x:f>IF(AND(ISNUMBER(F220),ISNUMBER(G220)),G220-F220,"")</x:f>
      </x:c>
      <x:c r="AE220" s="2" t="n">
        <x:f>IF(AND(I220="Accepted",K220&lt;&gt;"",O220&lt;&gt;"",ISNUMBER(P220),P220&gt;0,P220&lt;='Dashboard'!$B$5,IF(ISNUMBER(F220),ISNUMBER(G220),TRUE),IF(ISNUMBER(F220),G220&gt;=F220,TRUE)),1,0)</x:f>
        <x:v>0</x:v>
      </x:c>
    </x:row>
    <x:row r="221" ht="58" customHeight="1">
      <x:c r="A221" s="2" t="str">
        <x:v>T0191</x:v>
      </x:c>
      <x:c r="B221" s="30" t="n">
        <x:v>46343</x:v>
      </x:c>
      <x:c r="C221" s="2" t="str">
        <x:v>Alvin</x:v>
      </x:c>
      <x:c r="D221" s="2" t="str">
        <x:v>CQL/GHL Implementation</x:v>
      </x:c>
      <x:c r="E221" s="26" t="str">
        <x:v>Stage/calendar/reminder QA; due workflow fixes; approved post mirrors/evidence Publish approved post SOC07 (Engage); capture the live URL.</x:v>
      </x:c>
      <x:c r="F221" s="2" t="n">
        <x:v>1</x:v>
      </x:c>
      <x:c r="G221" s="20"/>
      <x:c r="H221" s="2" t="str">
        <x:v>accepted output</x:v>
      </x:c>
      <x:c r="I221" s="20" t="str">
        <x:v>Ready</x:v>
      </x:c>
      <x:c r="J221" s="2" t="str">
        <x:v>16:45</x:v>
      </x:c>
      <x:c r="K221" s="28" t="str"/>
      <x:c r="L221" s="28" t="str"/>
      <x:c r="M221" s="20" t="str"/>
      <x:c r="N221" s="33"/>
      <x:c r="O221" s="20" t="str"/>
      <x:c r="P221" s="33"/>
      <x:c r="Q221" s="2" t="n">
        <x:f>IF(AND(AE221=1,COUNTIFS($A$7:$A$500,"T0067",$AE$7:$AE$500,1)=1,COUNTIFS($A$7:$A$500,"T0055",$AE$7:$AE$500,1)=1),1,0)</x:f>
        <x:v>0</x:v>
      </x:c>
      <x:c r="R221" s="2" t="str">
        <x:f>IF(AND(Q221=1,P221&lt;='Dashboard'!$B$5),IF(P221&gt;B221,"Accepted late","Accepted"),IF(B221&lt;'Dashboard'!$B$5,"Overdue",IF(I221="Blocked","Blocked",IF(B221='Dashboard'!$B$5,"Due today","Planned"))))</x:f>
        <x:v>Planned</x:v>
      </x:c>
      <x:c r="S221" s="26" t="str">
        <x:f>IF(I221="Accepted",IF(K221="","Add evidence",IF(O221="","Add reviewer",IF(P221="","Add accepted date",IF(AND(ISNUMBER(F221),COUNT(G221)=0),"Add actual quantity",IF(Q221=0,"Review target / date / dependencies","Complete"))))),IF(OR(I221="Blocked",I221="Deferred"),IF(L221="","Record blocker / reason",IF(M221="","Assign rescue owner",IF(N221="","Set recovery date","Recovery assigned"))),IF(B221&lt;'Dashboard'!$B$5,"Escalate and record recovery","Work to acceptance standard")))</x:f>
        <x:v>Work to acceptance standard</x:v>
      </x:c>
      <x:c r="T221" s="26" t="str">
        <x:v>T0067</x:v>
      </x:c>
      <x:c r="U221" s="26" t="str">
        <x:v>No-show task&lt;=10 min; form/source fields correct; finish critical CRM defect same day. Facebook mirrors exact approved post; Instagram requires permissioned image.</x:v>
      </x:c>
      <x:c r="V221" s="31" t="n">
        <x:v>2</x:v>
      </x:c>
      <x:c r="W221" s="26" t="str"/>
      <x:c r="X221" s="26" t="str">
        <x:v>DSI Reset PDF: lane responsibilities and dated runbook; dated allocation proposed for this tracker.</x:v>
      </x:c>
      <x:c r="Y221" s="30" t="n">
        <x:f>B221-WEEKDAY(B221,2)+1</x:f>
        <x:v>46342</x:v>
      </x:c>
      <x:c r="Z221" s="2" t="str">
        <x:v>checklist</x:v>
      </x:c>
      <x:c r="AA221" s="2" t="n">
        <x:f>IF(Q221=1,IF(P221&gt;B221,1,0),0)</x:f>
        <x:v>0</x:v>
      </x:c>
      <x:c r="AB221" s="2" t="n">
        <x:f>IF(AND(Q221=1,P221&lt;='Dashboard'!$B$5),0,MAX(0,'Dashboard'!$B$5-B221))</x:f>
        <x:v>0</x:v>
      </x:c>
      <x:c r="AC221" s="28" t="str"/>
      <x:c r="AD221" s="2" t="str">
        <x:f>IF(AND(ISNUMBER(F221),ISNUMBER(G221)),G221-F221,"")</x:f>
      </x:c>
      <x:c r="AE221" s="2" t="n">
        <x:f>IF(AND(I221="Accepted",K221&lt;&gt;"",O221&lt;&gt;"",ISNUMBER(P221),P221&gt;0,P221&lt;='Dashboard'!$B$5,IF(ISNUMBER(F221),ISNUMBER(G221),TRUE),IF(ISNUMBER(F221),G221&gt;=F221,TRUE)),1,0)</x:f>
        <x:v>0</x:v>
      </x:c>
    </x:row>
    <x:row r="222" ht="58" customHeight="1">
      <x:c r="A222" s="2" t="str">
        <x:v>T0192</x:v>
      </x:c>
      <x:c r="B222" s="30" t="n">
        <x:v>46343</x:v>
      </x:c>
      <x:c r="C222" s="2" t="str">
        <x:v>Brian</x:v>
      </x:c>
      <x:c r="D222" s="2" t="str">
        <x:v>Web and Tracking</x:v>
      </x:c>
      <x:c r="E222" s="26" t="str">
        <x:v>One health-check result; at most one weekly change ticket or no-ticket note</x:v>
      </x:c>
      <x:c r="F222" s="2" t="n">
        <x:v>1</x:v>
      </x:c>
      <x:c r="G222" s="20"/>
      <x:c r="H222" s="2" t="str">
        <x:v>accepted output</x:v>
      </x:c>
      <x:c r="I222" s="20" t="str">
        <x:v>Ready</x:v>
      </x:c>
      <x:c r="J222" s="2" t="str">
        <x:v>16:45</x:v>
      </x:c>
      <x:c r="K222" s="28" t="str"/>
      <x:c r="L222" s="28" t="str"/>
      <x:c r="M222" s="20" t="str"/>
      <x:c r="N222" s="33"/>
      <x:c r="O222" s="20" t="str"/>
      <x:c r="P222" s="33"/>
      <x:c r="Q222" s="2" t="n">
        <x:f>IF(AND(AE222=1,COUNTIFS($A$7:$A$500,"T0067",$AE$7:$AE$500,1)=1,COUNTIFS($A$7:$A$500,"T0055",$AE$7:$AE$500,1)=1),1,0)</x:f>
        <x:v>0</x:v>
      </x:c>
      <x:c r="R222" s="2" t="str">
        <x:f>IF(AND(Q222=1,P222&lt;='Dashboard'!$B$5),IF(P222&gt;B222,"Accepted late","Accepted"),IF(B222&lt;'Dashboard'!$B$5,"Overdue",IF(I222="Blocked","Blocked",IF(B222='Dashboard'!$B$5,"Due today","Planned"))))</x:f>
        <x:v>Planned</x:v>
      </x:c>
      <x:c r="S222" s="26" t="str">
        <x:f>IF(I222="Accepted",IF(K222="","Add evidence",IF(O222="","Add reviewer",IF(P222="","Add accepted date",IF(AND(ISNUMBER(F222),COUNT(G222)=0),"Add actual quantity",IF(Q222=0,"Review target / date / dependencies","Complete"))))),IF(OR(I222="Blocked",I222="Deferred"),IF(L222="","Record blocker / reason",IF(M222="","Assign rescue owner",IF(N222="","Set recovery date","Recovery assigned"))),IF(B222&lt;'Dashboard'!$B$5,"Escalate and record recovery","Work to acceptance standard")))</x:f>
        <x:v>Work to acceptance standard</x:v>
      </x:c>
      <x:c r="T222" s="26" t="str">
        <x:v>T0067</x:v>
      </x:c>
      <x:c r="U222" s="26" t="str">
        <x:v>Form to CQL&lt;1 min; approved copy unchanged; no work manufactured if healthy; ongoing reserve&lt;=2 h/week.</x:v>
      </x:c>
      <x:c r="V222" s="31" t="n">
        <x:v>0.4</x:v>
      </x:c>
      <x:c r="W222" s="26" t="str"/>
      <x:c r="X222" s="26" t="str">
        <x:v>DSI Reset PDF: lane responsibilities and dated runbook; dated allocation proposed for this tracker.</x:v>
      </x:c>
      <x:c r="Y222" s="30" t="n">
        <x:f>B222-WEEKDAY(B222,2)+1</x:f>
        <x:v>46342</x:v>
      </x:c>
      <x:c r="Z222" s="2" t="str">
        <x:v>checklist</x:v>
      </x:c>
      <x:c r="AA222" s="2" t="n">
        <x:f>IF(Q222=1,IF(P222&gt;B222,1,0),0)</x:f>
        <x:v>0</x:v>
      </x:c>
      <x:c r="AB222" s="2" t="n">
        <x:f>IF(AND(Q222=1,P222&lt;='Dashboard'!$B$5),0,MAX(0,'Dashboard'!$B$5-B222))</x:f>
        <x:v>0</x:v>
      </x:c>
      <x:c r="AC222" s="28" t="str"/>
      <x:c r="AD222" s="2" t="str">
        <x:f>IF(AND(ISNUMBER(F222),ISNUMBER(G222)),G222-F222,"")</x:f>
      </x:c>
      <x:c r="AE222" s="2" t="n">
        <x:f>IF(AND(I222="Accepted",K222&lt;&gt;"",O222&lt;&gt;"",ISNUMBER(P222),P222&gt;0,P222&lt;='Dashboard'!$B$5,IF(ISNUMBER(F222),ISNUMBER(G222),TRUE),IF(ISNUMBER(F222),G222&gt;=F222,TRUE)),1,0)</x:f>
        <x:v>0</x:v>
      </x:c>
    </x:row>
    <x:row r="223" ht="58" customHeight="1">
      <x:c r="A223" s="2" t="str">
        <x:v>T0193</x:v>
      </x:c>
      <x:c r="B223" s="30" t="n">
        <x:v>46343</x:v>
      </x:c>
      <x:c r="C223" s="2" t="str">
        <x:v>Dexter</x:v>
      </x:c>
      <x:c r="D223" s="2" t="str">
        <x:v>LinkedIn Execution</x:v>
      </x:c>
      <x:c r="E223" s="26" t="str">
        <x:v>CQL logged DMs/accepts; eligible requests; referred interested replies; approved post evidence Publish approved post SOC07 (Engage); capture the live URL.</x:v>
      </x:c>
      <x:c r="F223" s="2" t="n">
        <x:v>25</x:v>
      </x:c>
      <x:c r="G223" s="20"/>
      <x:c r="H223" s="2" t="str">
        <x:v>new request working target; eligible pool required</x:v>
      </x:c>
      <x:c r="I223" s="20" t="str">
        <x:v>Ready</x:v>
      </x:c>
      <x:c r="J223" s="2" t="str">
        <x:v>16:45</x:v>
      </x:c>
      <x:c r="K223" s="28" t="str"/>
      <x:c r="L223" s="28" t="str"/>
      <x:c r="M223" s="20" t="str"/>
      <x:c r="N223" s="33"/>
      <x:c r="O223" s="20" t="str"/>
      <x:c r="P223" s="33"/>
      <x:c r="Q223" s="2" t="n">
        <x:f>IF(AND(AE223=1,COUNTIFS($A$7:$A$500,"T0067",$AE$7:$AE$500,1)=1,COUNTIFS($A$7:$A$500,"T0055",$AE$7:$AE$500,1)=1),1,0)</x:f>
        <x:v>0</x:v>
      </x:c>
      <x:c r="R223" s="2" t="str">
        <x:f>IF(AND(Q223=1,P223&lt;='Dashboard'!$B$5),IF(P223&gt;B223,"Accepted late","Accepted"),IF(B223&lt;'Dashboard'!$B$5,"Overdue",IF(I223="Blocked","Blocked",IF(B223='Dashboard'!$B$5,"Due today","Planned"))))</x:f>
        <x:v>Planned</x:v>
      </x:c>
      <x:c r="S223" s="26" t="str">
        <x:f>IF(I223="Accepted",IF(K223="","Add evidence",IF(O223="","Add reviewer",IF(P223="","Add accepted date",IF(AND(ISNUMBER(F223),COUNT(G223)=0),"Add actual quantity",IF(Q223=0,"Review target / date / dependencies","Complete"))))),IF(OR(I223="Blocked",I223="Deferred"),IF(L223="","Record blocker / reason",IF(M223="","Assign rescue owner",IF(N223="","Set recovery date","Recovery assigned"))),IF(B223&lt;'Dashboard'!$B$5,"Escalate and record recovery","Work to acceptance standard")))</x:f>
        <x:v>Work to acceptance standard</x:v>
      </x:c>
      <x:c r="T223" s="26" t="str">
        <x:v>T0067</x:v>
      </x:c>
      <x:c r="U223"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23" s="31" t="n">
        <x:v>3</x:v>
      </x:c>
      <x:c r="W223" s="26" t="str"/>
      <x:c r="X223" s="26" t="str">
        <x:v>DSI Reset PDF: lane responsibilities and dated runbook; dated allocation proposed for this tracker.</x:v>
      </x:c>
      <x:c r="Y223" s="30" t="n">
        <x:f>B223-WEEKDAY(B223,2)+1</x:f>
        <x:v>46342</x:v>
      </x:c>
      <x:c r="Z223" s="2" t="str">
        <x:v>capacity</x:v>
      </x:c>
      <x:c r="AA223" s="2" t="n">
        <x:f>IF(Q223=1,IF(P223&gt;B223,1,0),0)</x:f>
        <x:v>0</x:v>
      </x:c>
      <x:c r="AB223" s="2" t="n">
        <x:f>IF(AND(Q223=1,P223&lt;='Dashboard'!$B$5),0,MAX(0,'Dashboard'!$B$5-B223))</x:f>
        <x:v>0</x:v>
      </x:c>
      <x:c r="AC223" s="28" t="str"/>
      <x:c r="AD223" s="2" t="str">
        <x:f>IF(AND(ISNUMBER(F223),ISNUMBER(G223)),G223-F223,"")</x:f>
      </x:c>
      <x:c r="AE223" s="2" t="n">
        <x:f>IF(AND(I223="Accepted",K223&lt;&gt;"",O223&lt;&gt;"",ISNUMBER(P223),P223&gt;0,P223&lt;='Dashboard'!$B$5,IF(ISNUMBER(F223),ISNUMBER(G223),TRUE),IF(ISNUMBER(F223),OR(G223&gt;=F223,AC223&lt;&gt;""),TRUE)),1,0)</x:f>
        <x:v>0</x:v>
      </x:c>
    </x:row>
    <x:row r="224" ht="58" customHeight="1">
      <x:c r="A224" s="2" t="str">
        <x:v>T0194</x:v>
      </x:c>
      <x:c r="B224" s="30" t="n">
        <x:v>46343</x:v>
      </x:c>
      <x:c r="C224" s="2" t="str">
        <x:v>Setter 1</x:v>
      </x:c>
      <x:c r="D224" s="2" t="str">
        <x:v>Reply and Phone Setter</x:v>
      </x:c>
      <x:c r="E224" s="26" t="str">
        <x:v>SLA/call outcome log; bookings and next steps; handoff to Nova</x:v>
      </x:c>
      <x:c r="F224" s="2" t="n">
        <x:v>50</x:v>
      </x:c>
      <x:c r="G224" s="20"/>
      <x:c r="H224" s="2" t="str">
        <x:v>dial working target; inbound SLA takes priority</x:v>
      </x:c>
      <x:c r="I224" s="20" t="str">
        <x:v>Ready</x:v>
      </x:c>
      <x:c r="J224" s="2" t="str">
        <x:v>16:45</x:v>
      </x:c>
      <x:c r="K224" s="28" t="str"/>
      <x:c r="L224" s="28" t="str"/>
      <x:c r="M224" s="20" t="str"/>
      <x:c r="N224" s="33"/>
      <x:c r="O224" s="20" t="str"/>
      <x:c r="P224" s="33"/>
      <x:c r="Q224" s="2" t="n">
        <x:f>IF(AND(AE224=1,COUNTIFS($A$7:$A$500,"T0013",$AE$7:$AE$500,1)=1,COUNTIFS($A$7:$A$500,"T0055",$AE$7:$AE$500,1)=1),1,0)</x:f>
        <x:v>0</x:v>
      </x:c>
      <x:c r="R224" s="2" t="str">
        <x:f>IF(AND(Q224=1,P224&lt;='Dashboard'!$B$5),IF(P224&gt;B224,"Accepted late","Accepted"),IF(B224&lt;'Dashboard'!$B$5,"Overdue",IF(I224="Blocked","Blocked",IF(B224='Dashboard'!$B$5,"Due today","Planned"))))</x:f>
        <x:v>Planned</x:v>
      </x:c>
      <x:c r="S224" s="26" t="str">
        <x:f>IF(I224="Accepted",IF(K224="","Add evidence",IF(O224="","Add reviewer",IF(P224="","Add accepted date",IF(AND(ISNUMBER(F224),COUNT(G224)=0),"Add actual quantity",IF(Q224=0,"Review target / date / dependencies","Complete"))))),IF(OR(I224="Blocked",I224="Deferred"),IF(L224="","Record blocker / reason",IF(M224="","Assign rescue owner",IF(N224="","Set recovery date","Recovery assigned"))),IF(B224&lt;'Dashboard'!$B$5,"Escalate and record recovery","Work to acceptance standard")))</x:f>
        <x:v>Work to acceptance standard</x:v>
      </x:c>
      <x:c r="T224" s="26" t="str">
        <x:v>T0013; T0055</x:v>
      </x:c>
      <x:c r="U22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24" s="31" t="n">
        <x:v>7.5</x:v>
      </x:c>
      <x:c r="W224" s="26" t="str"/>
      <x:c r="X224" s="26" t="str">
        <x:v>DSI Reset PDF: lane responsibilities and dated runbook; dated allocation proposed for this tracker.</x:v>
      </x:c>
      <x:c r="Y224" s="30" t="n">
        <x:f>B224-WEEKDAY(B224,2)+1</x:f>
        <x:v>46342</x:v>
      </x:c>
      <x:c r="Z224" s="2" t="str">
        <x:v>capacity</x:v>
      </x:c>
      <x:c r="AA224" s="2" t="n">
        <x:f>IF(Q224=1,IF(P224&gt;B224,1,0),0)</x:f>
        <x:v>0</x:v>
      </x:c>
      <x:c r="AB224" s="2" t="n">
        <x:f>IF(AND(Q224=1,P224&lt;='Dashboard'!$B$5),0,MAX(0,'Dashboard'!$B$5-B224))</x:f>
        <x:v>0</x:v>
      </x:c>
      <x:c r="AC224" s="28" t="str"/>
      <x:c r="AD224" s="2" t="str">
        <x:f>IF(AND(ISNUMBER(F224),ISNUMBER(G224)),G224-F224,"")</x:f>
      </x:c>
      <x:c r="AE224" s="2" t="n">
        <x:f>IF(AND(I224="Accepted",K224&lt;&gt;"",O224&lt;&gt;"",ISNUMBER(P224),P224&gt;0,P224&lt;='Dashboard'!$B$5,IF(ISNUMBER(F224),ISNUMBER(G224),TRUE),IF(ISNUMBER(F224),OR(G224&gt;=F224,AC224&lt;&gt;""),TRUE)),1,0)</x:f>
        <x:v>0</x:v>
      </x:c>
    </x:row>
    <x:row r="225" ht="58" customHeight="1">
      <x:c r="A225" s="2" t="str">
        <x:v>T0195</x:v>
      </x:c>
      <x:c r="B225" s="30" t="n">
        <x:v>46343</x:v>
      </x:c>
      <x:c r="C225" s="2" t="str">
        <x:v>Setter 2</x:v>
      </x:c>
      <x:c r="D225" s="2" t="str">
        <x:v>Reply and Phone Setter</x:v>
      </x:c>
      <x:c r="E225" s="26" t="str">
        <x:v>SLA/call outcome log; bookings and next steps; handoff to Nova</x:v>
      </x:c>
      <x:c r="F225" s="2" t="n">
        <x:v>50</x:v>
      </x:c>
      <x:c r="G225" s="20"/>
      <x:c r="H225" s="2" t="str">
        <x:v>dial working target; inbound SLA takes priority</x:v>
      </x:c>
      <x:c r="I225" s="20" t="str">
        <x:v>Ready</x:v>
      </x:c>
      <x:c r="J225" s="2" t="str">
        <x:v>16:45</x:v>
      </x:c>
      <x:c r="K225" s="28" t="str"/>
      <x:c r="L225" s="28" t="str"/>
      <x:c r="M225" s="20" t="str"/>
      <x:c r="N225" s="33"/>
      <x:c r="O225" s="20" t="str"/>
      <x:c r="P225" s="33"/>
      <x:c r="Q225" s="2" t="n">
        <x:f>IF(AND(AE225=1,COUNTIFS($A$7:$A$500,"T0013",$AE$7:$AE$500,1)=1,COUNTIFS($A$7:$A$500,"T0055",$AE$7:$AE$500,1)=1),1,0)</x:f>
        <x:v>0</x:v>
      </x:c>
      <x:c r="R225" s="2" t="str">
        <x:f>IF(AND(Q225=1,P225&lt;='Dashboard'!$B$5),IF(P225&gt;B225,"Accepted late","Accepted"),IF(B225&lt;'Dashboard'!$B$5,"Overdue",IF(I225="Blocked","Blocked",IF(B225='Dashboard'!$B$5,"Due today","Planned"))))</x:f>
        <x:v>Planned</x:v>
      </x:c>
      <x:c r="S225" s="26" t="str">
        <x:f>IF(I225="Accepted",IF(K225="","Add evidence",IF(O225="","Add reviewer",IF(P225="","Add accepted date",IF(AND(ISNUMBER(F225),COUNT(G225)=0),"Add actual quantity",IF(Q225=0,"Review target / date / dependencies","Complete"))))),IF(OR(I225="Blocked",I225="Deferred"),IF(L225="","Record blocker / reason",IF(M225="","Assign rescue owner",IF(N225="","Set recovery date","Recovery assigned"))),IF(B225&lt;'Dashboard'!$B$5,"Escalate and record recovery","Work to acceptance standard")))</x:f>
        <x:v>Work to acceptance standard</x:v>
      </x:c>
      <x:c r="T225" s="26" t="str">
        <x:v>T0013; T0055</x:v>
      </x:c>
      <x:c r="U22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25" s="31" t="n">
        <x:v>7.5</x:v>
      </x:c>
      <x:c r="W225" s="26" t="str"/>
      <x:c r="X225" s="26" t="str">
        <x:v>DSI Reset PDF: lane responsibilities and dated runbook; dated allocation proposed for this tracker.</x:v>
      </x:c>
      <x:c r="Y225" s="30" t="n">
        <x:f>B225-WEEKDAY(B225,2)+1</x:f>
        <x:v>46342</x:v>
      </x:c>
      <x:c r="Z225" s="2" t="str">
        <x:v>capacity</x:v>
      </x:c>
      <x:c r="AA225" s="2" t="n">
        <x:f>IF(Q225=1,IF(P225&gt;B225,1,0),0)</x:f>
        <x:v>0</x:v>
      </x:c>
      <x:c r="AB225" s="2" t="n">
        <x:f>IF(AND(Q225=1,P225&lt;='Dashboard'!$B$5),0,MAX(0,'Dashboard'!$B$5-B225))</x:f>
        <x:v>0</x:v>
      </x:c>
      <x:c r="AC225" s="28" t="str"/>
      <x:c r="AD225" s="2" t="str">
        <x:f>IF(AND(ISNUMBER(F225),ISNUMBER(G225)),G225-F225,"")</x:f>
      </x:c>
      <x:c r="AE225" s="2" t="n">
        <x:f>IF(AND(I225="Accepted",K225&lt;&gt;"",O225&lt;&gt;"",ISNUMBER(P225),P225&gt;0,P225&lt;='Dashboard'!$B$5,IF(ISNUMBER(F225),ISNUMBER(G225),TRUE),IF(ISNUMBER(F225),OR(G225&gt;=F225,AC225&lt;&gt;""),TRUE)),1,0)</x:f>
        <x:v>0</x:v>
      </x:c>
    </x:row>
    <x:row r="226" ht="58" customHeight="1">
      <x:c r="A226" s="2" t="str">
        <x:v>T0454</x:v>
      </x:c>
      <x:c r="B226" s="30" t="n">
        <x:v>46343</x:v>
      </x:c>
      <x:c r="C226" s="2" t="str">
        <x:v>Nic</x:v>
      </x:c>
      <x:c r="D226" s="2" t="str">
        <x:v>Client dependency</x:v>
      </x:c>
      <x:c r="E226" s="26" t="str">
        <x:v>Call outcome/next step for every appointment due; first-case decisions</x:v>
      </x:c>
      <x:c r="F226" s="2" t="str"/>
      <x:c r="G226" s="20"/>
      <x:c r="H226" s="2" t="str">
        <x:v>all due appointments</x:v>
      </x:c>
      <x:c r="I226" s="20" t="str">
        <x:v>Ready</x:v>
      </x:c>
      <x:c r="J226" s="2" t="str">
        <x:v>16:45</x:v>
      </x:c>
      <x:c r="K226" s="28" t="str"/>
      <x:c r="L226" s="28" t="str"/>
      <x:c r="M226" s="20" t="str"/>
      <x:c r="N226" s="33"/>
      <x:c r="O226" s="20" t="str"/>
      <x:c r="P226" s="33"/>
      <x:c r="Q226" s="2" t="n">
        <x:f>IF(AND(AE226=1,COUNTIFS($A$7:$A$500,"T0028",$AE$7:$AE$500,1)=1),1,0)</x:f>
        <x:v>0</x:v>
      </x:c>
      <x:c r="R226" s="2" t="str">
        <x:f>IF(AND(Q226=1,P226&lt;='Dashboard'!$B$5),IF(P226&gt;B226,"Accepted late","Accepted"),IF(B226&lt;'Dashboard'!$B$5,"Overdue",IF(I226="Blocked","Blocked",IF(B226='Dashboard'!$B$5,"Due today","Planned"))))</x:f>
        <x:v>Planned</x:v>
      </x:c>
      <x:c r="S226" s="26" t="str">
        <x:f>IF(I226="Accepted",IF(K226="","Add evidence",IF(O226="","Add reviewer",IF(P226="","Add accepted date",IF(AND(ISNUMBER(F226),COUNT(G226)=0),"Add actual quantity",IF(Q226=0,"Review target / date / dependencies","Complete"))))),IF(OR(I226="Blocked",I226="Deferred"),IF(L226="","Record blocker / reason",IF(M226="","Assign rescue owner",IF(N226="","Set recovery date","Recovery assigned"))),IF(B226&lt;'Dashboard'!$B$5,"Escalate and record recovery","Work to acceptance standard")))</x:f>
        <x:v>Work to acceptance standard</x:v>
      </x:c>
      <x:c r="T226" s="26" t="str">
        <x:v>T0028</x:v>
      </x:c>
      <x:c r="U226" s="26" t="str">
        <x:v>Demand-linked: work actual approved calendar; setter brief present; outcome logged same day. No calls scheduled is N/A with calendar evidence.</x:v>
      </x:c>
      <x:c r="V226" s="31" t="n">
        <x:v>0.5</x:v>
      </x:c>
      <x:c r="W226" s="26" t="str"/>
      <x:c r="X226" s="26" t="str">
        <x:v>DSI Reset PDF: lane responsibilities and dated runbook; dated allocation proposed for this tracker.</x:v>
      </x:c>
      <x:c r="Y226" s="30" t="n">
        <x:f>B226-WEEKDAY(B226,2)+1</x:f>
        <x:v>46342</x:v>
      </x:c>
      <x:c r="Z226" s="2" t="str">
        <x:v>demand</x:v>
      </x:c>
      <x:c r="AA226" s="2" t="n">
        <x:f>IF(Q226=1,IF(P226&gt;B226,1,0),0)</x:f>
        <x:v>0</x:v>
      </x:c>
      <x:c r="AB226" s="2" t="n">
        <x:f>IF(AND(Q226=1,P226&lt;='Dashboard'!$B$5),0,MAX(0,'Dashboard'!$B$5-B226))</x:f>
        <x:v>0</x:v>
      </x:c>
      <x:c r="AC226" s="28" t="str"/>
      <x:c r="AD226" s="2" t="str">
        <x:f>IF(AND(ISNUMBER(F226),ISNUMBER(G226)),G226-F226,"")</x:f>
      </x:c>
      <x:c r="AE226" s="2" t="n">
        <x:f>IF(AND(I226="Accepted",K226&lt;&gt;"",O226&lt;&gt;"",ISNUMBER(P226),P226&gt;0,P226&lt;='Dashboard'!$B$5,IF(ISNUMBER(F226),ISNUMBER(G226),TRUE)),1,0)</x:f>
        <x:v>0</x:v>
      </x:c>
    </x:row>
    <x:row r="227" ht="58" customHeight="1">
      <x:c r="A227" s="2" t="str">
        <x:v>T0455</x:v>
      </x:c>
      <x:c r="B227" s="30" t="n">
        <x:v>46343</x:v>
      </x:c>
      <x:c r="C227" s="2" t="str">
        <x:v>Maseeha</x:v>
      </x:c>
      <x:c r="D227" s="2" t="str">
        <x:v>Client dependency</x:v>
      </x:c>
      <x:c r="E227" s="26" t="str">
        <x:v>Due intro verification; kit/case handoff; delivery/Day-30 dates; credit trigger log. Planned asks today: 2 unique existing accounts; cumulative 29.</x:v>
      </x:c>
      <x:c r="F227" s="2" t="str"/>
      <x:c r="G227" s="20"/>
      <x:c r="H227" s="2" t="str">
        <x:v>all due cases</x:v>
      </x:c>
      <x:c r="I227" s="20" t="str">
        <x:v>Ready</x:v>
      </x:c>
      <x:c r="J227" s="2" t="str">
        <x:v>16:45</x:v>
      </x:c>
      <x:c r="K227" s="28" t="str"/>
      <x:c r="L227" s="28" t="str"/>
      <x:c r="M227" s="20" t="str"/>
      <x:c r="N227" s="33"/>
      <x:c r="O227" s="20" t="str"/>
      <x:c r="P227" s="33"/>
      <x:c r="Q227" s="2" t="n">
        <x:f>IF(AND(AE227=1,COUNTIFS($A$7:$A$500,"T0028",$AE$7:$AE$500,1)=1),1,0)</x:f>
        <x:v>0</x:v>
      </x:c>
      <x:c r="R227" s="2" t="str">
        <x:f>IF(AND(Q227=1,P227&lt;='Dashboard'!$B$5),IF(P227&gt;B227,"Accepted late","Accepted"),IF(B227&lt;'Dashboard'!$B$5,"Overdue",IF(I227="Blocked","Blocked",IF(B227='Dashboard'!$B$5,"Due today","Planned"))))</x:f>
        <x:v>Planned</x:v>
      </x:c>
      <x:c r="S227" s="26" t="str">
        <x:f>IF(I227="Accepted",IF(K227="","Add evidence",IF(O227="","Add reviewer",IF(P227="","Add accepted date",IF(AND(ISNUMBER(F227),COUNT(G227)=0),"Add actual quantity",IF(Q227=0,"Review target / date / dependencies","Complete"))))),IF(OR(I227="Blocked",I227="Deferred"),IF(L227="","Record blocker / reason",IF(M227="","Assign rescue owner",IF(N227="","Set recovery date","Recovery assigned"))),IF(B227&lt;'Dashboard'!$B$5,"Escalate and record recovery","Work to acceptance standard")))</x:f>
        <x:v>Work to acceptance standard</x:v>
      </x:c>
      <x:c r="T227" s="26" t="str">
        <x:v>T0028</x:v>
      </x:c>
      <x:c r="U227" s="26" t="str">
        <x:v>Demand-linked: referral verification&lt;=2 business days; trial capacity respected; $200 credit only on eligible invoice paid.</x:v>
      </x:c>
      <x:c r="V227" s="31" t="n">
        <x:v>0.5</x:v>
      </x:c>
      <x:c r="W227" s="26" t="str"/>
      <x:c r="X227" s="26" t="str">
        <x:v>DSI Reset PDF: lane responsibilities and dated runbook; dated allocation proposed for this tracker.</x:v>
      </x:c>
      <x:c r="Y227" s="30" t="n">
        <x:f>B227-WEEKDAY(B227,2)+1</x:f>
        <x:v>46342</x:v>
      </x:c>
      <x:c r="Z227" s="2" t="str">
        <x:v>demand</x:v>
      </x:c>
      <x:c r="AA227" s="2" t="n">
        <x:f>IF(Q227=1,IF(P227&gt;B227,1,0),0)</x:f>
        <x:v>0</x:v>
      </x:c>
      <x:c r="AB227" s="2" t="n">
        <x:f>IF(AND(Q227=1,P227&lt;='Dashboard'!$B$5),0,MAX(0,'Dashboard'!$B$5-B227))</x:f>
        <x:v>0</x:v>
      </x:c>
      <x:c r="AC227" s="28" t="str"/>
      <x:c r="AD227" s="2" t="str">
        <x:f>IF(AND(ISNUMBER(F227),ISNUMBER(G227)),G227-F227,"")</x:f>
      </x:c>
      <x:c r="AE227" s="2" t="n">
        <x:f>IF(AND(I227="Accepted",K227&lt;&gt;"",O227&lt;&gt;"",ISNUMBER(P227),P227&gt;0,P227&lt;='Dashboard'!$B$5,IF(ISNUMBER(F227),ISNUMBER(G227),TRUE)),1,0)</x:f>
        <x:v>0</x:v>
      </x:c>
    </x:row>
    <x:row r="228" ht="58" customHeight="1">
      <x:c r="A228" s="2" t="str">
        <x:v>T0196</x:v>
      </x:c>
      <x:c r="B228" s="30" t="n">
        <x:v>46344</x:v>
      </x:c>
      <x:c r="C228" s="2" t="str">
        <x:v>Wyline</x:v>
      </x:c>
      <x:c r="D228" s="2" t="str">
        <x:v>Program Director</x:v>
      </x:c>
      <x:c r="E228" s="26" t="str">
        <x:v>Accepted-output register; actual-vs-target dashboard; blocker/rescue assignments</x:v>
      </x:c>
      <x:c r="F228" s="2" t="n">
        <x:v>1</x:v>
      </x:c>
      <x:c r="G228" s="20"/>
      <x:c r="H228" s="2" t="str">
        <x:v>accepted output</x:v>
      </x:c>
      <x:c r="I228" s="20" t="str">
        <x:v>Ready</x:v>
      </x:c>
      <x:c r="J228" s="2" t="str">
        <x:v>16:45</x:v>
      </x:c>
      <x:c r="K228" s="28" t="str"/>
      <x:c r="L228" s="28" t="str"/>
      <x:c r="M228" s="20" t="str"/>
      <x:c r="N228" s="33"/>
      <x:c r="O228" s="20" t="str"/>
      <x:c r="P228" s="33"/>
      <x:c r="Q228" s="2" t="n">
        <x:f>IF(AND(AE228=1,COUNTIFS($A$7:$A$500,"T0067",$AE$7:$AE$500,1)=1,COUNTIFS($A$7:$A$500,"T0055",$AE$7:$AE$500,1)=1),1,0)</x:f>
        <x:v>0</x:v>
      </x:c>
      <x:c r="R228" s="2" t="str">
        <x:f>IF(AND(Q228=1,P228&lt;='Dashboard'!$B$5),IF(P228&gt;B228,"Accepted late","Accepted"),IF(B228&lt;'Dashboard'!$B$5,"Overdue",IF(I228="Blocked","Blocked",IF(B228='Dashboard'!$B$5,"Due today","Planned"))))</x:f>
        <x:v>Planned</x:v>
      </x:c>
      <x:c r="S228" s="26" t="str">
        <x:f>IF(I228="Accepted",IF(K228="","Add evidence",IF(O228="","Add reviewer",IF(P228="","Add accepted date",IF(AND(ISNUMBER(F228),COUNT(G228)=0),"Add actual quantity",IF(Q228=0,"Review target / date / dependencies","Complete"))))),IF(OR(I228="Blocked",I228="Deferred"),IF(L228="","Record blocker / reason",IF(M228="","Assign rescue owner",IF(N228="","Set recovery date","Recovery assigned"))),IF(B228&lt;'Dashboard'!$B$5,"Escalate and record recovery","Work to acceptance standard")))</x:f>
        <x:v>Work to acceptance standard</x:v>
      </x:c>
      <x:c r="T228" s="26" t="str">
        <x:v>T0067</x:v>
      </x:c>
      <x:c r="U228" s="26" t="str">
        <x:v>09:00 standup; 13:00/16:30 recovery checks; 17:00 acceptance. Every overdue task keeps original date and named recovery owner.</x:v>
      </x:c>
      <x:c r="V228" s="31" t="n">
        <x:v>3</x:v>
      </x:c>
      <x:c r="W228" s="26" t="str"/>
      <x:c r="X228" s="26" t="str">
        <x:v>DSI Reset PDF: lane responsibilities and dated runbook; dated allocation proposed for this tracker.</x:v>
      </x:c>
      <x:c r="Y228" s="30" t="n">
        <x:f>B228-WEEKDAY(B228,2)+1</x:f>
        <x:v>46342</x:v>
      </x:c>
      <x:c r="Z228" s="2" t="str">
        <x:v>checklist</x:v>
      </x:c>
      <x:c r="AA228" s="2" t="n">
        <x:f>IF(Q228=1,IF(P228&gt;B228,1,0),0)</x:f>
        <x:v>0</x:v>
      </x:c>
      <x:c r="AB228" s="2" t="n">
        <x:f>IF(AND(Q228=1,P228&lt;='Dashboard'!$B$5),0,MAX(0,'Dashboard'!$B$5-B228))</x:f>
        <x:v>0</x:v>
      </x:c>
      <x:c r="AC228" s="28" t="str"/>
      <x:c r="AD228" s="2" t="str">
        <x:f>IF(AND(ISNUMBER(F228),ISNUMBER(G228)),G228-F228,"")</x:f>
      </x:c>
      <x:c r="AE228" s="2" t="n">
        <x:f>IF(AND(I228="Accepted",K228&lt;&gt;"",O228&lt;&gt;"",ISNUMBER(P228),P228&gt;0,P228&lt;='Dashboard'!$B$5,IF(ISNUMBER(F228),ISNUMBER(G228),TRUE),IF(ISNUMBER(F228),G228&gt;=F228,TRUE)),1,0)</x:f>
        <x:v>0</x:v>
      </x:c>
    </x:row>
    <x:row r="229" ht="58" customHeight="1">
      <x:c r="A229" s="2" t="str">
        <x:v>T0197</x:v>
      </x:c>
      <x:c r="B229" s="30" t="n">
        <x:v>46344</x:v>
      </x:c>
      <x:c r="C229" s="2" t="str">
        <x:v>Kenneth</x:v>
      </x:c>
      <x:c r="D229" s="2" t="str">
        <x:v>Message Orchestrator</x:v>
      </x:c>
      <x:c r="E229" s="26" t="str">
        <x:v>Human-reply insights; 5 Inbox draft checks; approved first lines; claim exceptions</x:v>
      </x:c>
      <x:c r="F229" s="2" t="n">
        <x:v>1</x:v>
      </x:c>
      <x:c r="G229" s="20"/>
      <x:c r="H229" s="2" t="str">
        <x:v>accepted output</x:v>
      </x:c>
      <x:c r="I229" s="20" t="str">
        <x:v>Ready</x:v>
      </x:c>
      <x:c r="J229" s="2" t="str">
        <x:v>16:45</x:v>
      </x:c>
      <x:c r="K229" s="28" t="str"/>
      <x:c r="L229" s="28" t="str"/>
      <x:c r="M229" s="20" t="str"/>
      <x:c r="N229" s="33"/>
      <x:c r="O229" s="20" t="str"/>
      <x:c r="P229" s="33"/>
      <x:c r="Q229" s="2" t="n">
        <x:f>IF(AND(AE229=1,COUNTIFS($A$7:$A$500,"T0067",$AE$7:$AE$500,1)=1,COUNTIFS($A$7:$A$500,"T0055",$AE$7:$AE$500,1)=1),1,0)</x:f>
        <x:v>0</x:v>
      </x:c>
      <x:c r="R229" s="2" t="str">
        <x:f>IF(AND(Q229=1,P229&lt;='Dashboard'!$B$5),IF(P229&gt;B229,"Accepted late","Accepted"),IF(B229&lt;'Dashboard'!$B$5,"Overdue",IF(I229="Blocked","Blocked",IF(B229='Dashboard'!$B$5,"Due today","Planned"))))</x:f>
        <x:v>Planned</x:v>
      </x:c>
      <x:c r="S229" s="26" t="str">
        <x:f>IF(I229="Accepted",IF(K229="","Add evidence",IF(O229="","Add reviewer",IF(P229="","Add accepted date",IF(AND(ISNUMBER(F229),COUNT(G229)=0),"Add actual quantity",IF(Q229=0,"Review target / date / dependencies","Complete"))))),IF(OR(I229="Blocked",I229="Deferred"),IF(L229="","Record blocker / reason",IF(M229="","Assign rescue owner",IF(N229="","Set recovery date","Recovery assigned"))),IF(B229&lt;'Dashboard'!$B$5,"Escalate and record recovery","Work to acceptance standard")))</x:f>
        <x:v>Work to acceptance standard</x:v>
      </x:c>
      <x:c r="T229" s="26" t="str">
        <x:v>T0067</x:v>
      </x:c>
      <x:c r="U229" s="26" t="str">
        <x:v>Zero invented claims. If any draft fails facts, stop drafting/retrain; no offer change without approval.</x:v>
      </x:c>
      <x:c r="V229" s="31" t="n">
        <x:v>2.4</x:v>
      </x:c>
      <x:c r="W229" s="26" t="str"/>
      <x:c r="X229" s="26" t="str">
        <x:v>DSI Reset PDF: lane responsibilities and dated runbook; dated allocation proposed for this tracker.</x:v>
      </x:c>
      <x:c r="Y229" s="30" t="n">
        <x:f>B229-WEEKDAY(B229,2)+1</x:f>
        <x:v>46342</x:v>
      </x:c>
      <x:c r="Z229" s="2" t="str">
        <x:v>checklist</x:v>
      </x:c>
      <x:c r="AA229" s="2" t="n">
        <x:f>IF(Q229=1,IF(P229&gt;B229,1,0),0)</x:f>
        <x:v>0</x:v>
      </x:c>
      <x:c r="AB229" s="2" t="n">
        <x:f>IF(AND(Q229=1,P229&lt;='Dashboard'!$B$5),0,MAX(0,'Dashboard'!$B$5-B229))</x:f>
        <x:v>0</x:v>
      </x:c>
      <x:c r="AC229" s="28" t="str"/>
      <x:c r="AD229" s="2" t="str">
        <x:f>IF(AND(ISNUMBER(F229),ISNUMBER(G229)),G229-F229,"")</x:f>
      </x:c>
      <x:c r="AE229" s="2" t="n">
        <x:f>IF(AND(I229="Accepted",K229&lt;&gt;"",O229&lt;&gt;"",ISNUMBER(P229),P229&gt;0,P229&lt;='Dashboard'!$B$5,IF(ISNUMBER(F229),ISNUMBER(G229),TRUE),IF(ISNUMBER(F229),G229&gt;=F229,TRUE)),1,0)</x:f>
        <x:v>0</x:v>
      </x:c>
    </x:row>
    <x:row r="230" ht="58" customHeight="1">
      <x:c r="A230" s="2" t="str">
        <x:v>T0198</x:v>
      </x:c>
      <x:c r="B230" s="30" t="n">
        <x:v>46344</x:v>
      </x:c>
      <x:c r="C230" s="2" t="str">
        <x:v>Joey</x:v>
      </x:c>
      <x:c r="D230" s="2" t="str">
        <x:v>Data Orchestrator</x:v>
      </x:c>
      <x:c r="E230" s="26" t="str">
        <x:v>Mailbox/bounce/suppression log; ready verified records; due-follow up versus new-send capacity plan.</x:v>
      </x:c>
      <x:c r="F230" s="2" t="n">
        <x:v>1</x:v>
      </x:c>
      <x:c r="G230" s="20"/>
      <x:c r="H230" s="2" t="str">
        <x:v>verified queue and health check</x:v>
      </x:c>
      <x:c r="I230" s="20" t="str">
        <x:v>Ready</x:v>
      </x:c>
      <x:c r="J230" s="2" t="str">
        <x:v>16:45</x:v>
      </x:c>
      <x:c r="K230" s="28" t="str"/>
      <x:c r="L230" s="28" t="str"/>
      <x:c r="M230" s="20" t="str"/>
      <x:c r="N230" s="33"/>
      <x:c r="O230" s="20" t="str"/>
      <x:c r="P230" s="33"/>
      <x:c r="Q230" s="2" t="n">
        <x:f>IF(AND(AE230=1,COUNTIFS($A$7:$A$500,"T0067",$AE$7:$AE$500,1)=1,COUNTIFS($A$7:$A$500,"T0055",$AE$7:$AE$500,1)=1),1,0)</x:f>
        <x:v>0</x:v>
      </x:c>
      <x:c r="R230" s="2" t="str">
        <x:f>IF(AND(Q230=1,P230&lt;='Dashboard'!$B$5),IF(P230&gt;B230,"Accepted late","Accepted"),IF(B230&lt;'Dashboard'!$B$5,"Overdue",IF(I230="Blocked","Blocked",IF(B230='Dashboard'!$B$5,"Due today","Planned"))))</x:f>
        <x:v>Planned</x:v>
      </x:c>
      <x:c r="S230" s="26" t="str">
        <x:f>IF(I230="Accepted",IF(K230="","Add evidence",IF(O230="","Add reviewer",IF(P230="","Add accepted date",IF(AND(ISNUMBER(F230),COUNT(G230)=0),"Add actual quantity",IF(Q230=0,"Review target / date / dependencies","Complete"))))),IF(OR(I230="Blocked",I230="Deferred"),IF(L230="","Record blocker / reason",IF(M230="","Assign rescue owner",IF(N230="","Set recovery date","Recovery assigned"))),IF(B230&lt;'Dashboard'!$B$5,"Escalate and record recovery","Work to acceptance standard")))</x:f>
        <x:v>Work to acceptance standard</x:v>
      </x:c>
      <x:c r="T230" s="26" t="str">
        <x:v>T0067</x:v>
      </x:c>
      <x:c r="U230" s="26" t="str">
        <x:v>Planning pool addition 0 contacts today; quality gate wins over quota. Total sends&lt;=150/day;&gt;3% bounce affected mailbox held. No new cold enrollments on reduced/buffer days.</x:v>
      </x:c>
      <x:c r="V230" s="31" t="n">
        <x:v>3</x:v>
      </x:c>
      <x:c r="W230" s="26" t="str"/>
      <x:c r="X230" s="26" t="str">
        <x:v>DSI Reset PDF: lane responsibilities and dated runbook; dated allocation proposed for this tracker.</x:v>
      </x:c>
      <x:c r="Y230" s="30" t="n">
        <x:f>B230-WEEKDAY(B230,2)+1</x:f>
        <x:v>46342</x:v>
      </x:c>
      <x:c r="Z230" s="2" t="str">
        <x:v>checklist</x:v>
      </x:c>
      <x:c r="AA230" s="2" t="n">
        <x:f>IF(Q230=1,IF(P230&gt;B230,1,0),0)</x:f>
        <x:v>0</x:v>
      </x:c>
      <x:c r="AB230" s="2" t="n">
        <x:f>IF(AND(Q230=1,P230&lt;='Dashboard'!$B$5),0,MAX(0,'Dashboard'!$B$5-B230))</x:f>
        <x:v>0</x:v>
      </x:c>
      <x:c r="AC230" s="28" t="str"/>
      <x:c r="AD230" s="2" t="str">
        <x:f>IF(AND(ISNUMBER(F230),ISNUMBER(G230)),G230-F230,"")</x:f>
      </x:c>
      <x:c r="AE230" s="2" t="n">
        <x:f>IF(AND(I230="Accepted",K230&lt;&gt;"",O230&lt;&gt;"",ISNUMBER(P230),P230&gt;0,P230&lt;='Dashboard'!$B$5,IF(ISNUMBER(F230),ISNUMBER(G230),TRUE),IF(ISNUMBER(F230),G230&gt;=F230,TRUE)),1,0)</x:f>
        <x:v>0</x:v>
      </x:c>
    </x:row>
    <x:row r="231" ht="58" customHeight="1">
      <x:c r="A231" s="2" t="str">
        <x:v>T0199</x:v>
      </x:c>
      <x:c r="B231" s="30" t="n">
        <x:v>46344</x:v>
      </x:c>
      <x:c r="C231" s="2" t="str">
        <x:v>Nova</x:v>
      </x:c>
      <x:c r="D231" s="2" t="str">
        <x:v>Conversion Orchestrator</x:v>
      </x:c>
      <x:c r="E231" s="26" t="str">
        <x:v>Coverage/SLA evidence; 2 call reviews; booked/held updates; next-step and trial handoffs. Log each unique qualified inquiry with practice type, decision-maker access, case volume, service need and readiness timing.</x:v>
      </x:c>
      <x:c r="F231" s="2" t="n">
        <x:v>1</x:v>
      </x:c>
      <x:c r="G231" s="20"/>
      <x:c r="H231" s="2" t="str">
        <x:v>accepted output</x:v>
      </x:c>
      <x:c r="I231" s="20" t="str">
        <x:v>Ready</x:v>
      </x:c>
      <x:c r="J231" s="2" t="str">
        <x:v>16:45</x:v>
      </x:c>
      <x:c r="K231" s="28" t="str"/>
      <x:c r="L231" s="28" t="str"/>
      <x:c r="M231" s="20" t="str"/>
      <x:c r="N231" s="33"/>
      <x:c r="O231" s="20" t="str"/>
      <x:c r="P231" s="33"/>
      <x:c r="Q231" s="2" t="n">
        <x:f>IF(AND(AE231=1,COUNTIFS($A$7:$A$500,"T0067",$AE$7:$AE$500,1)=1,COUNTIFS($A$7:$A$500,"T0055",$AE$7:$AE$500,1)=1),1,0)</x:f>
        <x:v>0</x:v>
      </x:c>
      <x:c r="R231" s="2" t="str">
        <x:f>IF(AND(Q231=1,P231&lt;='Dashboard'!$B$5),IF(P231&gt;B231,"Accepted late","Accepted"),IF(B231&lt;'Dashboard'!$B$5,"Overdue",IF(I231="Blocked","Blocked",IF(B231='Dashboard'!$B$5,"Due today","Planned"))))</x:f>
        <x:v>Planned</x:v>
      </x:c>
      <x:c r="S231" s="26" t="str">
        <x:f>IF(I231="Accepted",IF(K231="","Add evidence",IF(O231="","Add reviewer",IF(P231="","Add accepted date",IF(AND(ISNUMBER(F231),COUNT(G231)=0),"Add actual quantity",IF(Q231=0,"Review target / date / dependencies","Complete"))))),IF(OR(I231="Blocked",I231="Deferred"),IF(L231="","Record blocker / reason",IF(M231="","Assign rescue owner",IF(N231="","Set recovery date","Recovery assigned"))),IF(B231&lt;'Dashboard'!$B$5,"Escalate and record recovery","Work to acceptance standard")))</x:f>
        <x:v>Work to acceptance standard</x:v>
      </x:c>
      <x:c r="T231" s="26" t="str">
        <x:v>T0067</x:v>
      </x:c>
      <x:c r="U231" s="26" t="str">
        <x:v>Every eligible reply&lt;=15 min; positive call&lt;=60 min; no opportunity without next step; booked brief to Nic; trial logistics to Maseeha. Raw contacts, opens and accepts never count as qualified inquiries; deduplicate across channels.</x:v>
      </x:c>
      <x:c r="V231" s="31" t="n">
        <x:v>4</x:v>
      </x:c>
      <x:c r="W231" s="26" t="str"/>
      <x:c r="X231" s="26" t="str">
        <x:v>DSI Reset PDF: lane responsibilities and dated runbook; dated allocation proposed for this tracker.</x:v>
      </x:c>
      <x:c r="Y231" s="30" t="n">
        <x:f>B231-WEEKDAY(B231,2)+1</x:f>
        <x:v>46342</x:v>
      </x:c>
      <x:c r="Z231" s="2" t="str">
        <x:v>checklist</x:v>
      </x:c>
      <x:c r="AA231" s="2" t="n">
        <x:f>IF(Q231=1,IF(P231&gt;B231,1,0),0)</x:f>
        <x:v>0</x:v>
      </x:c>
      <x:c r="AB231" s="2" t="n">
        <x:f>IF(AND(Q231=1,P231&lt;='Dashboard'!$B$5),0,MAX(0,'Dashboard'!$B$5-B231))</x:f>
        <x:v>0</x:v>
      </x:c>
      <x:c r="AC231" s="28" t="str"/>
      <x:c r="AD231" s="2" t="str">
        <x:f>IF(AND(ISNUMBER(F231),ISNUMBER(G231)),G231-F231,"")</x:f>
      </x:c>
      <x:c r="AE231" s="2" t="n">
        <x:f>IF(AND(I231="Accepted",K231&lt;&gt;"",O231&lt;&gt;"",ISNUMBER(P231),P231&gt;0,P231&lt;='Dashboard'!$B$5,IF(ISNUMBER(F231),ISNUMBER(G231),TRUE),IF(ISNUMBER(F231),G231&gt;=F231,TRUE)),1,0)</x:f>
        <x:v>0</x:v>
      </x:c>
    </x:row>
    <x:row r="232" ht="58" customHeight="1">
      <x:c r="A232" s="2" t="str">
        <x:v>T0200</x:v>
      </x:c>
      <x:c r="B232" s="30" t="n">
        <x:v>46344</x:v>
      </x:c>
      <x:c r="C232" s="2" t="str">
        <x:v>Emman</x:v>
      </x:c>
      <x:c r="D232" s="2" t="str">
        <x:v>AI Build Orchestrator</x:v>
      </x:c>
      <x:c r="E232" s="26" t="str">
        <x:v>Health/retry log; one acceptance-backed build increment; updated change log</x:v>
      </x:c>
      <x:c r="F232" s="2" t="n">
        <x:v>1</x:v>
      </x:c>
      <x:c r="G232" s="20"/>
      <x:c r="H232" s="2" t="str">
        <x:v>accepted output</x:v>
      </x:c>
      <x:c r="I232" s="20" t="str">
        <x:v>Ready</x:v>
      </x:c>
      <x:c r="J232" s="2" t="str">
        <x:v>16:45</x:v>
      </x:c>
      <x:c r="K232" s="28" t="str"/>
      <x:c r="L232" s="28" t="str"/>
      <x:c r="M232" s="20" t="str"/>
      <x:c r="N232" s="33"/>
      <x:c r="O232" s="20" t="str"/>
      <x:c r="P232" s="33"/>
      <x:c r="Q232" s="2" t="n">
        <x:f>IF(AND(AE232=1,COUNTIFS($A$7:$A$500,"T0067",$AE$7:$AE$500,1)=1,COUNTIFS($A$7:$A$500,"T0055",$AE$7:$AE$500,1)=1),1,0)</x:f>
        <x:v>0</x:v>
      </x:c>
      <x:c r="R232" s="2" t="str">
        <x:f>IF(AND(Q232=1,P232&lt;='Dashboard'!$B$5),IF(P232&gt;B232,"Accepted late","Accepted"),IF(B232&lt;'Dashboard'!$B$5,"Overdue",IF(I232="Blocked","Blocked",IF(B232='Dashboard'!$B$5,"Due today","Planned"))))</x:f>
        <x:v>Planned</x:v>
      </x:c>
      <x:c r="S232" s="26" t="str">
        <x:f>IF(I232="Accepted",IF(K232="","Add evidence",IF(O232="","Add reviewer",IF(P232="","Add accepted date",IF(AND(ISNUMBER(F232),COUNT(G232)=0),"Add actual quantity",IF(Q232=0,"Review target / date / dependencies","Complete"))))),IF(OR(I232="Blocked",I232="Deferred"),IF(L232="","Record blocker / reason",IF(M232="","Assign rescue owner",IF(N232="","Set recovery date","Recovery assigned"))),IF(B232&lt;'Dashboard'!$B$5,"Escalate and record recovery","Work to acceptance standard")))</x:f>
        <x:v>Work to acceptance standard</x:v>
      </x:c>
      <x:c r="T232" s="26" t="str">
        <x:v>T0067</x:v>
      </x:c>
      <x:c r="U232" s="26" t="str">
        <x:v>Fix a failing live agent beforestarting the next build. If an agent is still not working 48 hours after its due date, activate the manual SOP. Roll back a live failure within 1 hour. Release build reserve when no approved work remains.</x:v>
      </x:c>
      <x:c r="V232" s="31" t="n">
        <x:v>4</x:v>
      </x:c>
      <x:c r="W232" s="26" t="str"/>
      <x:c r="X232" s="26" t="str">
        <x:v>DSI Reset PDF: lane responsibilities and dated runbook; dated allocation proposed for this tracker.</x:v>
      </x:c>
      <x:c r="Y232" s="30" t="n">
        <x:f>B232-WEEKDAY(B232,2)+1</x:f>
        <x:v>46342</x:v>
      </x:c>
      <x:c r="Z232" s="2" t="str">
        <x:v>checklist</x:v>
      </x:c>
      <x:c r="AA232" s="2" t="n">
        <x:f>IF(Q232=1,IF(P232&gt;B232,1,0),0)</x:f>
        <x:v>0</x:v>
      </x:c>
      <x:c r="AB232" s="2" t="n">
        <x:f>IF(AND(Q232=1,P232&lt;='Dashboard'!$B$5),0,MAX(0,'Dashboard'!$B$5-B232))</x:f>
        <x:v>0</x:v>
      </x:c>
      <x:c r="AC232" s="28" t="str"/>
      <x:c r="AD232" s="2" t="str">
        <x:f>IF(AND(ISNUMBER(F232),ISNUMBER(G232)),G232-F232,"")</x:f>
      </x:c>
      <x:c r="AE232" s="2" t="n">
        <x:f>IF(AND(I232="Accepted",K232&lt;&gt;"",O232&lt;&gt;"",ISNUMBER(P232),P232&gt;0,P232&lt;='Dashboard'!$B$5,IF(ISNUMBER(F232),ISNUMBER(G232),TRUE),IF(ISNUMBER(F232),G232&gt;=F232,TRUE)),1,0)</x:f>
        <x:v>0</x:v>
      </x:c>
    </x:row>
    <x:row r="233" ht="58" customHeight="1">
      <x:c r="A233" s="2" t="str">
        <x:v>T0201</x:v>
      </x:c>
      <x:c r="B233" s="30" t="n">
        <x:v>46344</x:v>
      </x:c>
      <x:c r="C233" s="2" t="str">
        <x:v>Ludwig</x:v>
      </x:c>
      <x:c r="D233" s="2" t="str">
        <x:v>Integration Engineer</x:v>
      </x:c>
      <x:c r="E233" s="26" t="str">
        <x:v>Webhook/error/dead-letter check; top assigned integration ticket or verified no-ticket note</x:v>
      </x:c>
      <x:c r="F233" s="2" t="n">
        <x:v>1</x:v>
      </x:c>
      <x:c r="G233" s="20"/>
      <x:c r="H233" s="2" t="str">
        <x:v>accepted output</x:v>
      </x:c>
      <x:c r="I233" s="20" t="str">
        <x:v>Ready</x:v>
      </x:c>
      <x:c r="J233" s="2" t="str">
        <x:v>16:45</x:v>
      </x:c>
      <x:c r="K233" s="28" t="str"/>
      <x:c r="L233" s="28" t="str"/>
      <x:c r="M233" s="20" t="str"/>
      <x:c r="N233" s="33"/>
      <x:c r="O233" s="20" t="str"/>
      <x:c r="P233" s="33"/>
      <x:c r="Q233" s="2" t="n">
        <x:f>IF(AND(AE233=1,COUNTIFS($A$7:$A$500,"T0067",$AE$7:$AE$500,1)=1,COUNTIFS($A$7:$A$500,"T0055",$AE$7:$AE$500,1)=1),1,0)</x:f>
        <x:v>0</x:v>
      </x:c>
      <x:c r="R233" s="2" t="str">
        <x:f>IF(AND(Q233=1,P233&lt;='Dashboard'!$B$5),IF(P233&gt;B233,"Accepted late","Accepted"),IF(B233&lt;'Dashboard'!$B$5,"Overdue",IF(I233="Blocked","Blocked",IF(B233='Dashboard'!$B$5,"Due today","Planned"))))</x:f>
        <x:v>Planned</x:v>
      </x:c>
      <x:c r="S233" s="26" t="str">
        <x:f>IF(I233="Accepted",IF(K233="","Add evidence",IF(O233="","Add reviewer",IF(P233="","Add accepted date",IF(AND(ISNUMBER(F233),COUNT(G233)=0),"Add actual quantity",IF(Q233=0,"Review target / date / dependencies","Complete"))))),IF(OR(I233="Blocked",I233="Deferred"),IF(L233="","Record blocker / reason",IF(M233="","Assign rescue owner",IF(N233="","Set recovery date","Recovery assigned"))),IF(B233&lt;'Dashboard'!$B$5,"Escalate and record recovery","Work to acceptance standard")))</x:f>
        <x:v>Work to acceptance standard</x:v>
      </x:c>
      <x:c r="T233" s="26" t="str">
        <x:v>T0067</x:v>
      </x:c>
      <x:c r="U233" s="26" t="str">
        <x:v>Only Emman’s priority queue; 100% test capture; runbook/retry/rollback evidence. If no fault/ticket, release reserve; do not invent work.</x:v>
      </x:c>
      <x:c r="V233" s="31" t="n">
        <x:v>1.6</x:v>
      </x:c>
      <x:c r="W233" s="26" t="str"/>
      <x:c r="X233" s="26" t="str">
        <x:v>DSI Reset PDF: lane responsibilities and dated runbook; dated allocation proposed for this tracker.</x:v>
      </x:c>
      <x:c r="Y233" s="30" t="n">
        <x:f>B233-WEEKDAY(B233,2)+1</x:f>
        <x:v>46342</x:v>
      </x:c>
      <x:c r="Z233" s="2" t="str">
        <x:v>checklist</x:v>
      </x:c>
      <x:c r="AA233" s="2" t="n">
        <x:f>IF(Q233=1,IF(P233&gt;B233,1,0),0)</x:f>
        <x:v>0</x:v>
      </x:c>
      <x:c r="AB233" s="2" t="n">
        <x:f>IF(AND(Q233=1,P233&lt;='Dashboard'!$B$5),0,MAX(0,'Dashboard'!$B$5-B233))</x:f>
        <x:v>0</x:v>
      </x:c>
      <x:c r="AC233" s="28" t="str"/>
      <x:c r="AD233" s="2" t="str">
        <x:f>IF(AND(ISNUMBER(F233),ISNUMBER(G233)),G233-F233,"")</x:f>
      </x:c>
      <x:c r="AE233" s="2" t="n">
        <x:f>IF(AND(I233="Accepted",K233&lt;&gt;"",O233&lt;&gt;"",ISNUMBER(P233),P233&gt;0,P233&lt;='Dashboard'!$B$5,IF(ISNUMBER(F233),ISNUMBER(G233),TRUE),IF(ISNUMBER(F233),G233&gt;=F233,TRUE)),1,0)</x:f>
        <x:v>0</x:v>
      </x:c>
    </x:row>
    <x:row r="234" ht="58" customHeight="1">
      <x:c r="A234" s="2" t="str">
        <x:v>T0202</x:v>
      </x:c>
      <x:c r="B234" s="30" t="n">
        <x:v>46344</x:v>
      </x:c>
      <x:c r="C234" s="2" t="str">
        <x:v>Alvin</x:v>
      </x:c>
      <x:c r="D234" s="2" t="str">
        <x:v>CQL/GHL Implementation</x:v>
      </x:c>
      <x:c r="E234" s="26" t="str">
        <x:v>Stage/calendar/reminder QA; due workflow fixes; approved post mirrors/evidence Publish approved post SOC08 (Educate); capture the live URL.</x:v>
      </x:c>
      <x:c r="F234" s="2" t="n">
        <x:v>1</x:v>
      </x:c>
      <x:c r="G234" s="20"/>
      <x:c r="H234" s="2" t="str">
        <x:v>accepted output</x:v>
      </x:c>
      <x:c r="I234" s="20" t="str">
        <x:v>Ready</x:v>
      </x:c>
      <x:c r="J234" s="2" t="str">
        <x:v>16:45</x:v>
      </x:c>
      <x:c r="K234" s="28" t="str"/>
      <x:c r="L234" s="28" t="str"/>
      <x:c r="M234" s="20" t="str"/>
      <x:c r="N234" s="33"/>
      <x:c r="O234" s="20" t="str"/>
      <x:c r="P234" s="33"/>
      <x:c r="Q234" s="2" t="n">
        <x:f>IF(AND(AE234=1,COUNTIFS($A$7:$A$500,"T0067",$AE$7:$AE$500,1)=1,COUNTIFS($A$7:$A$500,"T0055",$AE$7:$AE$500,1)=1),1,0)</x:f>
        <x:v>0</x:v>
      </x:c>
      <x:c r="R234" s="2" t="str">
        <x:f>IF(AND(Q234=1,P234&lt;='Dashboard'!$B$5),IF(P234&gt;B234,"Accepted late","Accepted"),IF(B234&lt;'Dashboard'!$B$5,"Overdue",IF(I234="Blocked","Blocked",IF(B234='Dashboard'!$B$5,"Due today","Planned"))))</x:f>
        <x:v>Planned</x:v>
      </x:c>
      <x:c r="S234" s="26" t="str">
        <x:f>IF(I234="Accepted",IF(K234="","Add evidence",IF(O234="","Add reviewer",IF(P234="","Add accepted date",IF(AND(ISNUMBER(F234),COUNT(G234)=0),"Add actual quantity",IF(Q234=0,"Review target / date / dependencies","Complete"))))),IF(OR(I234="Blocked",I234="Deferred"),IF(L234="","Record blocker / reason",IF(M234="","Assign rescue owner",IF(N234="","Set recovery date","Recovery assigned"))),IF(B234&lt;'Dashboard'!$B$5,"Escalate and record recovery","Work to acceptance standard")))</x:f>
        <x:v>Work to acceptance standard</x:v>
      </x:c>
      <x:c r="T234" s="26" t="str">
        <x:v>T0067</x:v>
      </x:c>
      <x:c r="U234" s="26" t="str">
        <x:v>No-show task&lt;=10 min; form/source fields correct; finish critical CRM defect same day. Facebook mirrors exact approved post; Instagram requires permissioned image.</x:v>
      </x:c>
      <x:c r="V234" s="31" t="n">
        <x:v>2</x:v>
      </x:c>
      <x:c r="W234" s="26" t="str"/>
      <x:c r="X234" s="26" t="str">
        <x:v>DSI Reset PDF: lane responsibilities and dated runbook; dated allocation proposed for this tracker.</x:v>
      </x:c>
      <x:c r="Y234" s="30" t="n">
        <x:f>B234-WEEKDAY(B234,2)+1</x:f>
        <x:v>46342</x:v>
      </x:c>
      <x:c r="Z234" s="2" t="str">
        <x:v>checklist</x:v>
      </x:c>
      <x:c r="AA234" s="2" t="n">
        <x:f>IF(Q234=1,IF(P234&gt;B234,1,0),0)</x:f>
        <x:v>0</x:v>
      </x:c>
      <x:c r="AB234" s="2" t="n">
        <x:f>IF(AND(Q234=1,P234&lt;='Dashboard'!$B$5),0,MAX(0,'Dashboard'!$B$5-B234))</x:f>
        <x:v>0</x:v>
      </x:c>
      <x:c r="AC234" s="28" t="str"/>
      <x:c r="AD234" s="2" t="str">
        <x:f>IF(AND(ISNUMBER(F234),ISNUMBER(G234)),G234-F234,"")</x:f>
      </x:c>
      <x:c r="AE234" s="2" t="n">
        <x:f>IF(AND(I234="Accepted",K234&lt;&gt;"",O234&lt;&gt;"",ISNUMBER(P234),P234&gt;0,P234&lt;='Dashboard'!$B$5,IF(ISNUMBER(F234),ISNUMBER(G234),TRUE),IF(ISNUMBER(F234),G234&gt;=F234,TRUE)),1,0)</x:f>
        <x:v>0</x:v>
      </x:c>
    </x:row>
    <x:row r="235" ht="58" customHeight="1">
      <x:c r="A235" s="2" t="str">
        <x:v>T0203</x:v>
      </x:c>
      <x:c r="B235" s="30" t="n">
        <x:v>46344</x:v>
      </x:c>
      <x:c r="C235" s="2" t="str">
        <x:v>Brian</x:v>
      </x:c>
      <x:c r="D235" s="2" t="str">
        <x:v>Web and Tracking</x:v>
      </x:c>
      <x:c r="E235" s="26" t="str">
        <x:v>One health-check result; at most one weekly change ticket or no-ticket note</x:v>
      </x:c>
      <x:c r="F235" s="2" t="n">
        <x:v>1</x:v>
      </x:c>
      <x:c r="G235" s="20"/>
      <x:c r="H235" s="2" t="str">
        <x:v>accepted output</x:v>
      </x:c>
      <x:c r="I235" s="20" t="str">
        <x:v>Ready</x:v>
      </x:c>
      <x:c r="J235" s="2" t="str">
        <x:v>16:45</x:v>
      </x:c>
      <x:c r="K235" s="28" t="str"/>
      <x:c r="L235" s="28" t="str"/>
      <x:c r="M235" s="20" t="str"/>
      <x:c r="N235" s="33"/>
      <x:c r="O235" s="20" t="str"/>
      <x:c r="P235" s="33"/>
      <x:c r="Q235" s="2" t="n">
        <x:f>IF(AND(AE235=1,COUNTIFS($A$7:$A$500,"T0067",$AE$7:$AE$500,1)=1,COUNTIFS($A$7:$A$500,"T0055",$AE$7:$AE$500,1)=1),1,0)</x:f>
        <x:v>0</x:v>
      </x:c>
      <x:c r="R235" s="2" t="str">
        <x:f>IF(AND(Q235=1,P235&lt;='Dashboard'!$B$5),IF(P235&gt;B235,"Accepted late","Accepted"),IF(B235&lt;'Dashboard'!$B$5,"Overdue",IF(I235="Blocked","Blocked",IF(B235='Dashboard'!$B$5,"Due today","Planned"))))</x:f>
        <x:v>Planned</x:v>
      </x:c>
      <x:c r="S235" s="26" t="str">
        <x:f>IF(I235="Accepted",IF(K235="","Add evidence",IF(O235="","Add reviewer",IF(P235="","Add accepted date",IF(AND(ISNUMBER(F235),COUNT(G235)=0),"Add actual quantity",IF(Q235=0,"Review target / date / dependencies","Complete"))))),IF(OR(I235="Blocked",I235="Deferred"),IF(L235="","Record blocker / reason",IF(M235="","Assign rescue owner",IF(N235="","Set recovery date","Recovery assigned"))),IF(B235&lt;'Dashboard'!$B$5,"Escalate and record recovery","Work to acceptance standard")))</x:f>
        <x:v>Work to acceptance standard</x:v>
      </x:c>
      <x:c r="T235" s="26" t="str">
        <x:v>T0067</x:v>
      </x:c>
      <x:c r="U235" s="26" t="str">
        <x:v>Form to CQL&lt;1 min; approved copy unchanged; no work manufactured if healthy; ongoing reserve&lt;=2 h/week.</x:v>
      </x:c>
      <x:c r="V235" s="31" t="n">
        <x:v>0.4</x:v>
      </x:c>
      <x:c r="W235" s="26" t="str"/>
      <x:c r="X235" s="26" t="str">
        <x:v>DSI Reset PDF: lane responsibilities and dated runbook; dated allocation proposed for this tracker.</x:v>
      </x:c>
      <x:c r="Y235" s="30" t="n">
        <x:f>B235-WEEKDAY(B235,2)+1</x:f>
        <x:v>46342</x:v>
      </x:c>
      <x:c r="Z235" s="2" t="str">
        <x:v>checklist</x:v>
      </x:c>
      <x:c r="AA235" s="2" t="n">
        <x:f>IF(Q235=1,IF(P235&gt;B235,1,0),0)</x:f>
        <x:v>0</x:v>
      </x:c>
      <x:c r="AB235" s="2" t="n">
        <x:f>IF(AND(Q235=1,P235&lt;='Dashboard'!$B$5),0,MAX(0,'Dashboard'!$B$5-B235))</x:f>
        <x:v>0</x:v>
      </x:c>
      <x:c r="AC235" s="28" t="str"/>
      <x:c r="AD235" s="2" t="str">
        <x:f>IF(AND(ISNUMBER(F235),ISNUMBER(G235)),G235-F235,"")</x:f>
      </x:c>
      <x:c r="AE235" s="2" t="n">
        <x:f>IF(AND(I235="Accepted",K235&lt;&gt;"",O235&lt;&gt;"",ISNUMBER(P235),P235&gt;0,P235&lt;='Dashboard'!$B$5,IF(ISNUMBER(F235),ISNUMBER(G235),TRUE),IF(ISNUMBER(F235),G235&gt;=F235,TRUE)),1,0)</x:f>
        <x:v>0</x:v>
      </x:c>
    </x:row>
    <x:row r="236" ht="58" customHeight="1">
      <x:c r="A236" s="2" t="str">
        <x:v>T0204</x:v>
      </x:c>
      <x:c r="B236" s="30" t="n">
        <x:v>46344</x:v>
      </x:c>
      <x:c r="C236" s="2" t="str">
        <x:v>Dexter</x:v>
      </x:c>
      <x:c r="D236" s="2" t="str">
        <x:v>LinkedIn Execution</x:v>
      </x:c>
      <x:c r="E236" s="26" t="str">
        <x:v>CQL logged DMs/accepts; eligible requests; referred interested replies; approved post evidence Publish approved post SOC08 (Educate); capture the live URL.</x:v>
      </x:c>
      <x:c r="F236" s="2" t="n">
        <x:v>25</x:v>
      </x:c>
      <x:c r="G236" s="20"/>
      <x:c r="H236" s="2" t="str">
        <x:v>new request working target; eligible pool required</x:v>
      </x:c>
      <x:c r="I236" s="20" t="str">
        <x:v>Ready</x:v>
      </x:c>
      <x:c r="J236" s="2" t="str">
        <x:v>16:45</x:v>
      </x:c>
      <x:c r="K236" s="28" t="str"/>
      <x:c r="L236" s="28" t="str"/>
      <x:c r="M236" s="20" t="str"/>
      <x:c r="N236" s="33"/>
      <x:c r="O236" s="20" t="str"/>
      <x:c r="P236" s="33"/>
      <x:c r="Q236" s="2" t="n">
        <x:f>IF(AND(AE236=1,COUNTIFS($A$7:$A$500,"T0067",$AE$7:$AE$500,1)=1,COUNTIFS($A$7:$A$500,"T0055",$AE$7:$AE$500,1)=1),1,0)</x:f>
        <x:v>0</x:v>
      </x:c>
      <x:c r="R236" s="2" t="str">
        <x:f>IF(AND(Q236=1,P236&lt;='Dashboard'!$B$5),IF(P236&gt;B236,"Accepted late","Accepted"),IF(B236&lt;'Dashboard'!$B$5,"Overdue",IF(I236="Blocked","Blocked",IF(B236='Dashboard'!$B$5,"Due today","Planned"))))</x:f>
        <x:v>Planned</x:v>
      </x:c>
      <x:c r="S236" s="26" t="str">
        <x:f>IF(I236="Accepted",IF(K236="","Add evidence",IF(O236="","Add reviewer",IF(P236="","Add accepted date",IF(AND(ISNUMBER(F236),COUNT(G236)=0),"Add actual quantity",IF(Q236=0,"Review target / date / dependencies","Complete"))))),IF(OR(I236="Blocked",I236="Deferred"),IF(L236="","Record blocker / reason",IF(M236="","Assign rescue owner",IF(N236="","Set recovery date","Recovery assigned"))),IF(B236&lt;'Dashboard'!$B$5,"Escalate and record recovery","Work to acceptance standard")))</x:f>
        <x:v>Work to acceptance standard</x:v>
      </x:c>
      <x:c r="T236" s="26" t="str">
        <x:v>T0067</x:v>
      </x:c>
      <x:c r="U236"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36" s="31" t="n">
        <x:v>3</x:v>
      </x:c>
      <x:c r="W236" s="26" t="str"/>
      <x:c r="X236" s="26" t="str">
        <x:v>DSI Reset PDF: lane responsibilities and dated runbook; dated allocation proposed for this tracker.</x:v>
      </x:c>
      <x:c r="Y236" s="30" t="n">
        <x:f>B236-WEEKDAY(B236,2)+1</x:f>
        <x:v>46342</x:v>
      </x:c>
      <x:c r="Z236" s="2" t="str">
        <x:v>capacity</x:v>
      </x:c>
      <x:c r="AA236" s="2" t="n">
        <x:f>IF(Q236=1,IF(P236&gt;B236,1,0),0)</x:f>
        <x:v>0</x:v>
      </x:c>
      <x:c r="AB236" s="2" t="n">
        <x:f>IF(AND(Q236=1,P236&lt;='Dashboard'!$B$5),0,MAX(0,'Dashboard'!$B$5-B236))</x:f>
        <x:v>0</x:v>
      </x:c>
      <x:c r="AC236" s="28" t="str"/>
      <x:c r="AD236" s="2" t="str">
        <x:f>IF(AND(ISNUMBER(F236),ISNUMBER(G236)),G236-F236,"")</x:f>
      </x:c>
      <x:c r="AE236" s="2" t="n">
        <x:f>IF(AND(I236="Accepted",K236&lt;&gt;"",O236&lt;&gt;"",ISNUMBER(P236),P236&gt;0,P236&lt;='Dashboard'!$B$5,IF(ISNUMBER(F236),ISNUMBER(G236),TRUE),IF(ISNUMBER(F236),OR(G236&gt;=F236,AC236&lt;&gt;""),TRUE)),1,0)</x:f>
        <x:v>0</x:v>
      </x:c>
    </x:row>
    <x:row r="237" ht="58" customHeight="1">
      <x:c r="A237" s="2" t="str">
        <x:v>T0205</x:v>
      </x:c>
      <x:c r="B237" s="30" t="n">
        <x:v>46344</x:v>
      </x:c>
      <x:c r="C237" s="2" t="str">
        <x:v>Setter 1</x:v>
      </x:c>
      <x:c r="D237" s="2" t="str">
        <x:v>Reply and Phone Setter</x:v>
      </x:c>
      <x:c r="E237" s="26" t="str">
        <x:v>SLA/call outcome log; bookings and next steps; handoff to Nova</x:v>
      </x:c>
      <x:c r="F237" s="2" t="n">
        <x:v>50</x:v>
      </x:c>
      <x:c r="G237" s="20"/>
      <x:c r="H237" s="2" t="str">
        <x:v>dial working target; inbound SLA takes priority</x:v>
      </x:c>
      <x:c r="I237" s="20" t="str">
        <x:v>Ready</x:v>
      </x:c>
      <x:c r="J237" s="2" t="str">
        <x:v>16:45</x:v>
      </x:c>
      <x:c r="K237" s="28" t="str"/>
      <x:c r="L237" s="28" t="str"/>
      <x:c r="M237" s="20" t="str"/>
      <x:c r="N237" s="33"/>
      <x:c r="O237" s="20" t="str"/>
      <x:c r="P237" s="33"/>
      <x:c r="Q237" s="2" t="n">
        <x:f>IF(AND(AE237=1,COUNTIFS($A$7:$A$500,"T0013",$AE$7:$AE$500,1)=1,COUNTIFS($A$7:$A$500,"T0055",$AE$7:$AE$500,1)=1),1,0)</x:f>
        <x:v>0</x:v>
      </x:c>
      <x:c r="R237" s="2" t="str">
        <x:f>IF(AND(Q237=1,P237&lt;='Dashboard'!$B$5),IF(P237&gt;B237,"Accepted late","Accepted"),IF(B237&lt;'Dashboard'!$B$5,"Overdue",IF(I237="Blocked","Blocked",IF(B237='Dashboard'!$B$5,"Due today","Planned"))))</x:f>
        <x:v>Planned</x:v>
      </x:c>
      <x:c r="S237" s="26" t="str">
        <x:f>IF(I237="Accepted",IF(K237="","Add evidence",IF(O237="","Add reviewer",IF(P237="","Add accepted date",IF(AND(ISNUMBER(F237),COUNT(G237)=0),"Add actual quantity",IF(Q237=0,"Review target / date / dependencies","Complete"))))),IF(OR(I237="Blocked",I237="Deferred"),IF(L237="","Record blocker / reason",IF(M237="","Assign rescue owner",IF(N237="","Set recovery date","Recovery assigned"))),IF(B237&lt;'Dashboard'!$B$5,"Escalate and record recovery","Work to acceptance standard")))</x:f>
        <x:v>Work to acceptance standard</x:v>
      </x:c>
      <x:c r="T237" s="26" t="str">
        <x:v>T0013; T0055</x:v>
      </x:c>
      <x:c r="U23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37" s="31" t="n">
        <x:v>7.5</x:v>
      </x:c>
      <x:c r="W237" s="26" t="str"/>
      <x:c r="X237" s="26" t="str">
        <x:v>DSI Reset PDF: lane responsibilities and dated runbook; dated allocation proposed for this tracker.</x:v>
      </x:c>
      <x:c r="Y237" s="30" t="n">
        <x:f>B237-WEEKDAY(B237,2)+1</x:f>
        <x:v>46342</x:v>
      </x:c>
      <x:c r="Z237" s="2" t="str">
        <x:v>capacity</x:v>
      </x:c>
      <x:c r="AA237" s="2" t="n">
        <x:f>IF(Q237=1,IF(P237&gt;B237,1,0),0)</x:f>
        <x:v>0</x:v>
      </x:c>
      <x:c r="AB237" s="2" t="n">
        <x:f>IF(AND(Q237=1,P237&lt;='Dashboard'!$B$5),0,MAX(0,'Dashboard'!$B$5-B237))</x:f>
        <x:v>0</x:v>
      </x:c>
      <x:c r="AC237" s="28" t="str"/>
      <x:c r="AD237" s="2" t="str">
        <x:f>IF(AND(ISNUMBER(F237),ISNUMBER(G237)),G237-F237,"")</x:f>
      </x:c>
      <x:c r="AE237" s="2" t="n">
        <x:f>IF(AND(I237="Accepted",K237&lt;&gt;"",O237&lt;&gt;"",ISNUMBER(P237),P237&gt;0,P237&lt;='Dashboard'!$B$5,IF(ISNUMBER(F237),ISNUMBER(G237),TRUE),IF(ISNUMBER(F237),OR(G237&gt;=F237,AC237&lt;&gt;""),TRUE)),1,0)</x:f>
        <x:v>0</x:v>
      </x:c>
    </x:row>
    <x:row r="238" ht="58" customHeight="1">
      <x:c r="A238" s="2" t="str">
        <x:v>T0206</x:v>
      </x:c>
      <x:c r="B238" s="30" t="n">
        <x:v>46344</x:v>
      </x:c>
      <x:c r="C238" s="2" t="str">
        <x:v>Setter 2</x:v>
      </x:c>
      <x:c r="D238" s="2" t="str">
        <x:v>Reply and Phone Setter</x:v>
      </x:c>
      <x:c r="E238" s="26" t="str">
        <x:v>SLA/call outcome log; bookings and next steps; handoff to Nova</x:v>
      </x:c>
      <x:c r="F238" s="2" t="n">
        <x:v>50</x:v>
      </x:c>
      <x:c r="G238" s="20"/>
      <x:c r="H238" s="2" t="str">
        <x:v>dial working target; inbound SLA takes priority</x:v>
      </x:c>
      <x:c r="I238" s="20" t="str">
        <x:v>Ready</x:v>
      </x:c>
      <x:c r="J238" s="2" t="str">
        <x:v>16:45</x:v>
      </x:c>
      <x:c r="K238" s="28" t="str"/>
      <x:c r="L238" s="28" t="str"/>
      <x:c r="M238" s="20" t="str"/>
      <x:c r="N238" s="33"/>
      <x:c r="O238" s="20" t="str"/>
      <x:c r="P238" s="33"/>
      <x:c r="Q238" s="2" t="n">
        <x:f>IF(AND(AE238=1,COUNTIFS($A$7:$A$500,"T0013",$AE$7:$AE$500,1)=1,COUNTIFS($A$7:$A$500,"T0055",$AE$7:$AE$500,1)=1),1,0)</x:f>
        <x:v>0</x:v>
      </x:c>
      <x:c r="R238" s="2" t="str">
        <x:f>IF(AND(Q238=1,P238&lt;='Dashboard'!$B$5),IF(P238&gt;B238,"Accepted late","Accepted"),IF(B238&lt;'Dashboard'!$B$5,"Overdue",IF(I238="Blocked","Blocked",IF(B238='Dashboard'!$B$5,"Due today","Planned"))))</x:f>
        <x:v>Planned</x:v>
      </x:c>
      <x:c r="S238" s="26" t="str">
        <x:f>IF(I238="Accepted",IF(K238="","Add evidence",IF(O238="","Add reviewer",IF(P238="","Add accepted date",IF(AND(ISNUMBER(F238),COUNT(G238)=0),"Add actual quantity",IF(Q238=0,"Review target / date / dependencies","Complete"))))),IF(OR(I238="Blocked",I238="Deferred"),IF(L238="","Record blocker / reason",IF(M238="","Assign rescue owner",IF(N238="","Set recovery date","Recovery assigned"))),IF(B238&lt;'Dashboard'!$B$5,"Escalate and record recovery","Work to acceptance standard")))</x:f>
        <x:v>Work to acceptance standard</x:v>
      </x:c>
      <x:c r="T238" s="26" t="str">
        <x:v>T0013; T0055</x:v>
      </x:c>
      <x:c r="U23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38" s="31" t="n">
        <x:v>7.5</x:v>
      </x:c>
      <x:c r="W238" s="26" t="str"/>
      <x:c r="X238" s="26" t="str">
        <x:v>DSI Reset PDF: lane responsibilities and dated runbook; dated allocation proposed for this tracker.</x:v>
      </x:c>
      <x:c r="Y238" s="30" t="n">
        <x:f>B238-WEEKDAY(B238,2)+1</x:f>
        <x:v>46342</x:v>
      </x:c>
      <x:c r="Z238" s="2" t="str">
        <x:v>capacity</x:v>
      </x:c>
      <x:c r="AA238" s="2" t="n">
        <x:f>IF(Q238=1,IF(P238&gt;B238,1,0),0)</x:f>
        <x:v>0</x:v>
      </x:c>
      <x:c r="AB238" s="2" t="n">
        <x:f>IF(AND(Q238=1,P238&lt;='Dashboard'!$B$5),0,MAX(0,'Dashboard'!$B$5-B238))</x:f>
        <x:v>0</x:v>
      </x:c>
      <x:c r="AC238" s="28" t="str"/>
      <x:c r="AD238" s="2" t="str">
        <x:f>IF(AND(ISNUMBER(F238),ISNUMBER(G238)),G238-F238,"")</x:f>
      </x:c>
      <x:c r="AE238" s="2" t="n">
        <x:f>IF(AND(I238="Accepted",K238&lt;&gt;"",O238&lt;&gt;"",ISNUMBER(P238),P238&gt;0,P238&lt;='Dashboard'!$B$5,IF(ISNUMBER(F238),ISNUMBER(G238),TRUE),IF(ISNUMBER(F238),OR(G238&gt;=F238,AC238&lt;&gt;""),TRUE)),1,0)</x:f>
        <x:v>0</x:v>
      </x:c>
    </x:row>
    <x:row r="239" ht="58" customHeight="1">
      <x:c r="A239" s="2" t="str">
        <x:v>T0456</x:v>
      </x:c>
      <x:c r="B239" s="30" t="n">
        <x:v>46344</x:v>
      </x:c>
      <x:c r="C239" s="2" t="str">
        <x:v>Nic</x:v>
      </x:c>
      <x:c r="D239" s="2" t="str">
        <x:v>Client dependency</x:v>
      </x:c>
      <x:c r="E239" s="26" t="str">
        <x:v>Call outcome/next step for every appointment due; first-case decisions</x:v>
      </x:c>
      <x:c r="F239" s="2" t="str"/>
      <x:c r="G239" s="20"/>
      <x:c r="H239" s="2" t="str">
        <x:v>all due appointments</x:v>
      </x:c>
      <x:c r="I239" s="20" t="str">
        <x:v>Ready</x:v>
      </x:c>
      <x:c r="J239" s="2" t="str">
        <x:v>16:45</x:v>
      </x:c>
      <x:c r="K239" s="28" t="str"/>
      <x:c r="L239" s="28" t="str"/>
      <x:c r="M239" s="20" t="str"/>
      <x:c r="N239" s="33"/>
      <x:c r="O239" s="20" t="str"/>
      <x:c r="P239" s="33"/>
      <x:c r="Q239" s="2" t="n">
        <x:f>IF(AND(AE239=1,COUNTIFS($A$7:$A$500,"T0028",$AE$7:$AE$500,1)=1),1,0)</x:f>
        <x:v>0</x:v>
      </x:c>
      <x:c r="R239" s="2" t="str">
        <x:f>IF(AND(Q239=1,P239&lt;='Dashboard'!$B$5),IF(P239&gt;B239,"Accepted late","Accepted"),IF(B239&lt;'Dashboard'!$B$5,"Overdue",IF(I239="Blocked","Blocked",IF(B239='Dashboard'!$B$5,"Due today","Planned"))))</x:f>
        <x:v>Planned</x:v>
      </x:c>
      <x:c r="S239" s="26" t="str">
        <x:f>IF(I239="Accepted",IF(K239="","Add evidence",IF(O239="","Add reviewer",IF(P239="","Add accepted date",IF(AND(ISNUMBER(F239),COUNT(G239)=0),"Add actual quantity",IF(Q239=0,"Review target / date / dependencies","Complete"))))),IF(OR(I239="Blocked",I239="Deferred"),IF(L239="","Record blocker / reason",IF(M239="","Assign rescue owner",IF(N239="","Set recovery date","Recovery assigned"))),IF(B239&lt;'Dashboard'!$B$5,"Escalate and record recovery","Work to acceptance standard")))</x:f>
        <x:v>Work to acceptance standard</x:v>
      </x:c>
      <x:c r="T239" s="26" t="str">
        <x:v>T0028</x:v>
      </x:c>
      <x:c r="U239" s="26" t="str">
        <x:v>Demand-linked: work actual approved calendar; setter brief present; outcome logged same day. No calls scheduled is N/A with calendar evidence.</x:v>
      </x:c>
      <x:c r="V239" s="31" t="n">
        <x:v>0.5</x:v>
      </x:c>
      <x:c r="W239" s="26" t="str"/>
      <x:c r="X239" s="26" t="str">
        <x:v>DSI Reset PDF: lane responsibilities and dated runbook; dated allocation proposed for this tracker.</x:v>
      </x:c>
      <x:c r="Y239" s="30" t="n">
        <x:f>B239-WEEKDAY(B239,2)+1</x:f>
        <x:v>46342</x:v>
      </x:c>
      <x:c r="Z239" s="2" t="str">
        <x:v>demand</x:v>
      </x:c>
      <x:c r="AA239" s="2" t="n">
        <x:f>IF(Q239=1,IF(P239&gt;B239,1,0),0)</x:f>
        <x:v>0</x:v>
      </x:c>
      <x:c r="AB239" s="2" t="n">
        <x:f>IF(AND(Q239=1,P239&lt;='Dashboard'!$B$5),0,MAX(0,'Dashboard'!$B$5-B239))</x:f>
        <x:v>0</x:v>
      </x:c>
      <x:c r="AC239" s="28" t="str"/>
      <x:c r="AD239" s="2" t="str">
        <x:f>IF(AND(ISNUMBER(F239),ISNUMBER(G239)),G239-F239,"")</x:f>
      </x:c>
      <x:c r="AE239" s="2" t="n">
        <x:f>IF(AND(I239="Accepted",K239&lt;&gt;"",O239&lt;&gt;"",ISNUMBER(P239),P239&gt;0,P239&lt;='Dashboard'!$B$5,IF(ISNUMBER(F239),ISNUMBER(G239),TRUE)),1,0)</x:f>
        <x:v>0</x:v>
      </x:c>
    </x:row>
    <x:row r="240" ht="58" customHeight="1">
      <x:c r="A240" s="2" t="str">
        <x:v>T0457</x:v>
      </x:c>
      <x:c r="B240" s="30" t="n">
        <x:v>46344</x:v>
      </x:c>
      <x:c r="C240" s="2" t="str">
        <x:v>Maseeha</x:v>
      </x:c>
      <x:c r="D240" s="2" t="str">
        <x:v>Client dependency</x:v>
      </x:c>
      <x:c r="E240" s="26" t="str">
        <x:v>Due intro verification; kit/case handoff; delivery/Day-30 dates; credit trigger log. Planned asks today: 2 unique existing accounts; cumulative 31.</x:v>
      </x:c>
      <x:c r="F240" s="2" t="str"/>
      <x:c r="G240" s="20"/>
      <x:c r="H240" s="2" t="str">
        <x:v>all due cases</x:v>
      </x:c>
      <x:c r="I240" s="20" t="str">
        <x:v>Ready</x:v>
      </x:c>
      <x:c r="J240" s="2" t="str">
        <x:v>16:45</x:v>
      </x:c>
      <x:c r="K240" s="28" t="str"/>
      <x:c r="L240" s="28" t="str"/>
      <x:c r="M240" s="20" t="str"/>
      <x:c r="N240" s="33"/>
      <x:c r="O240" s="20" t="str"/>
      <x:c r="P240" s="33"/>
      <x:c r="Q240" s="2" t="n">
        <x:f>IF(AND(AE240=1,COUNTIFS($A$7:$A$500,"T0028",$AE$7:$AE$500,1)=1),1,0)</x:f>
        <x:v>0</x:v>
      </x:c>
      <x:c r="R240" s="2" t="str">
        <x:f>IF(AND(Q240=1,P240&lt;='Dashboard'!$B$5),IF(P240&gt;B240,"Accepted late","Accepted"),IF(B240&lt;'Dashboard'!$B$5,"Overdue",IF(I240="Blocked","Blocked",IF(B240='Dashboard'!$B$5,"Due today","Planned"))))</x:f>
        <x:v>Planned</x:v>
      </x:c>
      <x:c r="S240" s="26" t="str">
        <x:f>IF(I240="Accepted",IF(K240="","Add evidence",IF(O240="","Add reviewer",IF(P240="","Add accepted date",IF(AND(ISNUMBER(F240),COUNT(G240)=0),"Add actual quantity",IF(Q240=0,"Review target / date / dependencies","Complete"))))),IF(OR(I240="Blocked",I240="Deferred"),IF(L240="","Record blocker / reason",IF(M240="","Assign rescue owner",IF(N240="","Set recovery date","Recovery assigned"))),IF(B240&lt;'Dashboard'!$B$5,"Escalate and record recovery","Work to acceptance standard")))</x:f>
        <x:v>Work to acceptance standard</x:v>
      </x:c>
      <x:c r="T240" s="26" t="str">
        <x:v>T0028</x:v>
      </x:c>
      <x:c r="U240" s="26" t="str">
        <x:v>Demand-linked: referral verification&lt;=2 business days; trial capacity respected; $200 credit only on eligible invoice paid.</x:v>
      </x:c>
      <x:c r="V240" s="31" t="n">
        <x:v>0.5</x:v>
      </x:c>
      <x:c r="W240" s="26" t="str"/>
      <x:c r="X240" s="26" t="str">
        <x:v>DSI Reset PDF: lane responsibilities and dated runbook; dated allocation proposed for this tracker.</x:v>
      </x:c>
      <x:c r="Y240" s="30" t="n">
        <x:f>B240-WEEKDAY(B240,2)+1</x:f>
        <x:v>46342</x:v>
      </x:c>
      <x:c r="Z240" s="2" t="str">
        <x:v>demand</x:v>
      </x:c>
      <x:c r="AA240" s="2" t="n">
        <x:f>IF(Q240=1,IF(P240&gt;B240,1,0),0)</x:f>
        <x:v>0</x:v>
      </x:c>
      <x:c r="AB240" s="2" t="n">
        <x:f>IF(AND(Q240=1,P240&lt;='Dashboard'!$B$5),0,MAX(0,'Dashboard'!$B$5-B240))</x:f>
        <x:v>0</x:v>
      </x:c>
      <x:c r="AC240" s="28" t="str"/>
      <x:c r="AD240" s="2" t="str">
        <x:f>IF(AND(ISNUMBER(F240),ISNUMBER(G240)),G240-F240,"")</x:f>
      </x:c>
      <x:c r="AE240" s="2" t="n">
        <x:f>IF(AND(I240="Accepted",K240&lt;&gt;"",O240&lt;&gt;"",ISNUMBER(P240),P240&gt;0,P240&lt;='Dashboard'!$B$5,IF(ISNUMBER(F240),ISNUMBER(G240),TRUE)),1,0)</x:f>
        <x:v>0</x:v>
      </x:c>
    </x:row>
    <x:row r="241" ht="58" customHeight="1">
      <x:c r="A241" s="2" t="str">
        <x:v>T0207</x:v>
      </x:c>
      <x:c r="B241" s="30" t="n">
        <x:v>46345</x:v>
      </x:c>
      <x:c r="C241" s="2" t="str">
        <x:v>Wyline</x:v>
      </x:c>
      <x:c r="D241" s="2" t="str">
        <x:v>Program Director</x:v>
      </x:c>
      <x:c r="E241" s="26" t="str">
        <x:v>Accepted-output register; actual-vs-target dashboard; blocker/rescue assignments</x:v>
      </x:c>
      <x:c r="F241" s="2" t="n">
        <x:v>1</x:v>
      </x:c>
      <x:c r="G241" s="20"/>
      <x:c r="H241" s="2" t="str">
        <x:v>accepted output</x:v>
      </x:c>
      <x:c r="I241" s="20" t="str">
        <x:v>Ready</x:v>
      </x:c>
      <x:c r="J241" s="2" t="str">
        <x:v>16:45</x:v>
      </x:c>
      <x:c r="K241" s="28" t="str"/>
      <x:c r="L241" s="28" t="str"/>
      <x:c r="M241" s="20" t="str"/>
      <x:c r="N241" s="33"/>
      <x:c r="O241" s="20" t="str"/>
      <x:c r="P241" s="33"/>
      <x:c r="Q241" s="2" t="n">
        <x:f>IF(AND(AE241=1,COUNTIFS($A$7:$A$500,"T0067",$AE$7:$AE$500,1)=1,COUNTIFS($A$7:$A$500,"T0055",$AE$7:$AE$500,1)=1),1,0)</x:f>
        <x:v>0</x:v>
      </x:c>
      <x:c r="R241" s="2" t="str">
        <x:f>IF(AND(Q241=1,P241&lt;='Dashboard'!$B$5),IF(P241&gt;B241,"Accepted late","Accepted"),IF(B241&lt;'Dashboard'!$B$5,"Overdue",IF(I241="Blocked","Blocked",IF(B241='Dashboard'!$B$5,"Due today","Planned"))))</x:f>
        <x:v>Planned</x:v>
      </x:c>
      <x:c r="S241" s="26" t="str">
        <x:f>IF(I241="Accepted",IF(K241="","Add evidence",IF(O241="","Add reviewer",IF(P241="","Add accepted date",IF(AND(ISNUMBER(F241),COUNT(G241)=0),"Add actual quantity",IF(Q241=0,"Review target / date / dependencies","Complete"))))),IF(OR(I241="Blocked",I241="Deferred"),IF(L241="","Record blocker / reason",IF(M241="","Assign rescue owner",IF(N241="","Set recovery date","Recovery assigned"))),IF(B241&lt;'Dashboard'!$B$5,"Escalate and record recovery","Work to acceptance standard")))</x:f>
        <x:v>Work to acceptance standard</x:v>
      </x:c>
      <x:c r="T241" s="26" t="str">
        <x:v>T0067</x:v>
      </x:c>
      <x:c r="U241" s="26" t="str">
        <x:v>09:00 standup; 13:00/16:30 recovery checks; 17:00 acceptance. Every overdue task keeps original date and named recovery owner.</x:v>
      </x:c>
      <x:c r="V241" s="31" t="n">
        <x:v>3</x:v>
      </x:c>
      <x:c r="W241" s="26" t="str"/>
      <x:c r="X241" s="26" t="str">
        <x:v>DSI Reset PDF: lane responsibilities and dated runbook; dated allocation proposed for this tracker.</x:v>
      </x:c>
      <x:c r="Y241" s="30" t="n">
        <x:f>B241-WEEKDAY(B241,2)+1</x:f>
        <x:v>46342</x:v>
      </x:c>
      <x:c r="Z241" s="2" t="str">
        <x:v>checklist</x:v>
      </x:c>
      <x:c r="AA241" s="2" t="n">
        <x:f>IF(Q241=1,IF(P241&gt;B241,1,0),0)</x:f>
        <x:v>0</x:v>
      </x:c>
      <x:c r="AB241" s="2" t="n">
        <x:f>IF(AND(Q241=1,P241&lt;='Dashboard'!$B$5),0,MAX(0,'Dashboard'!$B$5-B241))</x:f>
        <x:v>0</x:v>
      </x:c>
      <x:c r="AC241" s="28" t="str"/>
      <x:c r="AD241" s="2" t="str">
        <x:f>IF(AND(ISNUMBER(F241),ISNUMBER(G241)),G241-F241,"")</x:f>
      </x:c>
      <x:c r="AE241" s="2" t="n">
        <x:f>IF(AND(I241="Accepted",K241&lt;&gt;"",O241&lt;&gt;"",ISNUMBER(P241),P241&gt;0,P241&lt;='Dashboard'!$B$5,IF(ISNUMBER(F241),ISNUMBER(G241),TRUE),IF(ISNUMBER(F241),G241&gt;=F241,TRUE)),1,0)</x:f>
        <x:v>0</x:v>
      </x:c>
    </x:row>
    <x:row r="242" ht="58" customHeight="1">
      <x:c r="A242" s="2" t="str">
        <x:v>T0208</x:v>
      </x:c>
      <x:c r="B242" s="30" t="n">
        <x:v>46345</x:v>
      </x:c>
      <x:c r="C242" s="2" t="str">
        <x:v>Kenneth</x:v>
      </x:c>
      <x:c r="D242" s="2" t="str">
        <x:v>Message Orchestrator</x:v>
      </x:c>
      <x:c r="E242" s="26" t="str">
        <x:v>Human-reply insights; 5 Inbox draft checks; approved first lines; claim exceptions</x:v>
      </x:c>
      <x:c r="F242" s="2" t="n">
        <x:v>1</x:v>
      </x:c>
      <x:c r="G242" s="20"/>
      <x:c r="H242" s="2" t="str">
        <x:v>accepted output</x:v>
      </x:c>
      <x:c r="I242" s="20" t="str">
        <x:v>Ready</x:v>
      </x:c>
      <x:c r="J242" s="2" t="str">
        <x:v>16:45</x:v>
      </x:c>
      <x:c r="K242" s="28" t="str"/>
      <x:c r="L242" s="28" t="str"/>
      <x:c r="M242" s="20" t="str"/>
      <x:c r="N242" s="33"/>
      <x:c r="O242" s="20" t="str"/>
      <x:c r="P242" s="33"/>
      <x:c r="Q242" s="2" t="n">
        <x:f>IF(AND(AE242=1,COUNTIFS($A$7:$A$500,"T0067",$AE$7:$AE$500,1)=1,COUNTIFS($A$7:$A$500,"T0055",$AE$7:$AE$500,1)=1),1,0)</x:f>
        <x:v>0</x:v>
      </x:c>
      <x:c r="R242" s="2" t="str">
        <x:f>IF(AND(Q242=1,P242&lt;='Dashboard'!$B$5),IF(P242&gt;B242,"Accepted late","Accepted"),IF(B242&lt;'Dashboard'!$B$5,"Overdue",IF(I242="Blocked","Blocked",IF(B242='Dashboard'!$B$5,"Due today","Planned"))))</x:f>
        <x:v>Planned</x:v>
      </x:c>
      <x:c r="S242" s="26" t="str">
        <x:f>IF(I242="Accepted",IF(K242="","Add evidence",IF(O242="","Add reviewer",IF(P242="","Add accepted date",IF(AND(ISNUMBER(F242),COUNT(G242)=0),"Add actual quantity",IF(Q242=0,"Review target / date / dependencies","Complete"))))),IF(OR(I242="Blocked",I242="Deferred"),IF(L242="","Record blocker / reason",IF(M242="","Assign rescue owner",IF(N242="","Set recovery date","Recovery assigned"))),IF(B242&lt;'Dashboard'!$B$5,"Escalate and record recovery","Work to acceptance standard")))</x:f>
        <x:v>Work to acceptance standard</x:v>
      </x:c>
      <x:c r="T242" s="26" t="str">
        <x:v>T0067</x:v>
      </x:c>
      <x:c r="U242" s="26" t="str">
        <x:v>Zero invented claims. If any draft fails facts, stop drafting/retrain; no offer change without approval.</x:v>
      </x:c>
      <x:c r="V242" s="31" t="n">
        <x:v>2.4</x:v>
      </x:c>
      <x:c r="W242" s="26" t="str"/>
      <x:c r="X242" s="26" t="str">
        <x:v>DSI Reset PDF: lane responsibilities and dated runbook; dated allocation proposed for this tracker.</x:v>
      </x:c>
      <x:c r="Y242" s="30" t="n">
        <x:f>B242-WEEKDAY(B242,2)+1</x:f>
        <x:v>46342</x:v>
      </x:c>
      <x:c r="Z242" s="2" t="str">
        <x:v>checklist</x:v>
      </x:c>
      <x:c r="AA242" s="2" t="n">
        <x:f>IF(Q242=1,IF(P242&gt;B242,1,0),0)</x:f>
        <x:v>0</x:v>
      </x:c>
      <x:c r="AB242" s="2" t="n">
        <x:f>IF(AND(Q242=1,P242&lt;='Dashboard'!$B$5),0,MAX(0,'Dashboard'!$B$5-B242))</x:f>
        <x:v>0</x:v>
      </x:c>
      <x:c r="AC242" s="28" t="str"/>
      <x:c r="AD242" s="2" t="str">
        <x:f>IF(AND(ISNUMBER(F242),ISNUMBER(G242)),G242-F242,"")</x:f>
      </x:c>
      <x:c r="AE242" s="2" t="n">
        <x:f>IF(AND(I242="Accepted",K242&lt;&gt;"",O242&lt;&gt;"",ISNUMBER(P242),P242&gt;0,P242&lt;='Dashboard'!$B$5,IF(ISNUMBER(F242),ISNUMBER(G242),TRUE),IF(ISNUMBER(F242),G242&gt;=F242,TRUE)),1,0)</x:f>
        <x:v>0</x:v>
      </x:c>
    </x:row>
    <x:row r="243" ht="58" customHeight="1">
      <x:c r="A243" s="2" t="str">
        <x:v>T0209</x:v>
      </x:c>
      <x:c r="B243" s="30" t="n">
        <x:v>46345</x:v>
      </x:c>
      <x:c r="C243" s="2" t="str">
        <x:v>Joey</x:v>
      </x:c>
      <x:c r="D243" s="2" t="str">
        <x:v>Data Orchestrator</x:v>
      </x:c>
      <x:c r="E243" s="26" t="str">
        <x:v>Mailbox/bounce/suppression log; ready verified records; due-follow up versus new-send capacity plan.</x:v>
      </x:c>
      <x:c r="F243" s="2" t="n">
        <x:v>1</x:v>
      </x:c>
      <x:c r="G243" s="20"/>
      <x:c r="H243" s="2" t="str">
        <x:v>verified queue and health check</x:v>
      </x:c>
      <x:c r="I243" s="20" t="str">
        <x:v>Ready</x:v>
      </x:c>
      <x:c r="J243" s="2" t="str">
        <x:v>16:45</x:v>
      </x:c>
      <x:c r="K243" s="28" t="str"/>
      <x:c r="L243" s="28" t="str"/>
      <x:c r="M243" s="20" t="str"/>
      <x:c r="N243" s="33"/>
      <x:c r="O243" s="20" t="str"/>
      <x:c r="P243" s="33"/>
      <x:c r="Q243" s="2" t="n">
        <x:f>IF(AND(AE243=1,COUNTIFS($A$7:$A$500,"T0067",$AE$7:$AE$500,1)=1,COUNTIFS($A$7:$A$500,"T0055",$AE$7:$AE$500,1)=1),1,0)</x:f>
        <x:v>0</x:v>
      </x:c>
      <x:c r="R243" s="2" t="str">
        <x:f>IF(AND(Q243=1,P243&lt;='Dashboard'!$B$5),IF(P243&gt;B243,"Accepted late","Accepted"),IF(B243&lt;'Dashboard'!$B$5,"Overdue",IF(I243="Blocked","Blocked",IF(B243='Dashboard'!$B$5,"Due today","Planned"))))</x:f>
        <x:v>Planned</x:v>
      </x:c>
      <x:c r="S243" s="26" t="str">
        <x:f>IF(I243="Accepted",IF(K243="","Add evidence",IF(O243="","Add reviewer",IF(P243="","Add accepted date",IF(AND(ISNUMBER(F243),COUNT(G243)=0),"Add actual quantity",IF(Q243=0,"Review target / date / dependencies","Complete"))))),IF(OR(I243="Blocked",I243="Deferred"),IF(L243="","Record blocker / reason",IF(M243="","Assign rescue owner",IF(N243="","Set recovery date","Recovery assigned"))),IF(B243&lt;'Dashboard'!$B$5,"Escalate and record recovery","Work to acceptance standard")))</x:f>
        <x:v>Work to acceptance standard</x:v>
      </x:c>
      <x:c r="T243" s="26" t="str">
        <x:v>T0067</x:v>
      </x:c>
      <x:c r="U243" s="26" t="str">
        <x:v>Planning pool addition 0 contacts today; quality gate wins over quota. Total sends&lt;=150/day;&gt;3% bounce affected mailbox held. No new cold enrollments on reduced/buffer days.</x:v>
      </x:c>
      <x:c r="V243" s="31" t="n">
        <x:v>3</x:v>
      </x:c>
      <x:c r="W243" s="26" t="str"/>
      <x:c r="X243" s="26" t="str">
        <x:v>DSI Reset PDF: lane responsibilities and dated runbook; dated allocation proposed for this tracker.</x:v>
      </x:c>
      <x:c r="Y243" s="30" t="n">
        <x:f>B243-WEEKDAY(B243,2)+1</x:f>
        <x:v>46342</x:v>
      </x:c>
      <x:c r="Z243" s="2" t="str">
        <x:v>checklist</x:v>
      </x:c>
      <x:c r="AA243" s="2" t="n">
        <x:f>IF(Q243=1,IF(P243&gt;B243,1,0),0)</x:f>
        <x:v>0</x:v>
      </x:c>
      <x:c r="AB243" s="2" t="n">
        <x:f>IF(AND(Q243=1,P243&lt;='Dashboard'!$B$5),0,MAX(0,'Dashboard'!$B$5-B243))</x:f>
        <x:v>0</x:v>
      </x:c>
      <x:c r="AC243" s="28" t="str"/>
      <x:c r="AD243" s="2" t="str">
        <x:f>IF(AND(ISNUMBER(F243),ISNUMBER(G243)),G243-F243,"")</x:f>
      </x:c>
      <x:c r="AE243" s="2" t="n">
        <x:f>IF(AND(I243="Accepted",K243&lt;&gt;"",O243&lt;&gt;"",ISNUMBER(P243),P243&gt;0,P243&lt;='Dashboard'!$B$5,IF(ISNUMBER(F243),ISNUMBER(G243),TRUE),IF(ISNUMBER(F243),G243&gt;=F243,TRUE)),1,0)</x:f>
        <x:v>0</x:v>
      </x:c>
    </x:row>
    <x:row r="244" ht="58" customHeight="1">
      <x:c r="A244" s="2" t="str">
        <x:v>T0210</x:v>
      </x:c>
      <x:c r="B244" s="30" t="n">
        <x:v>46345</x:v>
      </x:c>
      <x:c r="C244" s="2" t="str">
        <x:v>Nova</x:v>
      </x:c>
      <x:c r="D244" s="2" t="str">
        <x:v>Conversion Orchestrator</x:v>
      </x:c>
      <x:c r="E244" s="26" t="str">
        <x:v>Coverage/SLA evidence; 2 call reviews; booked/held updates; next-step and trial handoffs. Log each unique qualified inquiry with practice type, decision-maker access, case volume, service need and readiness timing.</x:v>
      </x:c>
      <x:c r="F244" s="2" t="n">
        <x:v>1</x:v>
      </x:c>
      <x:c r="G244" s="20"/>
      <x:c r="H244" s="2" t="str">
        <x:v>accepted output</x:v>
      </x:c>
      <x:c r="I244" s="20" t="str">
        <x:v>Ready</x:v>
      </x:c>
      <x:c r="J244" s="2" t="str">
        <x:v>16:45</x:v>
      </x:c>
      <x:c r="K244" s="28" t="str"/>
      <x:c r="L244" s="28" t="str"/>
      <x:c r="M244" s="20" t="str"/>
      <x:c r="N244" s="33"/>
      <x:c r="O244" s="20" t="str"/>
      <x:c r="P244" s="33"/>
      <x:c r="Q244" s="2" t="n">
        <x:f>IF(AND(AE244=1,COUNTIFS($A$7:$A$500,"T0067",$AE$7:$AE$500,1)=1,COUNTIFS($A$7:$A$500,"T0055",$AE$7:$AE$500,1)=1),1,0)</x:f>
        <x:v>0</x:v>
      </x:c>
      <x:c r="R244" s="2" t="str">
        <x:f>IF(AND(Q244=1,P244&lt;='Dashboard'!$B$5),IF(P244&gt;B244,"Accepted late","Accepted"),IF(B244&lt;'Dashboard'!$B$5,"Overdue",IF(I244="Blocked","Blocked",IF(B244='Dashboard'!$B$5,"Due today","Planned"))))</x:f>
        <x:v>Planned</x:v>
      </x:c>
      <x:c r="S244" s="26" t="str">
        <x:f>IF(I244="Accepted",IF(K244="","Add evidence",IF(O244="","Add reviewer",IF(P244="","Add accepted date",IF(AND(ISNUMBER(F244),COUNT(G244)=0),"Add actual quantity",IF(Q244=0,"Review target / date / dependencies","Complete"))))),IF(OR(I244="Blocked",I244="Deferred"),IF(L244="","Record blocker / reason",IF(M244="","Assign rescue owner",IF(N244="","Set recovery date","Recovery assigned"))),IF(B244&lt;'Dashboard'!$B$5,"Escalate and record recovery","Work to acceptance standard")))</x:f>
        <x:v>Work to acceptance standard</x:v>
      </x:c>
      <x:c r="T244" s="26" t="str">
        <x:v>T0067</x:v>
      </x:c>
      <x:c r="U244" s="26" t="str">
        <x:v>Every eligible reply&lt;=15 min; positive call&lt;=60 min; no opportunity without next step; booked brief to Nic; trial logistics to Maseeha. Raw contacts, opens and accepts never count as qualified inquiries; deduplicate across channels.</x:v>
      </x:c>
      <x:c r="V244" s="31" t="n">
        <x:v>4</x:v>
      </x:c>
      <x:c r="W244" s="26" t="str"/>
      <x:c r="X244" s="26" t="str">
        <x:v>DSI Reset PDF: lane responsibilities and dated runbook; dated allocation proposed for this tracker.</x:v>
      </x:c>
      <x:c r="Y244" s="30" t="n">
        <x:f>B244-WEEKDAY(B244,2)+1</x:f>
        <x:v>46342</x:v>
      </x:c>
      <x:c r="Z244" s="2" t="str">
        <x:v>checklist</x:v>
      </x:c>
      <x:c r="AA244" s="2" t="n">
        <x:f>IF(Q244=1,IF(P244&gt;B244,1,0),0)</x:f>
        <x:v>0</x:v>
      </x:c>
      <x:c r="AB244" s="2" t="n">
        <x:f>IF(AND(Q244=1,P244&lt;='Dashboard'!$B$5),0,MAX(0,'Dashboard'!$B$5-B244))</x:f>
        <x:v>0</x:v>
      </x:c>
      <x:c r="AC244" s="28" t="str"/>
      <x:c r="AD244" s="2" t="str">
        <x:f>IF(AND(ISNUMBER(F244),ISNUMBER(G244)),G244-F244,"")</x:f>
      </x:c>
      <x:c r="AE244" s="2" t="n">
        <x:f>IF(AND(I244="Accepted",K244&lt;&gt;"",O244&lt;&gt;"",ISNUMBER(P244),P244&gt;0,P244&lt;='Dashboard'!$B$5,IF(ISNUMBER(F244),ISNUMBER(G244),TRUE),IF(ISNUMBER(F244),G244&gt;=F244,TRUE)),1,0)</x:f>
        <x:v>0</x:v>
      </x:c>
    </x:row>
    <x:row r="245" ht="58" customHeight="1">
      <x:c r="A245" s="2" t="str">
        <x:v>T0211</x:v>
      </x:c>
      <x:c r="B245" s="30" t="n">
        <x:v>46345</x:v>
      </x:c>
      <x:c r="C245" s="2" t="str">
        <x:v>Emman</x:v>
      </x:c>
      <x:c r="D245" s="2" t="str">
        <x:v>AI Build Orchestrator</x:v>
      </x:c>
      <x:c r="E245" s="26" t="str">
        <x:v>QA-passed weekly report test</x:v>
      </x:c>
      <x:c r="F245" s="2" t="n">
        <x:v>1</x:v>
      </x:c>
      <x:c r="G245" s="20"/>
      <x:c r="H245" s="2" t="str">
        <x:v>accepted output</x:v>
      </x:c>
      <x:c r="I245" s="20" t="str">
        <x:v>Ready</x:v>
      </x:c>
      <x:c r="J245" s="2" t="str">
        <x:v>16:45</x:v>
      </x:c>
      <x:c r="K245" s="28" t="str"/>
      <x:c r="L245" s="28" t="str"/>
      <x:c r="M245" s="20" t="str"/>
      <x:c r="N245" s="33"/>
      <x:c r="O245" s="20" t="str"/>
      <x:c r="P245" s="33"/>
      <x:c r="Q245" s="2" t="n">
        <x:f>IF(AND(AE245=1,COUNTIFS($A$7:$A$500,"T0067",$AE$7:$AE$500,1)=1,COUNTIFS($A$7:$A$500,"T0055",$AE$7:$AE$500,1)=1),1,0)</x:f>
        <x:v>0</x:v>
      </x:c>
      <x:c r="R245" s="2" t="str">
        <x:f>IF(AND(Q245=1,P245&lt;='Dashboard'!$B$5),IF(P245&gt;B245,"Accepted late","Accepted"),IF(B245&lt;'Dashboard'!$B$5,"Overdue",IF(I245="Blocked","Blocked",IF(B245='Dashboard'!$B$5,"Due today","Planned"))))</x:f>
        <x:v>Planned</x:v>
      </x:c>
      <x:c r="S245" s="26" t="str">
        <x:f>IF(I245="Accepted",IF(K245="","Add evidence",IF(O245="","Add reviewer",IF(P245="","Add accepted date",IF(AND(ISNUMBER(F245),COUNT(G245)=0),"Add actual quantity",IF(Q245=0,"Review target / date / dependencies","Complete"))))),IF(OR(I245="Blocked",I245="Deferred"),IF(L245="","Record blocker / reason",IF(M245="","Assign rescue owner",IF(N245="","Set recovery date","Recovery assigned"))),IF(B245&lt;'Dashboard'!$B$5,"Escalate and record recovery","Work to acceptance standard")))</x:f>
        <x:v>Work to acceptance standard</x:v>
      </x:c>
      <x:c r="T245" s="26" t="str">
        <x:v>T0067</x:v>
      </x:c>
      <x:c r="U245" s="26" t="str">
        <x:v>Wyline edit&lt;10 min; zero placeholder/date/number defects.</x:v>
      </x:c>
      <x:c r="V245" s="31" t="n">
        <x:v>4</x:v>
      </x:c>
      <x:c r="W245" s="26" t="str"/>
      <x:c r="X245" s="26" t="str">
        <x:v>DSI Reset PDF: lane responsibilities and dated runbook; dated allocation proposed for this tracker.</x:v>
      </x:c>
      <x:c r="Y245" s="30" t="n">
        <x:f>B245-WEEKDAY(B245,2)+1</x:f>
        <x:v>46342</x:v>
      </x:c>
      <x:c r="Z245" s="2" t="str">
        <x:v>checklist</x:v>
      </x:c>
      <x:c r="AA245" s="2" t="n">
        <x:f>IF(Q245=1,IF(P245&gt;B245,1,0),0)</x:f>
        <x:v>0</x:v>
      </x:c>
      <x:c r="AB245" s="2" t="n">
        <x:f>IF(AND(Q245=1,P245&lt;='Dashboard'!$B$5),0,MAX(0,'Dashboard'!$B$5-B245))</x:f>
        <x:v>0</x:v>
      </x:c>
      <x:c r="AC245" s="28" t="str"/>
      <x:c r="AD245" s="2" t="str">
        <x:f>IF(AND(ISNUMBER(F245),ISNUMBER(G245)),G245-F245,"")</x:f>
      </x:c>
      <x:c r="AE245" s="2" t="n">
        <x:f>IF(AND(I245="Accepted",K245&lt;&gt;"",O245&lt;&gt;"",ISNUMBER(P245),P245&gt;0,P245&lt;='Dashboard'!$B$5,IF(ISNUMBER(F245),ISNUMBER(G245),TRUE),IF(ISNUMBER(F245),G245&gt;=F245,TRUE)),1,0)</x:f>
        <x:v>0</x:v>
      </x:c>
    </x:row>
    <x:row r="246" ht="58" customHeight="1">
      <x:c r="A246" s="2" t="str">
        <x:v>T0212</x:v>
      </x:c>
      <x:c r="B246" s="30" t="n">
        <x:v>46345</x:v>
      </x:c>
      <x:c r="C246" s="2" t="str">
        <x:v>Ludwig</x:v>
      </x:c>
      <x:c r="D246" s="2" t="str">
        <x:v>Integration Engineer</x:v>
      </x:c>
      <x:c r="E246" s="26" t="str">
        <x:v>Webhook/error/dead-letter check; top assigned integration ticket or verified no-ticket note</x:v>
      </x:c>
      <x:c r="F246" s="2" t="n">
        <x:v>1</x:v>
      </x:c>
      <x:c r="G246" s="20"/>
      <x:c r="H246" s="2" t="str">
        <x:v>accepted output</x:v>
      </x:c>
      <x:c r="I246" s="20" t="str">
        <x:v>Ready</x:v>
      </x:c>
      <x:c r="J246" s="2" t="str">
        <x:v>16:45</x:v>
      </x:c>
      <x:c r="K246" s="28" t="str"/>
      <x:c r="L246" s="28" t="str"/>
      <x:c r="M246" s="20" t="str"/>
      <x:c r="N246" s="33"/>
      <x:c r="O246" s="20" t="str"/>
      <x:c r="P246" s="33"/>
      <x:c r="Q246" s="2" t="n">
        <x:f>IF(AND(AE246=1,COUNTIFS($A$7:$A$500,"T0067",$AE$7:$AE$500,1)=1,COUNTIFS($A$7:$A$500,"T0055",$AE$7:$AE$500,1)=1),1,0)</x:f>
        <x:v>0</x:v>
      </x:c>
      <x:c r="R246" s="2" t="str">
        <x:f>IF(AND(Q246=1,P246&lt;='Dashboard'!$B$5),IF(P246&gt;B246,"Accepted late","Accepted"),IF(B246&lt;'Dashboard'!$B$5,"Overdue",IF(I246="Blocked","Blocked",IF(B246='Dashboard'!$B$5,"Due today","Planned"))))</x:f>
        <x:v>Planned</x:v>
      </x:c>
      <x:c r="S246" s="26" t="str">
        <x:f>IF(I246="Accepted",IF(K246="","Add evidence",IF(O246="","Add reviewer",IF(P246="","Add accepted date",IF(AND(ISNUMBER(F246),COUNT(G246)=0),"Add actual quantity",IF(Q246=0,"Review target / date / dependencies","Complete"))))),IF(OR(I246="Blocked",I246="Deferred"),IF(L246="","Record blocker / reason",IF(M246="","Assign rescue owner",IF(N246="","Set recovery date","Recovery assigned"))),IF(B246&lt;'Dashboard'!$B$5,"Escalate and record recovery","Work to acceptance standard")))</x:f>
        <x:v>Work to acceptance standard</x:v>
      </x:c>
      <x:c r="T246" s="26" t="str">
        <x:v>T0067</x:v>
      </x:c>
      <x:c r="U246" s="26" t="str">
        <x:v>Only Emman’s priority queue; 100% test capture; runbook/retry/rollback evidence. If no fault/ticket, release reserve; do not invent work.</x:v>
      </x:c>
      <x:c r="V246" s="31" t="n">
        <x:v>1.6</x:v>
      </x:c>
      <x:c r="W246" s="26" t="str"/>
      <x:c r="X246" s="26" t="str">
        <x:v>DSI Reset PDF: lane responsibilities and dated runbook; dated allocation proposed for this tracker.</x:v>
      </x:c>
      <x:c r="Y246" s="30" t="n">
        <x:f>B246-WEEKDAY(B246,2)+1</x:f>
        <x:v>46342</x:v>
      </x:c>
      <x:c r="Z246" s="2" t="str">
        <x:v>checklist</x:v>
      </x:c>
      <x:c r="AA246" s="2" t="n">
        <x:f>IF(Q246=1,IF(P246&gt;B246,1,0),0)</x:f>
        <x:v>0</x:v>
      </x:c>
      <x:c r="AB246" s="2" t="n">
        <x:f>IF(AND(Q246=1,P246&lt;='Dashboard'!$B$5),0,MAX(0,'Dashboard'!$B$5-B246))</x:f>
        <x:v>0</x:v>
      </x:c>
      <x:c r="AC246" s="28" t="str"/>
      <x:c r="AD246" s="2" t="str">
        <x:f>IF(AND(ISNUMBER(F246),ISNUMBER(G246)),G246-F246,"")</x:f>
      </x:c>
      <x:c r="AE246" s="2" t="n">
        <x:f>IF(AND(I246="Accepted",K246&lt;&gt;"",O246&lt;&gt;"",ISNUMBER(P246),P246&gt;0,P246&lt;='Dashboard'!$B$5,IF(ISNUMBER(F246),ISNUMBER(G246),TRUE),IF(ISNUMBER(F246),G246&gt;=F246,TRUE)),1,0)</x:f>
        <x:v>0</x:v>
      </x:c>
    </x:row>
    <x:row r="247" ht="58" customHeight="1">
      <x:c r="A247" s="2" t="str">
        <x:v>T0213</x:v>
      </x:c>
      <x:c r="B247" s="30" t="n">
        <x:v>46345</x:v>
      </x:c>
      <x:c r="C247" s="2" t="str">
        <x:v>Alvin</x:v>
      </x:c>
      <x:c r="D247" s="2" t="str">
        <x:v>CQL/GHL Implementation</x:v>
      </x:c>
      <x:c r="E247" s="26" t="str">
        <x:v>Stage/calendar/reminder QA; due workflow fixes; approved post mirrors/evidence Publish approved post SOC09 (Engage); capture the live URL.</x:v>
      </x:c>
      <x:c r="F247" s="2" t="n">
        <x:v>1</x:v>
      </x:c>
      <x:c r="G247" s="20"/>
      <x:c r="H247" s="2" t="str">
        <x:v>accepted output</x:v>
      </x:c>
      <x:c r="I247" s="20" t="str">
        <x:v>Ready</x:v>
      </x:c>
      <x:c r="J247" s="2" t="str">
        <x:v>16:45</x:v>
      </x:c>
      <x:c r="K247" s="28" t="str"/>
      <x:c r="L247" s="28" t="str"/>
      <x:c r="M247" s="20" t="str"/>
      <x:c r="N247" s="33"/>
      <x:c r="O247" s="20" t="str"/>
      <x:c r="P247" s="33"/>
      <x:c r="Q247" s="2" t="n">
        <x:f>IF(AND(AE247=1,COUNTIFS($A$7:$A$500,"T0067",$AE$7:$AE$500,1)=1,COUNTIFS($A$7:$A$500,"T0055",$AE$7:$AE$500,1)=1),1,0)</x:f>
        <x:v>0</x:v>
      </x:c>
      <x:c r="R247" s="2" t="str">
        <x:f>IF(AND(Q247=1,P247&lt;='Dashboard'!$B$5),IF(P247&gt;B247,"Accepted late","Accepted"),IF(B247&lt;'Dashboard'!$B$5,"Overdue",IF(I247="Blocked","Blocked",IF(B247='Dashboard'!$B$5,"Due today","Planned"))))</x:f>
        <x:v>Planned</x:v>
      </x:c>
      <x:c r="S247" s="26" t="str">
        <x:f>IF(I247="Accepted",IF(K247="","Add evidence",IF(O247="","Add reviewer",IF(P247="","Add accepted date",IF(AND(ISNUMBER(F247),COUNT(G247)=0),"Add actual quantity",IF(Q247=0,"Review target / date / dependencies","Complete"))))),IF(OR(I247="Blocked",I247="Deferred"),IF(L247="","Record blocker / reason",IF(M247="","Assign rescue owner",IF(N247="","Set recovery date","Recovery assigned"))),IF(B247&lt;'Dashboard'!$B$5,"Escalate and record recovery","Work to acceptance standard")))</x:f>
        <x:v>Work to acceptance standard</x:v>
      </x:c>
      <x:c r="T247" s="26" t="str">
        <x:v>T0067</x:v>
      </x:c>
      <x:c r="U247" s="26" t="str">
        <x:v>No-show task&lt;=10 min; form/source fields correct; finish critical CRM defect same day. Facebook mirrors exact approved post; Instagram requires permissioned image.</x:v>
      </x:c>
      <x:c r="V247" s="31" t="n">
        <x:v>2</x:v>
      </x:c>
      <x:c r="W247" s="26" t="str"/>
      <x:c r="X247" s="26" t="str">
        <x:v>DSI Reset PDF: lane responsibilities and dated runbook; dated allocation proposed for this tracker.</x:v>
      </x:c>
      <x:c r="Y247" s="30" t="n">
        <x:f>B247-WEEKDAY(B247,2)+1</x:f>
        <x:v>46342</x:v>
      </x:c>
      <x:c r="Z247" s="2" t="str">
        <x:v>checklist</x:v>
      </x:c>
      <x:c r="AA247" s="2" t="n">
        <x:f>IF(Q247=1,IF(P247&gt;B247,1,0),0)</x:f>
        <x:v>0</x:v>
      </x:c>
      <x:c r="AB247" s="2" t="n">
        <x:f>IF(AND(Q247=1,P247&lt;='Dashboard'!$B$5),0,MAX(0,'Dashboard'!$B$5-B247))</x:f>
        <x:v>0</x:v>
      </x:c>
      <x:c r="AC247" s="28" t="str"/>
      <x:c r="AD247" s="2" t="str">
        <x:f>IF(AND(ISNUMBER(F247),ISNUMBER(G247)),G247-F247,"")</x:f>
      </x:c>
      <x:c r="AE247" s="2" t="n">
        <x:f>IF(AND(I247="Accepted",K247&lt;&gt;"",O247&lt;&gt;"",ISNUMBER(P247),P247&gt;0,P247&lt;='Dashboard'!$B$5,IF(ISNUMBER(F247),ISNUMBER(G247),TRUE),IF(ISNUMBER(F247),G247&gt;=F247,TRUE)),1,0)</x:f>
        <x:v>0</x:v>
      </x:c>
    </x:row>
    <x:row r="248" ht="58" customHeight="1">
      <x:c r="A248" s="2" t="str">
        <x:v>T0214</x:v>
      </x:c>
      <x:c r="B248" s="30" t="n">
        <x:v>46345</x:v>
      </x:c>
      <x:c r="C248" s="2" t="str">
        <x:v>Brian</x:v>
      </x:c>
      <x:c r="D248" s="2" t="str">
        <x:v>Web and Tracking</x:v>
      </x:c>
      <x:c r="E248" s="26" t="str">
        <x:v>One health-check result; at most one weekly change ticket or no-ticket note</x:v>
      </x:c>
      <x:c r="F248" s="2" t="n">
        <x:v>1</x:v>
      </x:c>
      <x:c r="G248" s="20"/>
      <x:c r="H248" s="2" t="str">
        <x:v>accepted output</x:v>
      </x:c>
      <x:c r="I248" s="20" t="str">
        <x:v>Ready</x:v>
      </x:c>
      <x:c r="J248" s="2" t="str">
        <x:v>16:45</x:v>
      </x:c>
      <x:c r="K248" s="28" t="str"/>
      <x:c r="L248" s="28" t="str"/>
      <x:c r="M248" s="20" t="str"/>
      <x:c r="N248" s="33"/>
      <x:c r="O248" s="20" t="str"/>
      <x:c r="P248" s="33"/>
      <x:c r="Q248" s="2" t="n">
        <x:f>IF(AND(AE248=1,COUNTIFS($A$7:$A$500,"T0067",$AE$7:$AE$500,1)=1,COUNTIFS($A$7:$A$500,"T0055",$AE$7:$AE$500,1)=1),1,0)</x:f>
        <x:v>0</x:v>
      </x:c>
      <x:c r="R248" s="2" t="str">
        <x:f>IF(AND(Q248=1,P248&lt;='Dashboard'!$B$5),IF(P248&gt;B248,"Accepted late","Accepted"),IF(B248&lt;'Dashboard'!$B$5,"Overdue",IF(I248="Blocked","Blocked",IF(B248='Dashboard'!$B$5,"Due today","Planned"))))</x:f>
        <x:v>Planned</x:v>
      </x:c>
      <x:c r="S248" s="26" t="str">
        <x:f>IF(I248="Accepted",IF(K248="","Add evidence",IF(O248="","Add reviewer",IF(P248="","Add accepted date",IF(AND(ISNUMBER(F248),COUNT(G248)=0),"Add actual quantity",IF(Q248=0,"Review target / date / dependencies","Complete"))))),IF(OR(I248="Blocked",I248="Deferred"),IF(L248="","Record blocker / reason",IF(M248="","Assign rescue owner",IF(N248="","Set recovery date","Recovery assigned"))),IF(B248&lt;'Dashboard'!$B$5,"Escalate and record recovery","Work to acceptance standard")))</x:f>
        <x:v>Work to acceptance standard</x:v>
      </x:c>
      <x:c r="T248" s="26" t="str">
        <x:v>T0067</x:v>
      </x:c>
      <x:c r="U248" s="26" t="str">
        <x:v>Form to CQL&lt;1 min; approved copy unchanged; no work manufactured if healthy; ongoing reserve&lt;=2 h/week.</x:v>
      </x:c>
      <x:c r="V248" s="31" t="n">
        <x:v>0.4</x:v>
      </x:c>
      <x:c r="W248" s="26" t="str"/>
      <x:c r="X248" s="26" t="str">
        <x:v>DSI Reset PDF: lane responsibilities and dated runbook; dated allocation proposed for this tracker.</x:v>
      </x:c>
      <x:c r="Y248" s="30" t="n">
        <x:f>B248-WEEKDAY(B248,2)+1</x:f>
        <x:v>46342</x:v>
      </x:c>
      <x:c r="Z248" s="2" t="str">
        <x:v>checklist</x:v>
      </x:c>
      <x:c r="AA248" s="2" t="n">
        <x:f>IF(Q248=1,IF(P248&gt;B248,1,0),0)</x:f>
        <x:v>0</x:v>
      </x:c>
      <x:c r="AB248" s="2" t="n">
        <x:f>IF(AND(Q248=1,P248&lt;='Dashboard'!$B$5),0,MAX(0,'Dashboard'!$B$5-B248))</x:f>
        <x:v>0</x:v>
      </x:c>
      <x:c r="AC248" s="28" t="str"/>
      <x:c r="AD248" s="2" t="str">
        <x:f>IF(AND(ISNUMBER(F248),ISNUMBER(G248)),G248-F248,"")</x:f>
      </x:c>
      <x:c r="AE248" s="2" t="n">
        <x:f>IF(AND(I248="Accepted",K248&lt;&gt;"",O248&lt;&gt;"",ISNUMBER(P248),P248&gt;0,P248&lt;='Dashboard'!$B$5,IF(ISNUMBER(F248),ISNUMBER(G248),TRUE),IF(ISNUMBER(F248),G248&gt;=F248,TRUE)),1,0)</x:f>
        <x:v>0</x:v>
      </x:c>
    </x:row>
    <x:row r="249" ht="58" customHeight="1">
      <x:c r="A249" s="2" t="str">
        <x:v>T0215</x:v>
      </x:c>
      <x:c r="B249" s="30" t="n">
        <x:v>46345</x:v>
      </x:c>
      <x:c r="C249" s="2" t="str">
        <x:v>Dexter</x:v>
      </x:c>
      <x:c r="D249" s="2" t="str">
        <x:v>LinkedIn Execution</x:v>
      </x:c>
      <x:c r="E249" s="26" t="str">
        <x:v>CQL logged DMs/accepts; eligible requests; referred interested replies; approved post evidence Publish approved post SOC09 (Engage); capture the live URL.</x:v>
      </x:c>
      <x:c r="F249" s="2" t="n">
        <x:v>25</x:v>
      </x:c>
      <x:c r="G249" s="20"/>
      <x:c r="H249" s="2" t="str">
        <x:v>new request working target; eligible pool required</x:v>
      </x:c>
      <x:c r="I249" s="20" t="str">
        <x:v>Ready</x:v>
      </x:c>
      <x:c r="J249" s="2" t="str">
        <x:v>16:45</x:v>
      </x:c>
      <x:c r="K249" s="28" t="str"/>
      <x:c r="L249" s="28" t="str"/>
      <x:c r="M249" s="20" t="str"/>
      <x:c r="N249" s="33"/>
      <x:c r="O249" s="20" t="str"/>
      <x:c r="P249" s="33"/>
      <x:c r="Q249" s="2" t="n">
        <x:f>IF(AND(AE249=1,COUNTIFS($A$7:$A$500,"T0067",$AE$7:$AE$500,1)=1,COUNTIFS($A$7:$A$500,"T0055",$AE$7:$AE$500,1)=1),1,0)</x:f>
        <x:v>0</x:v>
      </x:c>
      <x:c r="R249" s="2" t="str">
        <x:f>IF(AND(Q249=1,P249&lt;='Dashboard'!$B$5),IF(P249&gt;B249,"Accepted late","Accepted"),IF(B249&lt;'Dashboard'!$B$5,"Overdue",IF(I249="Blocked","Blocked",IF(B249='Dashboard'!$B$5,"Due today","Planned"))))</x:f>
        <x:v>Planned</x:v>
      </x:c>
      <x:c r="S249" s="26" t="str">
        <x:f>IF(I249="Accepted",IF(K249="","Add evidence",IF(O249="","Add reviewer",IF(P249="","Add accepted date",IF(AND(ISNUMBER(F249),COUNT(G249)=0),"Add actual quantity",IF(Q249=0,"Review target / date / dependencies","Complete"))))),IF(OR(I249="Blocked",I249="Deferred"),IF(L249="","Record blocker / reason",IF(M249="","Assign rescue owner",IF(N249="","Set recovery date","Recovery assigned"))),IF(B249&lt;'Dashboard'!$B$5,"Escalate and record recovery","Work to acceptance standard")))</x:f>
        <x:v>Work to acceptance standard</x:v>
      </x:c>
      <x:c r="T249" s="26" t="str">
        <x:v>T0067</x:v>
      </x:c>
      <x:c r="U249"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49" s="31" t="n">
        <x:v>3</x:v>
      </x:c>
      <x:c r="W249" s="26" t="str"/>
      <x:c r="X249" s="26" t="str">
        <x:v>DSI Reset PDF: lane responsibilities and dated runbook; dated allocation proposed for this tracker.</x:v>
      </x:c>
      <x:c r="Y249" s="30" t="n">
        <x:f>B249-WEEKDAY(B249,2)+1</x:f>
        <x:v>46342</x:v>
      </x:c>
      <x:c r="Z249" s="2" t="str">
        <x:v>capacity</x:v>
      </x:c>
      <x:c r="AA249" s="2" t="n">
        <x:f>IF(Q249=1,IF(P249&gt;B249,1,0),0)</x:f>
        <x:v>0</x:v>
      </x:c>
      <x:c r="AB249" s="2" t="n">
        <x:f>IF(AND(Q249=1,P249&lt;='Dashboard'!$B$5),0,MAX(0,'Dashboard'!$B$5-B249))</x:f>
        <x:v>0</x:v>
      </x:c>
      <x:c r="AC249" s="28" t="str"/>
      <x:c r="AD249" s="2" t="str">
        <x:f>IF(AND(ISNUMBER(F249),ISNUMBER(G249)),G249-F249,"")</x:f>
      </x:c>
      <x:c r="AE249" s="2" t="n">
        <x:f>IF(AND(I249="Accepted",K249&lt;&gt;"",O249&lt;&gt;"",ISNUMBER(P249),P249&gt;0,P249&lt;='Dashboard'!$B$5,IF(ISNUMBER(F249),ISNUMBER(G249),TRUE),IF(ISNUMBER(F249),OR(G249&gt;=F249,AC249&lt;&gt;""),TRUE)),1,0)</x:f>
        <x:v>0</x:v>
      </x:c>
    </x:row>
    <x:row r="250" ht="58" customHeight="1">
      <x:c r="A250" s="2" t="str">
        <x:v>T0216</x:v>
      </x:c>
      <x:c r="B250" s="30" t="n">
        <x:v>46345</x:v>
      </x:c>
      <x:c r="C250" s="2" t="str">
        <x:v>Setter 1</x:v>
      </x:c>
      <x:c r="D250" s="2" t="str">
        <x:v>Reply and Phone Setter</x:v>
      </x:c>
      <x:c r="E250" s="26" t="str">
        <x:v>SLA/call outcome log; bookings and next steps; handoff to Nova</x:v>
      </x:c>
      <x:c r="F250" s="2" t="n">
        <x:v>50</x:v>
      </x:c>
      <x:c r="G250" s="20"/>
      <x:c r="H250" s="2" t="str">
        <x:v>dial working target; inbound SLA takes priority</x:v>
      </x:c>
      <x:c r="I250" s="20" t="str">
        <x:v>Ready</x:v>
      </x:c>
      <x:c r="J250" s="2" t="str">
        <x:v>16:45</x:v>
      </x:c>
      <x:c r="K250" s="28" t="str"/>
      <x:c r="L250" s="28" t="str"/>
      <x:c r="M250" s="20" t="str"/>
      <x:c r="N250" s="33"/>
      <x:c r="O250" s="20" t="str"/>
      <x:c r="P250" s="33"/>
      <x:c r="Q250" s="2" t="n">
        <x:f>IF(AND(AE250=1,COUNTIFS($A$7:$A$500,"T0013",$AE$7:$AE$500,1)=1,COUNTIFS($A$7:$A$500,"T0055",$AE$7:$AE$500,1)=1),1,0)</x:f>
        <x:v>0</x:v>
      </x:c>
      <x:c r="R250" s="2" t="str">
        <x:f>IF(AND(Q250=1,P250&lt;='Dashboard'!$B$5),IF(P250&gt;B250,"Accepted late","Accepted"),IF(B250&lt;'Dashboard'!$B$5,"Overdue",IF(I250="Blocked","Blocked",IF(B250='Dashboard'!$B$5,"Due today","Planned"))))</x:f>
        <x:v>Planned</x:v>
      </x:c>
      <x:c r="S250" s="26" t="str">
        <x:f>IF(I250="Accepted",IF(K250="","Add evidence",IF(O250="","Add reviewer",IF(P250="","Add accepted date",IF(AND(ISNUMBER(F250),COUNT(G250)=0),"Add actual quantity",IF(Q250=0,"Review target / date / dependencies","Complete"))))),IF(OR(I250="Blocked",I250="Deferred"),IF(L250="","Record blocker / reason",IF(M250="","Assign rescue owner",IF(N250="","Set recovery date","Recovery assigned"))),IF(B250&lt;'Dashboard'!$B$5,"Escalate and record recovery","Work to acceptance standard")))</x:f>
        <x:v>Work to acceptance standard</x:v>
      </x:c>
      <x:c r="T250" s="26" t="str">
        <x:v>T0013; T0055</x:v>
      </x:c>
      <x:c r="U250"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50" s="31" t="n">
        <x:v>7.5</x:v>
      </x:c>
      <x:c r="W250" s="26" t="str"/>
      <x:c r="X250" s="26" t="str">
        <x:v>DSI Reset PDF: lane responsibilities and dated runbook; dated allocation proposed for this tracker.</x:v>
      </x:c>
      <x:c r="Y250" s="30" t="n">
        <x:f>B250-WEEKDAY(B250,2)+1</x:f>
        <x:v>46342</x:v>
      </x:c>
      <x:c r="Z250" s="2" t="str">
        <x:v>capacity</x:v>
      </x:c>
      <x:c r="AA250" s="2" t="n">
        <x:f>IF(Q250=1,IF(P250&gt;B250,1,0),0)</x:f>
        <x:v>0</x:v>
      </x:c>
      <x:c r="AB250" s="2" t="n">
        <x:f>IF(AND(Q250=1,P250&lt;='Dashboard'!$B$5),0,MAX(0,'Dashboard'!$B$5-B250))</x:f>
        <x:v>0</x:v>
      </x:c>
      <x:c r="AC250" s="28" t="str"/>
      <x:c r="AD250" s="2" t="str">
        <x:f>IF(AND(ISNUMBER(F250),ISNUMBER(G250)),G250-F250,"")</x:f>
      </x:c>
      <x:c r="AE250" s="2" t="n">
        <x:f>IF(AND(I250="Accepted",K250&lt;&gt;"",O250&lt;&gt;"",ISNUMBER(P250),P250&gt;0,P250&lt;='Dashboard'!$B$5,IF(ISNUMBER(F250),ISNUMBER(G250),TRUE),IF(ISNUMBER(F250),OR(G250&gt;=F250,AC250&lt;&gt;""),TRUE)),1,0)</x:f>
        <x:v>0</x:v>
      </x:c>
    </x:row>
    <x:row r="251" ht="58" customHeight="1">
      <x:c r="A251" s="2" t="str">
        <x:v>T0217</x:v>
      </x:c>
      <x:c r="B251" s="30" t="n">
        <x:v>46345</x:v>
      </x:c>
      <x:c r="C251" s="2" t="str">
        <x:v>Setter 2</x:v>
      </x:c>
      <x:c r="D251" s="2" t="str">
        <x:v>Reply and Phone Setter</x:v>
      </x:c>
      <x:c r="E251" s="26" t="str">
        <x:v>SLA/call outcome log; bookings and next steps; handoff to Nova</x:v>
      </x:c>
      <x:c r="F251" s="2" t="n">
        <x:v>50</x:v>
      </x:c>
      <x:c r="G251" s="20"/>
      <x:c r="H251" s="2" t="str">
        <x:v>dial working target; inbound SLA takes priority</x:v>
      </x:c>
      <x:c r="I251" s="20" t="str">
        <x:v>Ready</x:v>
      </x:c>
      <x:c r="J251" s="2" t="str">
        <x:v>16:45</x:v>
      </x:c>
      <x:c r="K251" s="28" t="str"/>
      <x:c r="L251" s="28" t="str"/>
      <x:c r="M251" s="20" t="str"/>
      <x:c r="N251" s="33"/>
      <x:c r="O251" s="20" t="str"/>
      <x:c r="P251" s="33"/>
      <x:c r="Q251" s="2" t="n">
        <x:f>IF(AND(AE251=1,COUNTIFS($A$7:$A$500,"T0013",$AE$7:$AE$500,1)=1,COUNTIFS($A$7:$A$500,"T0055",$AE$7:$AE$500,1)=1),1,0)</x:f>
        <x:v>0</x:v>
      </x:c>
      <x:c r="R251" s="2" t="str">
        <x:f>IF(AND(Q251=1,P251&lt;='Dashboard'!$B$5),IF(P251&gt;B251,"Accepted late","Accepted"),IF(B251&lt;'Dashboard'!$B$5,"Overdue",IF(I251="Blocked","Blocked",IF(B251='Dashboard'!$B$5,"Due today","Planned"))))</x:f>
        <x:v>Planned</x:v>
      </x:c>
      <x:c r="S251" s="26" t="str">
        <x:f>IF(I251="Accepted",IF(K251="","Add evidence",IF(O251="","Add reviewer",IF(P251="","Add accepted date",IF(AND(ISNUMBER(F251),COUNT(G251)=0),"Add actual quantity",IF(Q251=0,"Review target / date / dependencies","Complete"))))),IF(OR(I251="Blocked",I251="Deferred"),IF(L251="","Record blocker / reason",IF(M251="","Assign rescue owner",IF(N251="","Set recovery date","Recovery assigned"))),IF(B251&lt;'Dashboard'!$B$5,"Escalate and record recovery","Work to acceptance standard")))</x:f>
        <x:v>Work to acceptance standard</x:v>
      </x:c>
      <x:c r="T251" s="26" t="str">
        <x:v>T0013; T0055</x:v>
      </x:c>
      <x:c r="U251"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51" s="31" t="n">
        <x:v>7.5</x:v>
      </x:c>
      <x:c r="W251" s="26" t="str"/>
      <x:c r="X251" s="26" t="str">
        <x:v>DSI Reset PDF: lane responsibilities and dated runbook; dated allocation proposed for this tracker.</x:v>
      </x:c>
      <x:c r="Y251" s="30" t="n">
        <x:f>B251-WEEKDAY(B251,2)+1</x:f>
        <x:v>46342</x:v>
      </x:c>
      <x:c r="Z251" s="2" t="str">
        <x:v>capacity</x:v>
      </x:c>
      <x:c r="AA251" s="2" t="n">
        <x:f>IF(Q251=1,IF(P251&gt;B251,1,0),0)</x:f>
        <x:v>0</x:v>
      </x:c>
      <x:c r="AB251" s="2" t="n">
        <x:f>IF(AND(Q251=1,P251&lt;='Dashboard'!$B$5),0,MAX(0,'Dashboard'!$B$5-B251))</x:f>
        <x:v>0</x:v>
      </x:c>
      <x:c r="AC251" s="28" t="str"/>
      <x:c r="AD251" s="2" t="str">
        <x:f>IF(AND(ISNUMBER(F251),ISNUMBER(G251)),G251-F251,"")</x:f>
      </x:c>
      <x:c r="AE251" s="2" t="n">
        <x:f>IF(AND(I251="Accepted",K251&lt;&gt;"",O251&lt;&gt;"",ISNUMBER(P251),P251&gt;0,P251&lt;='Dashboard'!$B$5,IF(ISNUMBER(F251),ISNUMBER(G251),TRUE),IF(ISNUMBER(F251),OR(G251&gt;=F251,AC251&lt;&gt;""),TRUE)),1,0)</x:f>
        <x:v>0</x:v>
      </x:c>
    </x:row>
    <x:row r="252" ht="58" customHeight="1">
      <x:c r="A252" s="2" t="str">
        <x:v>T0458</x:v>
      </x:c>
      <x:c r="B252" s="30" t="n">
        <x:v>46345</x:v>
      </x:c>
      <x:c r="C252" s="2" t="str">
        <x:v>Nic</x:v>
      </x:c>
      <x:c r="D252" s="2" t="str">
        <x:v>Client dependency</x:v>
      </x:c>
      <x:c r="E252" s="26" t="str">
        <x:v>Call outcome/next step for every appointment due; first-case decisions</x:v>
      </x:c>
      <x:c r="F252" s="2" t="str"/>
      <x:c r="G252" s="20"/>
      <x:c r="H252" s="2" t="str">
        <x:v>all due appointments</x:v>
      </x:c>
      <x:c r="I252" s="20" t="str">
        <x:v>Ready</x:v>
      </x:c>
      <x:c r="J252" s="2" t="str">
        <x:v>16:45</x:v>
      </x:c>
      <x:c r="K252" s="28" t="str"/>
      <x:c r="L252" s="28" t="str"/>
      <x:c r="M252" s="20" t="str"/>
      <x:c r="N252" s="33"/>
      <x:c r="O252" s="20" t="str"/>
      <x:c r="P252" s="33"/>
      <x:c r="Q252" s="2" t="n">
        <x:f>IF(AND(AE252=1,COUNTIFS($A$7:$A$500,"T0028",$AE$7:$AE$500,1)=1),1,0)</x:f>
        <x:v>0</x:v>
      </x:c>
      <x:c r="R252" s="2" t="str">
        <x:f>IF(AND(Q252=1,P252&lt;='Dashboard'!$B$5),IF(P252&gt;B252,"Accepted late","Accepted"),IF(B252&lt;'Dashboard'!$B$5,"Overdue",IF(I252="Blocked","Blocked",IF(B252='Dashboard'!$B$5,"Due today","Planned"))))</x:f>
        <x:v>Planned</x:v>
      </x:c>
      <x:c r="S252" s="26" t="str">
        <x:f>IF(I252="Accepted",IF(K252="","Add evidence",IF(O252="","Add reviewer",IF(P252="","Add accepted date",IF(AND(ISNUMBER(F252),COUNT(G252)=0),"Add actual quantity",IF(Q252=0,"Review target / date / dependencies","Complete"))))),IF(OR(I252="Blocked",I252="Deferred"),IF(L252="","Record blocker / reason",IF(M252="","Assign rescue owner",IF(N252="","Set recovery date","Recovery assigned"))),IF(B252&lt;'Dashboard'!$B$5,"Escalate and record recovery","Work to acceptance standard")))</x:f>
        <x:v>Work to acceptance standard</x:v>
      </x:c>
      <x:c r="T252" s="26" t="str">
        <x:v>T0028</x:v>
      </x:c>
      <x:c r="U252" s="26" t="str">
        <x:v>Demand-linked: work actual approved calendar; setter brief present; outcome logged same day. No calls scheduled is N/A with calendar evidence.</x:v>
      </x:c>
      <x:c r="V252" s="31" t="n">
        <x:v>0.5</x:v>
      </x:c>
      <x:c r="W252" s="26" t="str"/>
      <x:c r="X252" s="26" t="str">
        <x:v>DSI Reset PDF: lane responsibilities and dated runbook; dated allocation proposed for this tracker.</x:v>
      </x:c>
      <x:c r="Y252" s="30" t="n">
        <x:f>B252-WEEKDAY(B252,2)+1</x:f>
        <x:v>46342</x:v>
      </x:c>
      <x:c r="Z252" s="2" t="str">
        <x:v>demand</x:v>
      </x:c>
      <x:c r="AA252" s="2" t="n">
        <x:f>IF(Q252=1,IF(P252&gt;B252,1,0),0)</x:f>
        <x:v>0</x:v>
      </x:c>
      <x:c r="AB252" s="2" t="n">
        <x:f>IF(AND(Q252=1,P252&lt;='Dashboard'!$B$5),0,MAX(0,'Dashboard'!$B$5-B252))</x:f>
        <x:v>0</x:v>
      </x:c>
      <x:c r="AC252" s="28" t="str"/>
      <x:c r="AD252" s="2" t="str">
        <x:f>IF(AND(ISNUMBER(F252),ISNUMBER(G252)),G252-F252,"")</x:f>
      </x:c>
      <x:c r="AE252" s="2" t="n">
        <x:f>IF(AND(I252="Accepted",K252&lt;&gt;"",O252&lt;&gt;"",ISNUMBER(P252),P252&gt;0,P252&lt;='Dashboard'!$B$5,IF(ISNUMBER(F252),ISNUMBER(G252),TRUE)),1,0)</x:f>
        <x:v>0</x:v>
      </x:c>
    </x:row>
    <x:row r="253" ht="58" customHeight="1">
      <x:c r="A253" s="2" t="str">
        <x:v>T0459</x:v>
      </x:c>
      <x:c r="B253" s="30" t="n">
        <x:v>46345</x:v>
      </x:c>
      <x:c r="C253" s="2" t="str">
        <x:v>Maseeha</x:v>
      </x:c>
      <x:c r="D253" s="2" t="str">
        <x:v>Client dependency</x:v>
      </x:c>
      <x:c r="E253" s="26" t="str">
        <x:v>Due intro verification; kit/case handoff; delivery/Day-30 dates; credit trigger log. Planned asks today: 2 unique existing accounts; cumulative 33.</x:v>
      </x:c>
      <x:c r="F253" s="2" t="str"/>
      <x:c r="G253" s="20"/>
      <x:c r="H253" s="2" t="str">
        <x:v>all due cases</x:v>
      </x:c>
      <x:c r="I253" s="20" t="str">
        <x:v>Ready</x:v>
      </x:c>
      <x:c r="J253" s="2" t="str">
        <x:v>16:45</x:v>
      </x:c>
      <x:c r="K253" s="28" t="str"/>
      <x:c r="L253" s="28" t="str"/>
      <x:c r="M253" s="20" t="str"/>
      <x:c r="N253" s="33"/>
      <x:c r="O253" s="20" t="str"/>
      <x:c r="P253" s="33"/>
      <x:c r="Q253" s="2" t="n">
        <x:f>IF(AND(AE253=1,COUNTIFS($A$7:$A$500,"T0028",$AE$7:$AE$500,1)=1),1,0)</x:f>
        <x:v>0</x:v>
      </x:c>
      <x:c r="R253" s="2" t="str">
        <x:f>IF(AND(Q253=1,P253&lt;='Dashboard'!$B$5),IF(P253&gt;B253,"Accepted late","Accepted"),IF(B253&lt;'Dashboard'!$B$5,"Overdue",IF(I253="Blocked","Blocked",IF(B253='Dashboard'!$B$5,"Due today","Planned"))))</x:f>
        <x:v>Planned</x:v>
      </x:c>
      <x:c r="S253" s="26" t="str">
        <x:f>IF(I253="Accepted",IF(K253="","Add evidence",IF(O253="","Add reviewer",IF(P253="","Add accepted date",IF(AND(ISNUMBER(F253),COUNT(G253)=0),"Add actual quantity",IF(Q253=0,"Review target / date / dependencies","Complete"))))),IF(OR(I253="Blocked",I253="Deferred"),IF(L253="","Record blocker / reason",IF(M253="","Assign rescue owner",IF(N253="","Set recovery date","Recovery assigned"))),IF(B253&lt;'Dashboard'!$B$5,"Escalate and record recovery","Work to acceptance standard")))</x:f>
        <x:v>Work to acceptance standard</x:v>
      </x:c>
      <x:c r="T253" s="26" t="str">
        <x:v>T0028</x:v>
      </x:c>
      <x:c r="U253" s="26" t="str">
        <x:v>Demand-linked: referral verification&lt;=2 business days; trial capacity respected; $200 credit only on eligible invoice paid.</x:v>
      </x:c>
      <x:c r="V253" s="31" t="n">
        <x:v>0.5</x:v>
      </x:c>
      <x:c r="W253" s="26" t="str"/>
      <x:c r="X253" s="26" t="str">
        <x:v>DSI Reset PDF: lane responsibilities and dated runbook; dated allocation proposed for this tracker.</x:v>
      </x:c>
      <x:c r="Y253" s="30" t="n">
        <x:f>B253-WEEKDAY(B253,2)+1</x:f>
        <x:v>46342</x:v>
      </x:c>
      <x:c r="Z253" s="2" t="str">
        <x:v>demand</x:v>
      </x:c>
      <x:c r="AA253" s="2" t="n">
        <x:f>IF(Q253=1,IF(P253&gt;B253,1,0),0)</x:f>
        <x:v>0</x:v>
      </x:c>
      <x:c r="AB253" s="2" t="n">
        <x:f>IF(AND(Q253=1,P253&lt;='Dashboard'!$B$5),0,MAX(0,'Dashboard'!$B$5-B253))</x:f>
        <x:v>0</x:v>
      </x:c>
      <x:c r="AC253" s="28" t="str"/>
      <x:c r="AD253" s="2" t="str">
        <x:f>IF(AND(ISNUMBER(F253),ISNUMBER(G253)),G253-F253,"")</x:f>
      </x:c>
      <x:c r="AE253" s="2" t="n">
        <x:f>IF(AND(I253="Accepted",K253&lt;&gt;"",O253&lt;&gt;"",ISNUMBER(P253),P253&gt;0,P253&lt;='Dashboard'!$B$5,IF(ISNUMBER(F253),ISNUMBER(G253),TRUE)),1,0)</x:f>
        <x:v>0</x:v>
      </x:c>
    </x:row>
    <x:row r="254" ht="58" customHeight="1">
      <x:c r="A254" s="2" t="str">
        <x:v>T0218</x:v>
      </x:c>
      <x:c r="B254" s="30" t="n">
        <x:v>46346</x:v>
      </x:c>
      <x:c r="C254" s="2" t="str">
        <x:v>Wyline</x:v>
      </x:c>
      <x:c r="D254" s="2" t="str">
        <x:v>Program Director</x:v>
      </x:c>
      <x:c r="E254" s="26" t="str">
        <x:v>Checkpoint report and resource change decision</x:v>
      </x:c>
      <x:c r="F254" s="2" t="n">
        <x:v>1</x:v>
      </x:c>
      <x:c r="G254" s="20"/>
      <x:c r="H254" s="2" t="str">
        <x:v>accepted output</x:v>
      </x:c>
      <x:c r="I254" s="20" t="str">
        <x:v>Ready</x:v>
      </x:c>
      <x:c r="J254" s="2" t="str">
        <x:v>16:45</x:v>
      </x:c>
      <x:c r="K254" s="28" t="str"/>
      <x:c r="L254" s="28" t="str"/>
      <x:c r="M254" s="20" t="str"/>
      <x:c r="N254" s="33"/>
      <x:c r="O254" s="20" t="str"/>
      <x:c r="P254" s="33"/>
      <x:c r="Q254" s="2" t="n">
        <x:f>IF(AND(AE254=1,COUNTIFS($A$7:$A$500,"T0067",$AE$7:$AE$500,1)=1,COUNTIFS($A$7:$A$500,"T0055",$AE$7:$AE$500,1)=1),1,0)</x:f>
        <x:v>0</x:v>
      </x:c>
      <x:c r="R254" s="2" t="str">
        <x:f>IF(AND(Q254=1,P254&lt;='Dashboard'!$B$5),IF(P254&gt;B254,"Accepted late","Accepted"),IF(B254&lt;'Dashboard'!$B$5,"Overdue",IF(I254="Blocked","Blocked",IF(B254='Dashboard'!$B$5,"Due today","Planned"))))</x:f>
        <x:v>Planned</x:v>
      </x:c>
      <x:c r="S254" s="26" t="str">
        <x:f>IF(I254="Accepted",IF(K254="","Add evidence",IF(O254="","Add reviewer",IF(P254="","Add accepted date",IF(AND(ISNUMBER(F254),COUNT(G254)=0),"Add actual quantity",IF(Q254=0,"Review target / date / dependencies","Complete"))))),IF(OR(I254="Blocked",I254="Deferred"),IF(L254="","Record blocker / reason",IF(M254="","Assign rescue owner",IF(N254="","Set recovery date","Recovery assigned"))),IF(B254&lt;'Dashboard'!$B$5,"Escalate and record recovery","Work to acceptance standard")))</x:f>
        <x:v>Work to acceptance standard</x:v>
      </x:c>
      <x:c r="T254" s="26" t="str">
        <x:v>T0067</x:v>
      </x:c>
      <x:c r="U254" s="26" t="str">
        <x:v>Compare 8 booked/2 trials; apply source 500-contact break rules; record fix/owner/date.</x:v>
      </x:c>
      <x:c r="V254" s="31" t="n">
        <x:v>3</x:v>
      </x:c>
      <x:c r="W254" s="26" t="str"/>
      <x:c r="X254" s="26" t="str">
        <x:v>DSI Reset PDF: lane responsibilities and dated runbook; dated allocation proposed for this tracker.</x:v>
      </x:c>
      <x:c r="Y254" s="30" t="n">
        <x:f>B254-WEEKDAY(B254,2)+1</x:f>
        <x:v>46342</x:v>
      </x:c>
      <x:c r="Z254" s="2" t="str">
        <x:v>checklist</x:v>
      </x:c>
      <x:c r="AA254" s="2" t="n">
        <x:f>IF(Q254=1,IF(P254&gt;B254,1,0),0)</x:f>
        <x:v>0</x:v>
      </x:c>
      <x:c r="AB254" s="2" t="n">
        <x:f>IF(AND(Q254=1,P254&lt;='Dashboard'!$B$5),0,MAX(0,'Dashboard'!$B$5-B254))</x:f>
        <x:v>0</x:v>
      </x:c>
      <x:c r="AC254" s="28" t="str"/>
      <x:c r="AD254" s="2" t="str">
        <x:f>IF(AND(ISNUMBER(F254),ISNUMBER(G254)),G254-F254,"")</x:f>
      </x:c>
      <x:c r="AE254" s="2" t="n">
        <x:f>IF(AND(I254="Accepted",K254&lt;&gt;"",O254&lt;&gt;"",ISNUMBER(P254),P254&gt;0,P254&lt;='Dashboard'!$B$5,IF(ISNUMBER(F254),ISNUMBER(G254),TRUE),IF(ISNUMBER(F254),G254&gt;=F254,TRUE)),1,0)</x:f>
        <x:v>0</x:v>
      </x:c>
    </x:row>
    <x:row r="255" ht="58" customHeight="1">
      <x:c r="A255" s="2" t="str">
        <x:v>T0219</x:v>
      </x:c>
      <x:c r="B255" s="30" t="n">
        <x:v>46346</x:v>
      </x:c>
      <x:c r="C255" s="2" t="str">
        <x:v>Kenneth</x:v>
      </x:c>
      <x:c r="D255" s="2" t="str">
        <x:v>Message Orchestrator</x:v>
      </x:c>
      <x:c r="E255" s="26" t="str">
        <x:v>Five-call review with Nova; 3 next-week posts with proof links; one controlled test decision</x:v>
      </x:c>
      <x:c r="F255" s="2" t="n">
        <x:v>1</x:v>
      </x:c>
      <x:c r="G255" s="20"/>
      <x:c r="H255" s="2" t="str">
        <x:v>accepted output</x:v>
      </x:c>
      <x:c r="I255" s="20" t="str">
        <x:v>Ready</x:v>
      </x:c>
      <x:c r="J255" s="2" t="str">
        <x:v>16:45</x:v>
      </x:c>
      <x:c r="K255" s="28" t="str"/>
      <x:c r="L255" s="28" t="str"/>
      <x:c r="M255" s="20" t="str"/>
      <x:c r="N255" s="33"/>
      <x:c r="O255" s="20" t="str"/>
      <x:c r="P255" s="33"/>
      <x:c r="Q255" s="2" t="n">
        <x:f>IF(AND(AE255=1,COUNTIFS($A$7:$A$500,"T0067",$AE$7:$AE$500,1)=1,COUNTIFS($A$7:$A$500,"T0055",$AE$7:$AE$500,1)=1),1,0)</x:f>
        <x:v>0</x:v>
      </x:c>
      <x:c r="R255" s="2" t="str">
        <x:f>IF(AND(Q255=1,P255&lt;='Dashboard'!$B$5),IF(P255&gt;B255,"Accepted late","Accepted"),IF(B255&lt;'Dashboard'!$B$5,"Overdue",IF(I255="Blocked","Blocked",IF(B255='Dashboard'!$B$5,"Due today","Planned"))))</x:f>
        <x:v>Planned</x:v>
      </x:c>
      <x:c r="S255" s="26" t="str">
        <x:f>IF(I255="Accepted",IF(K255="","Add evidence",IF(O255="","Add reviewer",IF(P255="","Add accepted date",IF(AND(ISNUMBER(F255),COUNT(G255)=0),"Add actual quantity",IF(Q255=0,"Review target / date / dependencies","Complete"))))),IF(OR(I255="Blocked",I255="Deferred"),IF(L255="","Record blocker / reason",IF(M255="","Assign rescue owner",IF(N255="","Set recovery date","Recovery assigned"))),IF(B255&lt;'Dashboard'!$B$5,"Escalate and record recovery","Work to acceptance standard")))</x:f>
        <x:v>Work to acceptance standard</x:v>
      </x:c>
      <x:c r="T255" s="26" t="str">
        <x:v>T0067</x:v>
      </x:c>
      <x:c r="U255" s="26" t="str">
        <x:v>Two hours per week reserved for social within Kenneth’s cap. Across each 12-post cycle use 6 Engage / 4 Educate / 2 Promote, with promotion no more than once per fortnight. Wyline approves the exact version before publishing.</x:v>
      </x:c>
      <x:c r="V255" s="31" t="n">
        <x:v>2.4</x:v>
      </x:c>
      <x:c r="W255" s="26" t="str"/>
      <x:c r="X255" s="26" t="str">
        <x:v>DSI Reset PDF: lane responsibilities and dated runbook; dated allocation proposed for this tracker.</x:v>
      </x:c>
      <x:c r="Y255" s="30" t="n">
        <x:f>B255-WEEKDAY(B255,2)+1</x:f>
        <x:v>46342</x:v>
      </x:c>
      <x:c r="Z255" s="2" t="str">
        <x:v>checklist</x:v>
      </x:c>
      <x:c r="AA255" s="2" t="n">
        <x:f>IF(Q255=1,IF(P255&gt;B255,1,0),0)</x:f>
        <x:v>0</x:v>
      </x:c>
      <x:c r="AB255" s="2" t="n">
        <x:f>IF(AND(Q255=1,P255&lt;='Dashboard'!$B$5),0,MAX(0,'Dashboard'!$B$5-B255))</x:f>
        <x:v>0</x:v>
      </x:c>
      <x:c r="AC255" s="28" t="str"/>
      <x:c r="AD255" s="2" t="str">
        <x:f>IF(AND(ISNUMBER(F255),ISNUMBER(G255)),G255-F255,"")</x:f>
      </x:c>
      <x:c r="AE255" s="2" t="n">
        <x:f>IF(AND(I255="Accepted",K255&lt;&gt;"",O255&lt;&gt;"",ISNUMBER(P255),P255&gt;0,P255&lt;='Dashboard'!$B$5,IF(ISNUMBER(F255),ISNUMBER(G255),TRUE),IF(ISNUMBER(F255),G255&gt;=F255,TRUE)),1,0)</x:f>
        <x:v>0</x:v>
      </x:c>
    </x:row>
    <x:row r="256" ht="58" customHeight="1">
      <x:c r="A256" s="2" t="str">
        <x:v>T0220</x:v>
      </x:c>
      <x:c r="B256" s="30" t="n">
        <x:v>46346</x:v>
      </x:c>
      <x:c r="C256" s="2" t="str">
        <x:v>Joey</x:v>
      </x:c>
      <x:c r="D256" s="2" t="str">
        <x:v>Data Orchestrator</x:v>
      </x:c>
      <x:c r="E256" s="26" t="str">
        <x:v>Mailbox/bounce/suppression log; ready verified records; due-follow up versus new-send capacity plan.</x:v>
      </x:c>
      <x:c r="F256" s="2" t="n">
        <x:v>1</x:v>
      </x:c>
      <x:c r="G256" s="20"/>
      <x:c r="H256" s="2" t="str">
        <x:v>verified queue and health check</x:v>
      </x:c>
      <x:c r="I256" s="20" t="str">
        <x:v>Ready</x:v>
      </x:c>
      <x:c r="J256" s="2" t="str">
        <x:v>16:45</x:v>
      </x:c>
      <x:c r="K256" s="28" t="str"/>
      <x:c r="L256" s="28" t="str"/>
      <x:c r="M256" s="20" t="str"/>
      <x:c r="N256" s="33"/>
      <x:c r="O256" s="20" t="str"/>
      <x:c r="P256" s="33"/>
      <x:c r="Q256" s="2" t="n">
        <x:f>IF(AND(AE256=1,COUNTIFS($A$7:$A$500,"T0067",$AE$7:$AE$500,1)=1,COUNTIFS($A$7:$A$500,"T0055",$AE$7:$AE$500,1)=1),1,0)</x:f>
        <x:v>0</x:v>
      </x:c>
      <x:c r="R256" s="2" t="str">
        <x:f>IF(AND(Q256=1,P256&lt;='Dashboard'!$B$5),IF(P256&gt;B256,"Accepted late","Accepted"),IF(B256&lt;'Dashboard'!$B$5,"Overdue",IF(I256="Blocked","Blocked",IF(B256='Dashboard'!$B$5,"Due today","Planned"))))</x:f>
        <x:v>Planned</x:v>
      </x:c>
      <x:c r="S256" s="26" t="str">
        <x:f>IF(I256="Accepted",IF(K256="","Add evidence",IF(O256="","Add reviewer",IF(P256="","Add accepted date",IF(AND(ISNUMBER(F256),COUNT(G256)=0),"Add actual quantity",IF(Q256=0,"Review target / date / dependencies","Complete"))))),IF(OR(I256="Blocked",I256="Deferred"),IF(L256="","Record blocker / reason",IF(M256="","Assign rescue owner",IF(N256="","Set recovery date","Recovery assigned"))),IF(B256&lt;'Dashboard'!$B$5,"Escalate and record recovery","Work to acceptance standard")))</x:f>
        <x:v>Work to acceptance standard</x:v>
      </x:c>
      <x:c r="T256" s="26" t="str">
        <x:v>T0067</x:v>
      </x:c>
      <x:c r="U256" s="26" t="str">
        <x:v>Planning pool addition 0 contacts today; quality gate wins over quota. Total sends&lt;=150/day;&gt;3% bounce affected mailbox held. No new cold enrollments on reduced/buffer days.</x:v>
      </x:c>
      <x:c r="V256" s="31" t="n">
        <x:v>3</x:v>
      </x:c>
      <x:c r="W256" s="26" t="str"/>
      <x:c r="X256" s="26" t="str">
        <x:v>DSI Reset PDF: lane responsibilities and dated runbook; dated allocation proposed for this tracker.</x:v>
      </x:c>
      <x:c r="Y256" s="30" t="n">
        <x:f>B256-WEEKDAY(B256,2)+1</x:f>
        <x:v>46342</x:v>
      </x:c>
      <x:c r="Z256" s="2" t="str">
        <x:v>checklist</x:v>
      </x:c>
      <x:c r="AA256" s="2" t="n">
        <x:f>IF(Q256=1,IF(P256&gt;B256,1,0),0)</x:f>
        <x:v>0</x:v>
      </x:c>
      <x:c r="AB256" s="2" t="n">
        <x:f>IF(AND(Q256=1,P256&lt;='Dashboard'!$B$5),0,MAX(0,'Dashboard'!$B$5-B256))</x:f>
        <x:v>0</x:v>
      </x:c>
      <x:c r="AC256" s="28" t="str"/>
      <x:c r="AD256" s="2" t="str">
        <x:f>IF(AND(ISNUMBER(F256),ISNUMBER(G256)),G256-F256,"")</x:f>
      </x:c>
      <x:c r="AE256" s="2" t="n">
        <x:f>IF(AND(I256="Accepted",K256&lt;&gt;"",O256&lt;&gt;"",ISNUMBER(P256),P256&gt;0,P256&lt;='Dashboard'!$B$5,IF(ISNUMBER(F256),ISNUMBER(G256),TRUE),IF(ISNUMBER(F256),G256&gt;=F256,TRUE)),1,0)</x:f>
        <x:v>0</x:v>
      </x:c>
    </x:row>
    <x:row r="257" ht="58" customHeight="1">
      <x:c r="A257" s="2" t="str">
        <x:v>T0221</x:v>
      </x:c>
      <x:c r="B257" s="30" t="n">
        <x:v>46346</x:v>
      </x:c>
      <x:c r="C257" s="2" t="str">
        <x:v>Nova</x:v>
      </x:c>
      <x:c r="D257" s="2" t="str">
        <x:v>Conversion Orchestrator</x:v>
      </x:c>
      <x:c r="E257" s="26" t="str">
        <x:v>Coverage/SLA evidence; 2 call reviews; booked/held updates; next-step and trial handoffs. Log each unique qualified inquiry with practice type, decision-maker access, case volume, service need and readiness timing.</x:v>
      </x:c>
      <x:c r="F257" s="2" t="n">
        <x:v>1</x:v>
      </x:c>
      <x:c r="G257" s="20"/>
      <x:c r="H257" s="2" t="str">
        <x:v>accepted output</x:v>
      </x:c>
      <x:c r="I257" s="20" t="str">
        <x:v>Ready</x:v>
      </x:c>
      <x:c r="J257" s="2" t="str">
        <x:v>16:45</x:v>
      </x:c>
      <x:c r="K257" s="28" t="str"/>
      <x:c r="L257" s="28" t="str"/>
      <x:c r="M257" s="20" t="str"/>
      <x:c r="N257" s="33"/>
      <x:c r="O257" s="20" t="str"/>
      <x:c r="P257" s="33"/>
      <x:c r="Q257" s="2" t="n">
        <x:f>IF(AND(AE257=1,COUNTIFS($A$7:$A$500,"T0067",$AE$7:$AE$500,1)=1,COUNTIFS($A$7:$A$500,"T0055",$AE$7:$AE$500,1)=1),1,0)</x:f>
        <x:v>0</x:v>
      </x:c>
      <x:c r="R257" s="2" t="str">
        <x:f>IF(AND(Q257=1,P257&lt;='Dashboard'!$B$5),IF(P257&gt;B257,"Accepted late","Accepted"),IF(B257&lt;'Dashboard'!$B$5,"Overdue",IF(I257="Blocked","Blocked",IF(B257='Dashboard'!$B$5,"Due today","Planned"))))</x:f>
        <x:v>Planned</x:v>
      </x:c>
      <x:c r="S257" s="26" t="str">
        <x:f>IF(I257="Accepted",IF(K257="","Add evidence",IF(O257="","Add reviewer",IF(P257="","Add accepted date",IF(AND(ISNUMBER(F257),COUNT(G257)=0),"Add actual quantity",IF(Q257=0,"Review target / date / dependencies","Complete"))))),IF(OR(I257="Blocked",I257="Deferred"),IF(L257="","Record blocker / reason",IF(M257="","Assign rescue owner",IF(N257="","Set recovery date","Recovery assigned"))),IF(B257&lt;'Dashboard'!$B$5,"Escalate and record recovery","Work to acceptance standard")))</x:f>
        <x:v>Work to acceptance standard</x:v>
      </x:c>
      <x:c r="T257" s="26" t="str">
        <x:v>T0067</x:v>
      </x:c>
      <x:c r="U257" s="26" t="str">
        <x:v>Every eligible reply&lt;=15 min; positive call&lt;=60 min; no opportunity without next step; booked brief to Nic; trial logistics to Maseeha. Raw contacts, opens and accepts never count as qualified inquiries; deduplicate across channels.</x:v>
      </x:c>
      <x:c r="V257" s="31" t="n">
        <x:v>4</x:v>
      </x:c>
      <x:c r="W257" s="26" t="str"/>
      <x:c r="X257" s="26" t="str">
        <x:v>DSI Reset PDF: lane responsibilities and dated runbook; dated allocation proposed for this tracker.</x:v>
      </x:c>
      <x:c r="Y257" s="30" t="n">
        <x:f>B257-WEEKDAY(B257,2)+1</x:f>
        <x:v>46342</x:v>
      </x:c>
      <x:c r="Z257" s="2" t="str">
        <x:v>checklist</x:v>
      </x:c>
      <x:c r="AA257" s="2" t="n">
        <x:f>IF(Q257=1,IF(P257&gt;B257,1,0),0)</x:f>
        <x:v>0</x:v>
      </x:c>
      <x:c r="AB257" s="2" t="n">
        <x:f>IF(AND(Q257=1,P257&lt;='Dashboard'!$B$5),0,MAX(0,'Dashboard'!$B$5-B257))</x:f>
        <x:v>0</x:v>
      </x:c>
      <x:c r="AC257" s="28" t="str"/>
      <x:c r="AD257" s="2" t="str">
        <x:f>IF(AND(ISNUMBER(F257),ISNUMBER(G257)),G257-F257,"")</x:f>
      </x:c>
      <x:c r="AE257" s="2" t="n">
        <x:f>IF(AND(I257="Accepted",K257&lt;&gt;"",O257&lt;&gt;"",ISNUMBER(P257),P257&gt;0,P257&lt;='Dashboard'!$B$5,IF(ISNUMBER(F257),ISNUMBER(G257),TRUE),IF(ISNUMBER(F257),G257&gt;=F257,TRUE)),1,0)</x:f>
        <x:v>0</x:v>
      </x:c>
    </x:row>
    <x:row r="258" ht="58" customHeight="1">
      <x:c r="A258" s="2" t="str">
        <x:v>T0222</x:v>
      </x:c>
      <x:c r="B258" s="30" t="n">
        <x:v>46346</x:v>
      </x:c>
      <x:c r="C258" s="2" t="str">
        <x:v>Emman</x:v>
      </x:c>
      <x:c r="D258" s="2" t="str">
        <x:v>AI Build Orchestrator</x:v>
      </x:c>
      <x:c r="E258" s="26" t="str">
        <x:v>Health/retry log; one acceptance-backed build increment; updated change log</x:v>
      </x:c>
      <x:c r="F258" s="2" t="n">
        <x:v>1</x:v>
      </x:c>
      <x:c r="G258" s="20"/>
      <x:c r="H258" s="2" t="str">
        <x:v>accepted output</x:v>
      </x:c>
      <x:c r="I258" s="20" t="str">
        <x:v>Ready</x:v>
      </x:c>
      <x:c r="J258" s="2" t="str">
        <x:v>16:45</x:v>
      </x:c>
      <x:c r="K258" s="28" t="str"/>
      <x:c r="L258" s="28" t="str"/>
      <x:c r="M258" s="20" t="str"/>
      <x:c r="N258" s="33"/>
      <x:c r="O258" s="20" t="str"/>
      <x:c r="P258" s="33"/>
      <x:c r="Q258" s="2" t="n">
        <x:f>IF(AND(AE258=1,COUNTIFS($A$7:$A$500,"T0067",$AE$7:$AE$500,1)=1,COUNTIFS($A$7:$A$500,"T0055",$AE$7:$AE$500,1)=1),1,0)</x:f>
        <x:v>0</x:v>
      </x:c>
      <x:c r="R258" s="2" t="str">
        <x:f>IF(AND(Q258=1,P258&lt;='Dashboard'!$B$5),IF(P258&gt;B258,"Accepted late","Accepted"),IF(B258&lt;'Dashboard'!$B$5,"Overdue",IF(I258="Blocked","Blocked",IF(B258='Dashboard'!$B$5,"Due today","Planned"))))</x:f>
        <x:v>Planned</x:v>
      </x:c>
      <x:c r="S258" s="26" t="str">
        <x:f>IF(I258="Accepted",IF(K258="","Add evidence",IF(O258="","Add reviewer",IF(P258="","Add accepted date",IF(AND(ISNUMBER(F258),COUNT(G258)=0),"Add actual quantity",IF(Q258=0,"Review target / date / dependencies","Complete"))))),IF(OR(I258="Blocked",I258="Deferred"),IF(L258="","Record blocker / reason",IF(M258="","Assign rescue owner",IF(N258="","Set recovery date","Recovery assigned"))),IF(B258&lt;'Dashboard'!$B$5,"Escalate and record recovery","Work to acceptance standard")))</x:f>
        <x:v>Work to acceptance standard</x:v>
      </x:c>
      <x:c r="T258" s="26" t="str">
        <x:v>T0067</x:v>
      </x:c>
      <x:c r="U258" s="26" t="str">
        <x:v>Fix a failing live agent beforestarting the next build. If an agent is still not working 48 hours after its due date, activate the manual SOP. Roll back a live failure within 1 hour. Release build reserve when no approved work remains.</x:v>
      </x:c>
      <x:c r="V258" s="31" t="n">
        <x:v>4</x:v>
      </x:c>
      <x:c r="W258" s="26" t="str"/>
      <x:c r="X258" s="26" t="str">
        <x:v>DSI Reset PDF: lane responsibilities and dated runbook; dated allocation proposed for this tracker.</x:v>
      </x:c>
      <x:c r="Y258" s="30" t="n">
        <x:f>B258-WEEKDAY(B258,2)+1</x:f>
        <x:v>46342</x:v>
      </x:c>
      <x:c r="Z258" s="2" t="str">
        <x:v>checklist</x:v>
      </x:c>
      <x:c r="AA258" s="2" t="n">
        <x:f>IF(Q258=1,IF(P258&gt;B258,1,0),0)</x:f>
        <x:v>0</x:v>
      </x:c>
      <x:c r="AB258" s="2" t="n">
        <x:f>IF(AND(Q258=1,P258&lt;='Dashboard'!$B$5),0,MAX(0,'Dashboard'!$B$5-B258))</x:f>
        <x:v>0</x:v>
      </x:c>
      <x:c r="AC258" s="28" t="str"/>
      <x:c r="AD258" s="2" t="str">
        <x:f>IF(AND(ISNUMBER(F258),ISNUMBER(G258)),G258-F258,"")</x:f>
      </x:c>
      <x:c r="AE258" s="2" t="n">
        <x:f>IF(AND(I258="Accepted",K258&lt;&gt;"",O258&lt;&gt;"",ISNUMBER(P258),P258&gt;0,P258&lt;='Dashboard'!$B$5,IF(ISNUMBER(F258),ISNUMBER(G258),TRUE),IF(ISNUMBER(F258),G258&gt;=F258,TRUE)),1,0)</x:f>
        <x:v>0</x:v>
      </x:c>
    </x:row>
    <x:row r="259" ht="58" customHeight="1">
      <x:c r="A259" s="2" t="str">
        <x:v>T0223</x:v>
      </x:c>
      <x:c r="B259" s="30" t="n">
        <x:v>46346</x:v>
      </x:c>
      <x:c r="C259" s="2" t="str">
        <x:v>Ludwig</x:v>
      </x:c>
      <x:c r="D259" s="2" t="str">
        <x:v>Integration Engineer</x:v>
      </x:c>
      <x:c r="E259" s="26" t="str">
        <x:v>Webhook/error/dead-letter check; top assigned integration ticket or verified no-ticket note</x:v>
      </x:c>
      <x:c r="F259" s="2" t="n">
        <x:v>1</x:v>
      </x:c>
      <x:c r="G259" s="20"/>
      <x:c r="H259" s="2" t="str">
        <x:v>accepted output</x:v>
      </x:c>
      <x:c r="I259" s="20" t="str">
        <x:v>Ready</x:v>
      </x:c>
      <x:c r="J259" s="2" t="str">
        <x:v>16:45</x:v>
      </x:c>
      <x:c r="K259" s="28" t="str"/>
      <x:c r="L259" s="28" t="str"/>
      <x:c r="M259" s="20" t="str"/>
      <x:c r="N259" s="33"/>
      <x:c r="O259" s="20" t="str"/>
      <x:c r="P259" s="33"/>
      <x:c r="Q259" s="2" t="n">
        <x:f>IF(AND(AE259=1,COUNTIFS($A$7:$A$500,"T0067",$AE$7:$AE$500,1)=1,COUNTIFS($A$7:$A$500,"T0055",$AE$7:$AE$500,1)=1),1,0)</x:f>
        <x:v>0</x:v>
      </x:c>
      <x:c r="R259" s="2" t="str">
        <x:f>IF(AND(Q259=1,P259&lt;='Dashboard'!$B$5),IF(P259&gt;B259,"Accepted late","Accepted"),IF(B259&lt;'Dashboard'!$B$5,"Overdue",IF(I259="Blocked","Blocked",IF(B259='Dashboard'!$B$5,"Due today","Planned"))))</x:f>
        <x:v>Planned</x:v>
      </x:c>
      <x:c r="S259" s="26" t="str">
        <x:f>IF(I259="Accepted",IF(K259="","Add evidence",IF(O259="","Add reviewer",IF(P259="","Add accepted date",IF(AND(ISNUMBER(F259),COUNT(G259)=0),"Add actual quantity",IF(Q259=0,"Review target / date / dependencies","Complete"))))),IF(OR(I259="Blocked",I259="Deferred"),IF(L259="","Record blocker / reason",IF(M259="","Assign rescue owner",IF(N259="","Set recovery date","Recovery assigned"))),IF(B259&lt;'Dashboard'!$B$5,"Escalate and record recovery","Work to acceptance standard")))</x:f>
        <x:v>Work to acceptance standard</x:v>
      </x:c>
      <x:c r="T259" s="26" t="str">
        <x:v>T0067</x:v>
      </x:c>
      <x:c r="U259" s="26" t="str">
        <x:v>Only Emman’s priority queue; 100% test capture; runbook/retry/rollback evidence. If no fault/ticket, release reserve; do not invent work.</x:v>
      </x:c>
      <x:c r="V259" s="31" t="n">
        <x:v>1.6</x:v>
      </x:c>
      <x:c r="W259" s="26" t="str"/>
      <x:c r="X259" s="26" t="str">
        <x:v>DSI Reset PDF: lane responsibilities and dated runbook; dated allocation proposed for this tracker.</x:v>
      </x:c>
      <x:c r="Y259" s="30" t="n">
        <x:f>B259-WEEKDAY(B259,2)+1</x:f>
        <x:v>46342</x:v>
      </x:c>
      <x:c r="Z259" s="2" t="str">
        <x:v>checklist</x:v>
      </x:c>
      <x:c r="AA259" s="2" t="n">
        <x:f>IF(Q259=1,IF(P259&gt;B259,1,0),0)</x:f>
        <x:v>0</x:v>
      </x:c>
      <x:c r="AB259" s="2" t="n">
        <x:f>IF(AND(Q259=1,P259&lt;='Dashboard'!$B$5),0,MAX(0,'Dashboard'!$B$5-B259))</x:f>
        <x:v>0</x:v>
      </x:c>
      <x:c r="AC259" s="28" t="str"/>
      <x:c r="AD259" s="2" t="str">
        <x:f>IF(AND(ISNUMBER(F259),ISNUMBER(G259)),G259-F259,"")</x:f>
      </x:c>
      <x:c r="AE259" s="2" t="n">
        <x:f>IF(AND(I259="Accepted",K259&lt;&gt;"",O259&lt;&gt;"",ISNUMBER(P259),P259&gt;0,P259&lt;='Dashboard'!$B$5,IF(ISNUMBER(F259),ISNUMBER(G259),TRUE),IF(ISNUMBER(F259),G259&gt;=F259,TRUE)),1,0)</x:f>
        <x:v>0</x:v>
      </x:c>
    </x:row>
    <x:row r="260" ht="58" customHeight="1">
      <x:c r="A260" s="2" t="str">
        <x:v>T0224</x:v>
      </x:c>
      <x:c r="B260" s="30" t="n">
        <x:v>46346</x:v>
      </x:c>
      <x:c r="C260" s="2" t="str">
        <x:v>Alvin</x:v>
      </x:c>
      <x:c r="D260" s="2" t="str">
        <x:v>CQL/GHL Implementation</x:v>
      </x:c>
      <x:c r="E260" s="26" t="str">
        <x:v>Stage/calendar/reminder QA; due workflow fixes</x:v>
      </x:c>
      <x:c r="F260" s="2" t="n">
        <x:v>1</x:v>
      </x:c>
      <x:c r="G260" s="20"/>
      <x:c r="H260" s="2" t="str">
        <x:v>accepted output</x:v>
      </x:c>
      <x:c r="I260" s="20" t="str">
        <x:v>Ready</x:v>
      </x:c>
      <x:c r="J260" s="2" t="str">
        <x:v>16:45</x:v>
      </x:c>
      <x:c r="K260" s="28" t="str"/>
      <x:c r="L260" s="28" t="str"/>
      <x:c r="M260" s="20" t="str"/>
      <x:c r="N260" s="33"/>
      <x:c r="O260" s="20" t="str"/>
      <x:c r="P260" s="33"/>
      <x:c r="Q260" s="2" t="n">
        <x:f>IF(AND(AE260=1,COUNTIFS($A$7:$A$500,"T0067",$AE$7:$AE$500,1)=1,COUNTIFS($A$7:$A$500,"T0055",$AE$7:$AE$500,1)=1),1,0)</x:f>
        <x:v>0</x:v>
      </x:c>
      <x:c r="R260" s="2" t="str">
        <x:f>IF(AND(Q260=1,P260&lt;='Dashboard'!$B$5),IF(P260&gt;B260,"Accepted late","Accepted"),IF(B260&lt;'Dashboard'!$B$5,"Overdue",IF(I260="Blocked","Blocked",IF(B260='Dashboard'!$B$5,"Due today","Planned"))))</x:f>
        <x:v>Planned</x:v>
      </x:c>
      <x:c r="S260" s="26" t="str">
        <x:f>IF(I260="Accepted",IF(K260="","Add evidence",IF(O260="","Add reviewer",IF(P260="","Add accepted date",IF(AND(ISNUMBER(F260),COUNT(G260)=0),"Add actual quantity",IF(Q260=0,"Review target / date / dependencies","Complete"))))),IF(OR(I260="Blocked",I260="Deferred"),IF(L260="","Record blocker / reason",IF(M260="","Assign rescue owner",IF(N260="","Set recovery date","Recovery assigned"))),IF(B260&lt;'Dashboard'!$B$5,"Escalate and record recovery","Work to acceptance standard")))</x:f>
        <x:v>Work to acceptance standard</x:v>
      </x:c>
      <x:c r="T260" s="26" t="str">
        <x:v>T0067</x:v>
      </x:c>
      <x:c r="U260" s="26" t="str">
        <x:v>No-show task&lt;=10 min; form/source fields correct; finish critical CRM defect same day. Facebook mirrors exact approved post; Instagram requires permissioned image.</x:v>
      </x:c>
      <x:c r="V260" s="31" t="n">
        <x:v>2</x:v>
      </x:c>
      <x:c r="W260" s="26" t="str"/>
      <x:c r="X260" s="26" t="str">
        <x:v>DSI Reset PDF: lane responsibilities and dated runbook; dated allocation proposed for this tracker.</x:v>
      </x:c>
      <x:c r="Y260" s="30" t="n">
        <x:f>B260-WEEKDAY(B260,2)+1</x:f>
        <x:v>46342</x:v>
      </x:c>
      <x:c r="Z260" s="2" t="str">
        <x:v>checklist</x:v>
      </x:c>
      <x:c r="AA260" s="2" t="n">
        <x:f>IF(Q260=1,IF(P260&gt;B260,1,0),0)</x:f>
        <x:v>0</x:v>
      </x:c>
      <x:c r="AB260" s="2" t="n">
        <x:f>IF(AND(Q260=1,P260&lt;='Dashboard'!$B$5),0,MAX(0,'Dashboard'!$B$5-B260))</x:f>
        <x:v>0</x:v>
      </x:c>
      <x:c r="AC260" s="28" t="str"/>
      <x:c r="AD260" s="2" t="str">
        <x:f>IF(AND(ISNUMBER(F260),ISNUMBER(G260)),G260-F260,"")</x:f>
      </x:c>
      <x:c r="AE260" s="2" t="n">
        <x:f>IF(AND(I260="Accepted",K260&lt;&gt;"",O260&lt;&gt;"",ISNUMBER(P260),P260&gt;0,P260&lt;='Dashboard'!$B$5,IF(ISNUMBER(F260),ISNUMBER(G260),TRUE),IF(ISNUMBER(F260),G260&gt;=F260,TRUE)),1,0)</x:f>
        <x:v>0</x:v>
      </x:c>
    </x:row>
    <x:row r="261" ht="58" customHeight="1">
      <x:c r="A261" s="2" t="str">
        <x:v>T0225</x:v>
      </x:c>
      <x:c r="B261" s="30" t="n">
        <x:v>46346</x:v>
      </x:c>
      <x:c r="C261" s="2" t="str">
        <x:v>Brian</x:v>
      </x:c>
      <x:c r="D261" s="2" t="str">
        <x:v>Web and Tracking</x:v>
      </x:c>
      <x:c r="E261" s="26" t="str">
        <x:v>One health-check result; at most one weekly change ticket or no-ticket note</x:v>
      </x:c>
      <x:c r="F261" s="2" t="n">
        <x:v>1</x:v>
      </x:c>
      <x:c r="G261" s="20"/>
      <x:c r="H261" s="2" t="str">
        <x:v>accepted output</x:v>
      </x:c>
      <x:c r="I261" s="20" t="str">
        <x:v>Ready</x:v>
      </x:c>
      <x:c r="J261" s="2" t="str">
        <x:v>16:45</x:v>
      </x:c>
      <x:c r="K261" s="28" t="str"/>
      <x:c r="L261" s="28" t="str"/>
      <x:c r="M261" s="20" t="str"/>
      <x:c r="N261" s="33"/>
      <x:c r="O261" s="20" t="str"/>
      <x:c r="P261" s="33"/>
      <x:c r="Q261" s="2" t="n">
        <x:f>IF(AND(AE261=1,COUNTIFS($A$7:$A$500,"T0067",$AE$7:$AE$500,1)=1,COUNTIFS($A$7:$A$500,"T0055",$AE$7:$AE$500,1)=1),1,0)</x:f>
        <x:v>0</x:v>
      </x:c>
      <x:c r="R261" s="2" t="str">
        <x:f>IF(AND(Q261=1,P261&lt;='Dashboard'!$B$5),IF(P261&gt;B261,"Accepted late","Accepted"),IF(B261&lt;'Dashboard'!$B$5,"Overdue",IF(I261="Blocked","Blocked",IF(B261='Dashboard'!$B$5,"Due today","Planned"))))</x:f>
        <x:v>Planned</x:v>
      </x:c>
      <x:c r="S261" s="26" t="str">
        <x:f>IF(I261="Accepted",IF(K261="","Add evidence",IF(O261="","Add reviewer",IF(P261="","Add accepted date",IF(AND(ISNUMBER(F261),COUNT(G261)=0),"Add actual quantity",IF(Q261=0,"Review target / date / dependencies","Complete"))))),IF(OR(I261="Blocked",I261="Deferred"),IF(L261="","Record blocker / reason",IF(M261="","Assign rescue owner",IF(N261="","Set recovery date","Recovery assigned"))),IF(B261&lt;'Dashboard'!$B$5,"Escalate and record recovery","Work to acceptance standard")))</x:f>
        <x:v>Work to acceptance standard</x:v>
      </x:c>
      <x:c r="T261" s="26" t="str">
        <x:v>T0067</x:v>
      </x:c>
      <x:c r="U261" s="26" t="str">
        <x:v>Form to CQL&lt;1 min; approved copy unchanged; no work manufactured if healthy; ongoing reserve&lt;=2 h/week.</x:v>
      </x:c>
      <x:c r="V261" s="31" t="n">
        <x:v>0.4</x:v>
      </x:c>
      <x:c r="W261" s="26" t="str"/>
      <x:c r="X261" s="26" t="str">
        <x:v>DSI Reset PDF: lane responsibilities and dated runbook; dated allocation proposed for this tracker.</x:v>
      </x:c>
      <x:c r="Y261" s="30" t="n">
        <x:f>B261-WEEKDAY(B261,2)+1</x:f>
        <x:v>46342</x:v>
      </x:c>
      <x:c r="Z261" s="2" t="str">
        <x:v>checklist</x:v>
      </x:c>
      <x:c r="AA261" s="2" t="n">
        <x:f>IF(Q261=1,IF(P261&gt;B261,1,0),0)</x:f>
        <x:v>0</x:v>
      </x:c>
      <x:c r="AB261" s="2" t="n">
        <x:f>IF(AND(Q261=1,P261&lt;='Dashboard'!$B$5),0,MAX(0,'Dashboard'!$B$5-B261))</x:f>
        <x:v>0</x:v>
      </x:c>
      <x:c r="AC261" s="28" t="str"/>
      <x:c r="AD261" s="2" t="str">
        <x:f>IF(AND(ISNUMBER(F261),ISNUMBER(G261)),G261-F261,"")</x:f>
      </x:c>
      <x:c r="AE261" s="2" t="n">
        <x:f>IF(AND(I261="Accepted",K261&lt;&gt;"",O261&lt;&gt;"",ISNUMBER(P261),P261&gt;0,P261&lt;='Dashboard'!$B$5,IF(ISNUMBER(F261),ISNUMBER(G261),TRUE),IF(ISNUMBER(F261),G261&gt;=F261,TRUE)),1,0)</x:f>
        <x:v>0</x:v>
      </x:c>
    </x:row>
    <x:row r="262" ht="58" customHeight="1">
      <x:c r="A262" s="2" t="str">
        <x:v>T0226</x:v>
      </x:c>
      <x:c r="B262" s="30" t="n">
        <x:v>46346</x:v>
      </x:c>
      <x:c r="C262" s="2" t="str">
        <x:v>Dexter</x:v>
      </x:c>
      <x:c r="D262" s="2" t="str">
        <x:v>LinkedIn Execution</x:v>
      </x:c>
      <x:c r="E262" s="26" t="str">
        <x:v>CQL logged DMs/accepts; eligible requests; referred interested replies; approved post evidence</x:v>
      </x:c>
      <x:c r="F262" s="2" t="n">
        <x:v>25</x:v>
      </x:c>
      <x:c r="G262" s="20"/>
      <x:c r="H262" s="2" t="str">
        <x:v>new request working target; eligible pool required</x:v>
      </x:c>
      <x:c r="I262" s="20" t="str">
        <x:v>Ready</x:v>
      </x:c>
      <x:c r="J262" s="2" t="str">
        <x:v>16:45</x:v>
      </x:c>
      <x:c r="K262" s="28" t="str"/>
      <x:c r="L262" s="28" t="str"/>
      <x:c r="M262" s="20" t="str"/>
      <x:c r="N262" s="33"/>
      <x:c r="O262" s="20" t="str"/>
      <x:c r="P262" s="33"/>
      <x:c r="Q262" s="2" t="n">
        <x:f>IF(AND(AE262=1,COUNTIFS($A$7:$A$500,"T0067",$AE$7:$AE$500,1)=1,COUNTIFS($A$7:$A$500,"T0055",$AE$7:$AE$500,1)=1),1,0)</x:f>
        <x:v>0</x:v>
      </x:c>
      <x:c r="R262" s="2" t="str">
        <x:f>IF(AND(Q262=1,P262&lt;='Dashboard'!$B$5),IF(P262&gt;B262,"Accepted late","Accepted"),IF(B262&lt;'Dashboard'!$B$5,"Overdue",IF(I262="Blocked","Blocked",IF(B262='Dashboard'!$B$5,"Due today","Planned"))))</x:f>
        <x:v>Planned</x:v>
      </x:c>
      <x:c r="S262" s="26" t="str">
        <x:f>IF(I262="Accepted",IF(K262="","Add evidence",IF(O262="","Add reviewer",IF(P262="","Add accepted date",IF(AND(ISNUMBER(F262),COUNT(G262)=0),"Add actual quantity",IF(Q262=0,"Review target / date / dependencies","Complete"))))),IF(OR(I262="Blocked",I262="Deferred"),IF(L262="","Record blocker / reason",IF(M262="","Assign rescue owner",IF(N262="","Set recovery date","Recovery assigned"))),IF(B262&lt;'Dashboard'!$B$5,"Escalate and record recovery","Work to acceptance standard")))</x:f>
        <x:v>Work to acceptance standard</x:v>
      </x:c>
      <x:c r="T262" s="26" t="str">
        <x:v>T0067</x:v>
      </x:c>
      <x:c r="U262"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62" s="31" t="n">
        <x:v>3</x:v>
      </x:c>
      <x:c r="W262" s="26" t="str"/>
      <x:c r="X262" s="26" t="str">
        <x:v>DSI Reset PDF: lane responsibilities and dated runbook; dated allocation proposed for this tracker.</x:v>
      </x:c>
      <x:c r="Y262" s="30" t="n">
        <x:f>B262-WEEKDAY(B262,2)+1</x:f>
        <x:v>46342</x:v>
      </x:c>
      <x:c r="Z262" s="2" t="str">
        <x:v>capacity</x:v>
      </x:c>
      <x:c r="AA262" s="2" t="n">
        <x:f>IF(Q262=1,IF(P262&gt;B262,1,0),0)</x:f>
        <x:v>0</x:v>
      </x:c>
      <x:c r="AB262" s="2" t="n">
        <x:f>IF(AND(Q262=1,P262&lt;='Dashboard'!$B$5),0,MAX(0,'Dashboard'!$B$5-B262))</x:f>
        <x:v>0</x:v>
      </x:c>
      <x:c r="AC262" s="28" t="str"/>
      <x:c r="AD262" s="2" t="str">
        <x:f>IF(AND(ISNUMBER(F262),ISNUMBER(G262)),G262-F262,"")</x:f>
      </x:c>
      <x:c r="AE262" s="2" t="n">
        <x:f>IF(AND(I262="Accepted",K262&lt;&gt;"",O262&lt;&gt;"",ISNUMBER(P262),P262&gt;0,P262&lt;='Dashboard'!$B$5,IF(ISNUMBER(F262),ISNUMBER(G262),TRUE),IF(ISNUMBER(F262),OR(G262&gt;=F262,AC262&lt;&gt;""),TRUE)),1,0)</x:f>
        <x:v>0</x:v>
      </x:c>
    </x:row>
    <x:row r="263" ht="58" customHeight="1">
      <x:c r="A263" s="2" t="str">
        <x:v>T0227</x:v>
      </x:c>
      <x:c r="B263" s="30" t="n">
        <x:v>46346</x:v>
      </x:c>
      <x:c r="C263" s="2" t="str">
        <x:v>Setter 1</x:v>
      </x:c>
      <x:c r="D263" s="2" t="str">
        <x:v>Reply and Phone Setter</x:v>
      </x:c>
      <x:c r="E263" s="26" t="str">
        <x:v>SLA/call outcome log; bookings and next steps; handoff to Nova</x:v>
      </x:c>
      <x:c r="F263" s="2" t="n">
        <x:v>50</x:v>
      </x:c>
      <x:c r="G263" s="20"/>
      <x:c r="H263" s="2" t="str">
        <x:v>dial working target; inbound SLA takes priority</x:v>
      </x:c>
      <x:c r="I263" s="20" t="str">
        <x:v>Ready</x:v>
      </x:c>
      <x:c r="J263" s="2" t="str">
        <x:v>16:45</x:v>
      </x:c>
      <x:c r="K263" s="28" t="str"/>
      <x:c r="L263" s="28" t="str"/>
      <x:c r="M263" s="20" t="str"/>
      <x:c r="N263" s="33"/>
      <x:c r="O263" s="20" t="str"/>
      <x:c r="P263" s="33"/>
      <x:c r="Q263" s="2" t="n">
        <x:f>IF(AND(AE263=1,COUNTIFS($A$7:$A$500,"T0013",$AE$7:$AE$500,1)=1,COUNTIFS($A$7:$A$500,"T0055",$AE$7:$AE$500,1)=1),1,0)</x:f>
        <x:v>0</x:v>
      </x:c>
      <x:c r="R263" s="2" t="str">
        <x:f>IF(AND(Q263=1,P263&lt;='Dashboard'!$B$5),IF(P263&gt;B263,"Accepted late","Accepted"),IF(B263&lt;'Dashboard'!$B$5,"Overdue",IF(I263="Blocked","Blocked",IF(B263='Dashboard'!$B$5,"Due today","Planned"))))</x:f>
        <x:v>Planned</x:v>
      </x:c>
      <x:c r="S263" s="26" t="str">
        <x:f>IF(I263="Accepted",IF(K263="","Add evidence",IF(O263="","Add reviewer",IF(P263="","Add accepted date",IF(AND(ISNUMBER(F263),COUNT(G263)=0),"Add actual quantity",IF(Q263=0,"Review target / date / dependencies","Complete"))))),IF(OR(I263="Blocked",I263="Deferred"),IF(L263="","Record blocker / reason",IF(M263="","Assign rescue owner",IF(N263="","Set recovery date","Recovery assigned"))),IF(B263&lt;'Dashboard'!$B$5,"Escalate and record recovery","Work to acceptance standard")))</x:f>
        <x:v>Work to acceptance standard</x:v>
      </x:c>
      <x:c r="T263" s="26" t="str">
        <x:v>T0013; T0055</x:v>
      </x:c>
      <x:c r="U263"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63" s="31" t="n">
        <x:v>7.5</x:v>
      </x:c>
      <x:c r="W263" s="26" t="str"/>
      <x:c r="X263" s="26" t="str">
        <x:v>DSI Reset PDF: lane responsibilities and dated runbook; dated allocation proposed for this tracker.</x:v>
      </x:c>
      <x:c r="Y263" s="30" t="n">
        <x:f>B263-WEEKDAY(B263,2)+1</x:f>
        <x:v>46342</x:v>
      </x:c>
      <x:c r="Z263" s="2" t="str">
        <x:v>capacity</x:v>
      </x:c>
      <x:c r="AA263" s="2" t="n">
        <x:f>IF(Q263=1,IF(P263&gt;B263,1,0),0)</x:f>
        <x:v>0</x:v>
      </x:c>
      <x:c r="AB263" s="2" t="n">
        <x:f>IF(AND(Q263=1,P263&lt;='Dashboard'!$B$5),0,MAX(0,'Dashboard'!$B$5-B263))</x:f>
        <x:v>0</x:v>
      </x:c>
      <x:c r="AC263" s="28" t="str"/>
      <x:c r="AD263" s="2" t="str">
        <x:f>IF(AND(ISNUMBER(F263),ISNUMBER(G263)),G263-F263,"")</x:f>
      </x:c>
      <x:c r="AE263" s="2" t="n">
        <x:f>IF(AND(I263="Accepted",K263&lt;&gt;"",O263&lt;&gt;"",ISNUMBER(P263),P263&gt;0,P263&lt;='Dashboard'!$B$5,IF(ISNUMBER(F263),ISNUMBER(G263),TRUE),IF(ISNUMBER(F263),OR(G263&gt;=F263,AC263&lt;&gt;""),TRUE)),1,0)</x:f>
        <x:v>0</x:v>
      </x:c>
    </x:row>
    <x:row r="264" ht="58" customHeight="1">
      <x:c r="A264" s="2" t="str">
        <x:v>T0228</x:v>
      </x:c>
      <x:c r="B264" s="30" t="n">
        <x:v>46346</x:v>
      </x:c>
      <x:c r="C264" s="2" t="str">
        <x:v>Setter 2</x:v>
      </x:c>
      <x:c r="D264" s="2" t="str">
        <x:v>Reply and Phone Setter</x:v>
      </x:c>
      <x:c r="E264" s="26" t="str">
        <x:v>SLA/call outcome log; bookings and next steps; handoff to Nova</x:v>
      </x:c>
      <x:c r="F264" s="2" t="n">
        <x:v>50</x:v>
      </x:c>
      <x:c r="G264" s="20"/>
      <x:c r="H264" s="2" t="str">
        <x:v>dial working target; inbound SLA takes priority</x:v>
      </x:c>
      <x:c r="I264" s="20" t="str">
        <x:v>Ready</x:v>
      </x:c>
      <x:c r="J264" s="2" t="str">
        <x:v>16:45</x:v>
      </x:c>
      <x:c r="K264" s="28" t="str"/>
      <x:c r="L264" s="28" t="str"/>
      <x:c r="M264" s="20" t="str"/>
      <x:c r="N264" s="33"/>
      <x:c r="O264" s="20" t="str"/>
      <x:c r="P264" s="33"/>
      <x:c r="Q264" s="2" t="n">
        <x:f>IF(AND(AE264=1,COUNTIFS($A$7:$A$500,"T0013",$AE$7:$AE$500,1)=1,COUNTIFS($A$7:$A$500,"T0055",$AE$7:$AE$500,1)=1),1,0)</x:f>
        <x:v>0</x:v>
      </x:c>
      <x:c r="R264" s="2" t="str">
        <x:f>IF(AND(Q264=1,P264&lt;='Dashboard'!$B$5),IF(P264&gt;B264,"Accepted late","Accepted"),IF(B264&lt;'Dashboard'!$B$5,"Overdue",IF(I264="Blocked","Blocked",IF(B264='Dashboard'!$B$5,"Due today","Planned"))))</x:f>
        <x:v>Planned</x:v>
      </x:c>
      <x:c r="S264" s="26" t="str">
        <x:f>IF(I264="Accepted",IF(K264="","Add evidence",IF(O264="","Add reviewer",IF(P264="","Add accepted date",IF(AND(ISNUMBER(F264),COUNT(G264)=0),"Add actual quantity",IF(Q264=0,"Review target / date / dependencies","Complete"))))),IF(OR(I264="Blocked",I264="Deferred"),IF(L264="","Record blocker / reason",IF(M264="","Assign rescue owner",IF(N264="","Set recovery date","Recovery assigned"))),IF(B264&lt;'Dashboard'!$B$5,"Escalate and record recovery","Work to acceptance standard")))</x:f>
        <x:v>Work to acceptance standard</x:v>
      </x:c>
      <x:c r="T264" s="26" t="str">
        <x:v>T0013; T0055</x:v>
      </x:c>
      <x:c r="U26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64" s="31" t="n">
        <x:v>7.5</x:v>
      </x:c>
      <x:c r="W264" s="26" t="str"/>
      <x:c r="X264" s="26" t="str">
        <x:v>DSI Reset PDF: lane responsibilities and dated runbook; dated allocation proposed for this tracker.</x:v>
      </x:c>
      <x:c r="Y264" s="30" t="n">
        <x:f>B264-WEEKDAY(B264,2)+1</x:f>
        <x:v>46342</x:v>
      </x:c>
      <x:c r="Z264" s="2" t="str">
        <x:v>capacity</x:v>
      </x:c>
      <x:c r="AA264" s="2" t="n">
        <x:f>IF(Q264=1,IF(P264&gt;B264,1,0),0)</x:f>
        <x:v>0</x:v>
      </x:c>
      <x:c r="AB264" s="2" t="n">
        <x:f>IF(AND(Q264=1,P264&lt;='Dashboard'!$B$5),0,MAX(0,'Dashboard'!$B$5-B264))</x:f>
        <x:v>0</x:v>
      </x:c>
      <x:c r="AC264" s="28" t="str"/>
      <x:c r="AD264" s="2" t="str">
        <x:f>IF(AND(ISNUMBER(F264),ISNUMBER(G264)),G264-F264,"")</x:f>
      </x:c>
      <x:c r="AE264" s="2" t="n">
        <x:f>IF(AND(I264="Accepted",K264&lt;&gt;"",O264&lt;&gt;"",ISNUMBER(P264),P264&gt;0,P264&lt;='Dashboard'!$B$5,IF(ISNUMBER(F264),ISNUMBER(G264),TRUE),IF(ISNUMBER(F264),OR(G264&gt;=F264,AC264&lt;&gt;""),TRUE)),1,0)</x:f>
        <x:v>0</x:v>
      </x:c>
    </x:row>
    <x:row r="265" ht="58" customHeight="1">
      <x:c r="A265" s="2" t="str">
        <x:v>T0460</x:v>
      </x:c>
      <x:c r="B265" s="30" t="n">
        <x:v>46346</x:v>
      </x:c>
      <x:c r="C265" s="2" t="str">
        <x:v>Nic</x:v>
      </x:c>
      <x:c r="D265" s="2" t="str">
        <x:v>Client dependency</x:v>
      </x:c>
      <x:c r="E265" s="26" t="str">
        <x:v>Call outcome/next step for every appointment due; first-case decisions</x:v>
      </x:c>
      <x:c r="F265" s="2" t="str"/>
      <x:c r="G265" s="20"/>
      <x:c r="H265" s="2" t="str">
        <x:v>all due appointments</x:v>
      </x:c>
      <x:c r="I265" s="20" t="str">
        <x:v>Ready</x:v>
      </x:c>
      <x:c r="J265" s="2" t="str">
        <x:v>16:45</x:v>
      </x:c>
      <x:c r="K265" s="28" t="str"/>
      <x:c r="L265" s="28" t="str"/>
      <x:c r="M265" s="20" t="str"/>
      <x:c r="N265" s="33"/>
      <x:c r="O265" s="20" t="str"/>
      <x:c r="P265" s="33"/>
      <x:c r="Q265" s="2" t="n">
        <x:f>IF(AND(AE265=1,COUNTIFS($A$7:$A$500,"T0028",$AE$7:$AE$500,1)=1),1,0)</x:f>
        <x:v>0</x:v>
      </x:c>
      <x:c r="R265" s="2" t="str">
        <x:f>IF(AND(Q265=1,P265&lt;='Dashboard'!$B$5),IF(P265&gt;B265,"Accepted late","Accepted"),IF(B265&lt;'Dashboard'!$B$5,"Overdue",IF(I265="Blocked","Blocked",IF(B265='Dashboard'!$B$5,"Due today","Planned"))))</x:f>
        <x:v>Planned</x:v>
      </x:c>
      <x:c r="S265" s="26" t="str">
        <x:f>IF(I265="Accepted",IF(K265="","Add evidence",IF(O265="","Add reviewer",IF(P265="","Add accepted date",IF(AND(ISNUMBER(F265),COUNT(G265)=0),"Add actual quantity",IF(Q265=0,"Review target / date / dependencies","Complete"))))),IF(OR(I265="Blocked",I265="Deferred"),IF(L265="","Record blocker / reason",IF(M265="","Assign rescue owner",IF(N265="","Set recovery date","Recovery assigned"))),IF(B265&lt;'Dashboard'!$B$5,"Escalate and record recovery","Work to acceptance standard")))</x:f>
        <x:v>Work to acceptance standard</x:v>
      </x:c>
      <x:c r="T265" s="26" t="str">
        <x:v>T0028</x:v>
      </x:c>
      <x:c r="U265" s="26" t="str">
        <x:v>Demand-linked: work actual approved calendar; setter brief present; outcome logged same day. No calls scheduled is N/A with calendar evidence.</x:v>
      </x:c>
      <x:c r="V265" s="31" t="n">
        <x:v>0.5</x:v>
      </x:c>
      <x:c r="W265" s="26" t="str"/>
      <x:c r="X265" s="26" t="str">
        <x:v>DSI Reset PDF: lane responsibilities and dated runbook; dated allocation proposed for this tracker.</x:v>
      </x:c>
      <x:c r="Y265" s="30" t="n">
        <x:f>B265-WEEKDAY(B265,2)+1</x:f>
        <x:v>46342</x:v>
      </x:c>
      <x:c r="Z265" s="2" t="str">
        <x:v>demand</x:v>
      </x:c>
      <x:c r="AA265" s="2" t="n">
        <x:f>IF(Q265=1,IF(P265&gt;B265,1,0),0)</x:f>
        <x:v>0</x:v>
      </x:c>
      <x:c r="AB265" s="2" t="n">
        <x:f>IF(AND(Q265=1,P265&lt;='Dashboard'!$B$5),0,MAX(0,'Dashboard'!$B$5-B265))</x:f>
        <x:v>0</x:v>
      </x:c>
      <x:c r="AC265" s="28" t="str"/>
      <x:c r="AD265" s="2" t="str">
        <x:f>IF(AND(ISNUMBER(F265),ISNUMBER(G265)),G265-F265,"")</x:f>
      </x:c>
      <x:c r="AE265" s="2" t="n">
        <x:f>IF(AND(I265="Accepted",K265&lt;&gt;"",O265&lt;&gt;"",ISNUMBER(P265),P265&gt;0,P265&lt;='Dashboard'!$B$5,IF(ISNUMBER(F265),ISNUMBER(G265),TRUE)),1,0)</x:f>
        <x:v>0</x:v>
      </x:c>
    </x:row>
    <x:row r="266" ht="58" customHeight="1">
      <x:c r="A266" s="2" t="str">
        <x:v>T0461</x:v>
      </x:c>
      <x:c r="B266" s="30" t="n">
        <x:v>46346</x:v>
      </x:c>
      <x:c r="C266" s="2" t="str">
        <x:v>Maseeha</x:v>
      </x:c>
      <x:c r="D266" s="2" t="str">
        <x:v>Client dependency</x:v>
      </x:c>
      <x:c r="E266" s="26" t="str">
        <x:v>Due intro verification; kit/case handoff; delivery/Day-30 dates; credit trigger log. Planned asks today: 2 unique existing accounts; cumulative 35.</x:v>
      </x:c>
      <x:c r="F266" s="2" t="str"/>
      <x:c r="G266" s="20"/>
      <x:c r="H266" s="2" t="str">
        <x:v>all due cases</x:v>
      </x:c>
      <x:c r="I266" s="20" t="str">
        <x:v>Ready</x:v>
      </x:c>
      <x:c r="J266" s="2" t="str">
        <x:v>16:45</x:v>
      </x:c>
      <x:c r="K266" s="28" t="str"/>
      <x:c r="L266" s="28" t="str"/>
      <x:c r="M266" s="20" t="str"/>
      <x:c r="N266" s="33"/>
      <x:c r="O266" s="20" t="str"/>
      <x:c r="P266" s="33"/>
      <x:c r="Q266" s="2" t="n">
        <x:f>IF(AND(AE266=1,COUNTIFS($A$7:$A$500,"T0028",$AE$7:$AE$500,1)=1),1,0)</x:f>
        <x:v>0</x:v>
      </x:c>
      <x:c r="R266" s="2" t="str">
        <x:f>IF(AND(Q266=1,P266&lt;='Dashboard'!$B$5),IF(P266&gt;B266,"Accepted late","Accepted"),IF(B266&lt;'Dashboard'!$B$5,"Overdue",IF(I266="Blocked","Blocked",IF(B266='Dashboard'!$B$5,"Due today","Planned"))))</x:f>
        <x:v>Planned</x:v>
      </x:c>
      <x:c r="S266" s="26" t="str">
        <x:f>IF(I266="Accepted",IF(K266="","Add evidence",IF(O266="","Add reviewer",IF(P266="","Add accepted date",IF(AND(ISNUMBER(F266),COUNT(G266)=0),"Add actual quantity",IF(Q266=0,"Review target / date / dependencies","Complete"))))),IF(OR(I266="Blocked",I266="Deferred"),IF(L266="","Record blocker / reason",IF(M266="","Assign rescue owner",IF(N266="","Set recovery date","Recovery assigned"))),IF(B266&lt;'Dashboard'!$B$5,"Escalate and record recovery","Work to acceptance standard")))</x:f>
        <x:v>Work to acceptance standard</x:v>
      </x:c>
      <x:c r="T266" s="26" t="str">
        <x:v>T0028</x:v>
      </x:c>
      <x:c r="U266" s="26" t="str">
        <x:v>Demand-linked: referral verification&lt;=2 business days; trial capacity respected; $200 credit only on eligible invoice paid.</x:v>
      </x:c>
      <x:c r="V266" s="31" t="n">
        <x:v>0.5</x:v>
      </x:c>
      <x:c r="W266" s="26" t="str"/>
      <x:c r="X266" s="26" t="str">
        <x:v>DSI Reset PDF: lane responsibilities and dated runbook; dated allocation proposed for this tracker.</x:v>
      </x:c>
      <x:c r="Y266" s="30" t="n">
        <x:f>B266-WEEKDAY(B266,2)+1</x:f>
        <x:v>46342</x:v>
      </x:c>
      <x:c r="Z266" s="2" t="str">
        <x:v>demand</x:v>
      </x:c>
      <x:c r="AA266" s="2" t="n">
        <x:f>IF(Q266=1,IF(P266&gt;B266,1,0),0)</x:f>
        <x:v>0</x:v>
      </x:c>
      <x:c r="AB266" s="2" t="n">
        <x:f>IF(AND(Q266=1,P266&lt;='Dashboard'!$B$5),0,MAX(0,'Dashboard'!$B$5-B266))</x:f>
        <x:v>0</x:v>
      </x:c>
      <x:c r="AC266" s="28" t="str"/>
      <x:c r="AD266" s="2" t="str">
        <x:f>IF(AND(ISNUMBER(F266),ISNUMBER(G266)),G266-F266,"")</x:f>
      </x:c>
      <x:c r="AE266" s="2" t="n">
        <x:f>IF(AND(I266="Accepted",K266&lt;&gt;"",O266&lt;&gt;"",ISNUMBER(P266),P266&gt;0,P266&lt;='Dashboard'!$B$5,IF(ISNUMBER(F266),ISNUMBER(G266),TRUE)),1,0)</x:f>
        <x:v>0</x:v>
      </x:c>
    </x:row>
    <x:row r="267" ht="58" customHeight="1">
      <x:c r="A267" s="2" t="str">
        <x:v>T0229</x:v>
      </x:c>
      <x:c r="B267" s="30" t="n">
        <x:v>46349</x:v>
      </x:c>
      <x:c r="C267" s="2" t="str">
        <x:v>Wyline</x:v>
      </x:c>
      <x:c r="D267" s="2" t="str">
        <x:v>Program Director</x:v>
      </x:c>
      <x:c r="E267" s="26" t="str">
        <x:v>Holiday roster and callback list</x:v>
      </x:c>
      <x:c r="F267" s="2" t="n">
        <x:v>1</x:v>
      </x:c>
      <x:c r="G267" s="20"/>
      <x:c r="H267" s="2" t="str">
        <x:v>accepted output</x:v>
      </x:c>
      <x:c r="I267" s="20" t="str">
        <x:v>Ready</x:v>
      </x:c>
      <x:c r="J267" s="2" t="str">
        <x:v>16:45</x:v>
      </x:c>
      <x:c r="K267" s="28" t="str"/>
      <x:c r="L267" s="28" t="str"/>
      <x:c r="M267" s="20" t="str"/>
      <x:c r="N267" s="33"/>
      <x:c r="O267" s="20" t="str"/>
      <x:c r="P267" s="33"/>
      <x:c r="Q267" s="2" t="n">
        <x:f>IF(AND(AE267=1,COUNTIFS($A$7:$A$500,"T0067",$AE$7:$AE$500,1)=1,COUNTIFS($A$7:$A$500,"T0055",$AE$7:$AE$500,1)=1),1,0)</x:f>
        <x:v>0</x:v>
      </x:c>
      <x:c r="R267" s="2" t="str">
        <x:f>IF(AND(Q267=1,P267&lt;='Dashboard'!$B$5),IF(P267&gt;B267,"Accepted late","Accepted"),IF(B267&lt;'Dashboard'!$B$5,"Overdue",IF(I267="Blocked","Blocked",IF(B267='Dashboard'!$B$5,"Due today","Planned"))))</x:f>
        <x:v>Planned</x:v>
      </x:c>
      <x:c r="S267" s="26" t="str">
        <x:f>IF(I267="Accepted",IF(K267="","Add evidence",IF(O267="","Add reviewer",IF(P267="","Add accepted date",IF(AND(ISNUMBER(F267),COUNT(G267)=0),"Add actual quantity",IF(Q267=0,"Review target / date / dependencies","Complete"))))),IF(OR(I267="Blocked",I267="Deferred"),IF(L267="","Record blocker / reason",IF(M267="","Assign rescue owner",IF(N267="","Set recovery date","Recovery assigned"))),IF(B267&lt;'Dashboard'!$B$5,"Escalate and record recovery","Work to acceptance standard")))</x:f>
        <x:v>Work to acceptance standard</x:v>
      </x:c>
      <x:c r="T267" s="26" t="str">
        <x:v>T0067</x:v>
      </x:c>
      <x:c r="U267" s="26" t="str">
        <x:v>No new cold enrollments Nov 23–27; only confirmed open-office callbacks Nov 23–25.</x:v>
      </x:c>
      <x:c r="V267" s="31" t="n">
        <x:v>2</x:v>
      </x:c>
      <x:c r="W267" s="26" t="str"/>
      <x:c r="X267" s="26" t="str">
        <x:v>DSI Reset PDF: lane responsibilities and dated runbook; dated allocation proposed for this tracker.</x:v>
      </x:c>
      <x:c r="Y267" s="30" t="n">
        <x:f>B267-WEEKDAY(B267,2)+1</x:f>
        <x:v>46349</x:v>
      </x:c>
      <x:c r="Z267" s="2" t="str">
        <x:v>checklist</x:v>
      </x:c>
      <x:c r="AA267" s="2" t="n">
        <x:f>IF(Q267=1,IF(P267&gt;B267,1,0),0)</x:f>
        <x:v>0</x:v>
      </x:c>
      <x:c r="AB267" s="2" t="n">
        <x:f>IF(AND(Q267=1,P267&lt;='Dashboard'!$B$5),0,MAX(0,'Dashboard'!$B$5-B267))</x:f>
        <x:v>0</x:v>
      </x:c>
      <x:c r="AC267" s="28" t="str"/>
      <x:c r="AD267" s="2" t="str">
        <x:f>IF(AND(ISNUMBER(F267),ISNUMBER(G267)),G267-F267,"")</x:f>
      </x:c>
      <x:c r="AE267" s="2" t="n">
        <x:f>IF(AND(I267="Accepted",K267&lt;&gt;"",O267&lt;&gt;"",ISNUMBER(P267),P267&gt;0,P267&lt;='Dashboard'!$B$5,IF(ISNUMBER(F267),ISNUMBER(G267),TRUE),IF(ISNUMBER(F267),G267&gt;=F267,TRUE)),1,0)</x:f>
        <x:v>0</x:v>
      </x:c>
    </x:row>
    <x:row r="268" ht="58" customHeight="1">
      <x:c r="A268" s="2" t="str">
        <x:v>T0230</x:v>
      </x:c>
      <x:c r="B268" s="30" t="n">
        <x:v>46349</x:v>
      </x:c>
      <x:c r="C268" s="2" t="str">
        <x:v>Kenneth</x:v>
      </x:c>
      <x:c r="D268" s="2" t="str">
        <x:v>Message Orchestrator</x:v>
      </x:c>
      <x:c r="E268" s="26" t="str">
        <x:v>Human-reply insights; 5 Inbox draft checks; approved first lines; claim exceptions</x:v>
      </x:c>
      <x:c r="F268" s="2" t="n">
        <x:v>1</x:v>
      </x:c>
      <x:c r="G268" s="20"/>
      <x:c r="H268" s="2" t="str">
        <x:v>accepted output</x:v>
      </x:c>
      <x:c r="I268" s="20" t="str">
        <x:v>Ready</x:v>
      </x:c>
      <x:c r="J268" s="2" t="str">
        <x:v>16:45</x:v>
      </x:c>
      <x:c r="K268" s="28" t="str"/>
      <x:c r="L268" s="28" t="str"/>
      <x:c r="M268" s="20" t="str"/>
      <x:c r="N268" s="33"/>
      <x:c r="O268" s="20" t="str"/>
      <x:c r="P268" s="33"/>
      <x:c r="Q268" s="2" t="n">
        <x:f>IF(AND(AE268=1,COUNTIFS($A$7:$A$500,"T0067",$AE$7:$AE$500,1)=1,COUNTIFS($A$7:$A$500,"T0055",$AE$7:$AE$500,1)=1),1,0)</x:f>
        <x:v>0</x:v>
      </x:c>
      <x:c r="R268" s="2" t="str">
        <x:f>IF(AND(Q268=1,P268&lt;='Dashboard'!$B$5),IF(P268&gt;B268,"Accepted late","Accepted"),IF(B268&lt;'Dashboard'!$B$5,"Overdue",IF(I268="Blocked","Blocked",IF(B268='Dashboard'!$B$5,"Due today","Planned"))))</x:f>
        <x:v>Planned</x:v>
      </x:c>
      <x:c r="S268" s="26" t="str">
        <x:f>IF(I268="Accepted",IF(K268="","Add evidence",IF(O268="","Add reviewer",IF(P268="","Add accepted date",IF(AND(ISNUMBER(F268),COUNT(G268)=0),"Add actual quantity",IF(Q268=0,"Review target / date / dependencies","Complete"))))),IF(OR(I268="Blocked",I268="Deferred"),IF(L268="","Record blocker / reason",IF(M268="","Assign rescue owner",IF(N268="","Set recovery date","Recovery assigned"))),IF(B268&lt;'Dashboard'!$B$5,"Escalate and record recovery","Work to acceptance standard")))</x:f>
        <x:v>Work to acceptance standard</x:v>
      </x:c>
      <x:c r="T268" s="26" t="str">
        <x:v>T0067</x:v>
      </x:c>
      <x:c r="U268" s="26" t="str">
        <x:v>Zero invented claims. If any draft fails facts, stop drafting/retrain; no offer change without approval.</x:v>
      </x:c>
      <x:c r="V268" s="31" t="n">
        <x:v>1.5</x:v>
      </x:c>
      <x:c r="W268" s="26" t="str"/>
      <x:c r="X268" s="26" t="str">
        <x:v>DSI Reset PDF: lane responsibilities and dated runbook; dated allocation proposed for this tracker.</x:v>
      </x:c>
      <x:c r="Y268" s="30" t="n">
        <x:f>B268-WEEKDAY(B268,2)+1</x:f>
        <x:v>46349</x:v>
      </x:c>
      <x:c r="Z268" s="2" t="str">
        <x:v>checklist</x:v>
      </x:c>
      <x:c r="AA268" s="2" t="n">
        <x:f>IF(Q268=1,IF(P268&gt;B268,1,0),0)</x:f>
        <x:v>0</x:v>
      </x:c>
      <x:c r="AB268" s="2" t="n">
        <x:f>IF(AND(Q268=1,P268&lt;='Dashboard'!$B$5),0,MAX(0,'Dashboard'!$B$5-B268))</x:f>
        <x:v>0</x:v>
      </x:c>
      <x:c r="AC268" s="28" t="str"/>
      <x:c r="AD268" s="2" t="str">
        <x:f>IF(AND(ISNUMBER(F268),ISNUMBER(G268)),G268-F268,"")</x:f>
      </x:c>
      <x:c r="AE268" s="2" t="n">
        <x:f>IF(AND(I268="Accepted",K268&lt;&gt;"",O268&lt;&gt;"",ISNUMBER(P268),P268&gt;0,P268&lt;='Dashboard'!$B$5,IF(ISNUMBER(F268),ISNUMBER(G268),TRUE),IF(ISNUMBER(F268),G268&gt;=F268,TRUE)),1,0)</x:f>
        <x:v>0</x:v>
      </x:c>
    </x:row>
    <x:row r="269" ht="58" customHeight="1">
      <x:c r="A269" s="2" t="str">
        <x:v>T0231</x:v>
      </x:c>
      <x:c r="B269" s="30" t="n">
        <x:v>46349</x:v>
      </x:c>
      <x:c r="C269" s="2" t="str">
        <x:v>Joey</x:v>
      </x:c>
      <x:c r="D269" s="2" t="str">
        <x:v>Data Orchestrator</x:v>
      </x:c>
      <x:c r="E269" s="26" t="str">
        <x:v>Mailbox/bounce/suppression log; ready verified records; due-follow up versus new-send capacity plan.</x:v>
      </x:c>
      <x:c r="F269" s="2" t="n">
        <x:v>1</x:v>
      </x:c>
      <x:c r="G269" s="20"/>
      <x:c r="H269" s="2" t="str">
        <x:v>verified queue and health check</x:v>
      </x:c>
      <x:c r="I269" s="20" t="str">
        <x:v>Ready</x:v>
      </x:c>
      <x:c r="J269" s="2" t="str">
        <x:v>16:45</x:v>
      </x:c>
      <x:c r="K269" s="28" t="str"/>
      <x:c r="L269" s="28" t="str"/>
      <x:c r="M269" s="20" t="str"/>
      <x:c r="N269" s="33"/>
      <x:c r="O269" s="20" t="str"/>
      <x:c r="P269" s="33"/>
      <x:c r="Q269" s="2" t="n">
        <x:f>IF(AND(AE269=1,COUNTIFS($A$7:$A$500,"T0067",$AE$7:$AE$500,1)=1,COUNTIFS($A$7:$A$500,"T0055",$AE$7:$AE$500,1)=1),1,0)</x:f>
        <x:v>0</x:v>
      </x:c>
      <x:c r="R269" s="2" t="str">
        <x:f>IF(AND(Q269=1,P269&lt;='Dashboard'!$B$5),IF(P269&gt;B269,"Accepted late","Accepted"),IF(B269&lt;'Dashboard'!$B$5,"Overdue",IF(I269="Blocked","Blocked",IF(B269='Dashboard'!$B$5,"Due today","Planned"))))</x:f>
        <x:v>Planned</x:v>
      </x:c>
      <x:c r="S269" s="26" t="str">
        <x:f>IF(I269="Accepted",IF(K269="","Add evidence",IF(O269="","Add reviewer",IF(P269="","Add accepted date",IF(AND(ISNUMBER(F269),COUNT(G269)=0),"Add actual quantity",IF(Q269=0,"Review target / date / dependencies","Complete"))))),IF(OR(I269="Blocked",I269="Deferred"),IF(L269="","Record blocker / reason",IF(M269="","Assign rescue owner",IF(N269="","Set recovery date","Recovery assigned"))),IF(B269&lt;'Dashboard'!$B$5,"Escalate and record recovery","Work to acceptance standard")))</x:f>
        <x:v>Work to acceptance standard</x:v>
      </x:c>
      <x:c r="T269" s="26" t="str">
        <x:v>T0067</x:v>
      </x:c>
      <x:c r="U269" s="26" t="str">
        <x:v>Planning pool addition 0 contacts today; quality gate wins over quota. Total sends&lt;=150/day;&gt;3% bounce affected mailbox held. No new cold enrollments on reduced/buffer days.</x:v>
      </x:c>
      <x:c r="V269" s="31" t="n">
        <x:v>2</x:v>
      </x:c>
      <x:c r="W269" s="26" t="str"/>
      <x:c r="X269" s="26" t="str">
        <x:v>DSI Reset PDF: lane responsibilities and dated runbook; dated allocation proposed for this tracker.</x:v>
      </x:c>
      <x:c r="Y269" s="30" t="n">
        <x:f>B269-WEEKDAY(B269,2)+1</x:f>
        <x:v>46349</x:v>
      </x:c>
      <x:c r="Z269" s="2" t="str">
        <x:v>checklist</x:v>
      </x:c>
      <x:c r="AA269" s="2" t="n">
        <x:f>IF(Q269=1,IF(P269&gt;B269,1,0),0)</x:f>
        <x:v>0</x:v>
      </x:c>
      <x:c r="AB269" s="2" t="n">
        <x:f>IF(AND(Q269=1,P269&lt;='Dashboard'!$B$5),0,MAX(0,'Dashboard'!$B$5-B269))</x:f>
        <x:v>0</x:v>
      </x:c>
      <x:c r="AC269" s="28" t="str"/>
      <x:c r="AD269" s="2" t="str">
        <x:f>IF(AND(ISNUMBER(F269),ISNUMBER(G269)),G269-F269,"")</x:f>
      </x:c>
      <x:c r="AE269" s="2" t="n">
        <x:f>IF(AND(I269="Accepted",K269&lt;&gt;"",O269&lt;&gt;"",ISNUMBER(P269),P269&gt;0,P269&lt;='Dashboard'!$B$5,IF(ISNUMBER(F269),ISNUMBER(G269),TRUE),IF(ISNUMBER(F269),G269&gt;=F269,TRUE)),1,0)</x:f>
        <x:v>0</x:v>
      </x:c>
    </x:row>
    <x:row r="270" ht="58" customHeight="1">
      <x:c r="A270" s="2" t="str">
        <x:v>T0232</x:v>
      </x:c>
      <x:c r="B270" s="30" t="n">
        <x:v>46349</x:v>
      </x:c>
      <x:c r="C270" s="2" t="str">
        <x:v>Nova</x:v>
      </x:c>
      <x:c r="D270" s="2" t="str">
        <x:v>Conversion Orchestrator</x:v>
      </x:c>
      <x:c r="E270" s="26" t="str">
        <x:v>Coverage/SLA evidence; 2 call reviews; booked/held updates; next-step and trial handoffs. Log each unique qualified inquiry with practice type, decision-maker access, case volume, service need and readiness timing.</x:v>
      </x:c>
      <x:c r="F270" s="2" t="n">
        <x:v>1</x:v>
      </x:c>
      <x:c r="G270" s="20"/>
      <x:c r="H270" s="2" t="str">
        <x:v>accepted output</x:v>
      </x:c>
      <x:c r="I270" s="20" t="str">
        <x:v>Ready</x:v>
      </x:c>
      <x:c r="J270" s="2" t="str">
        <x:v>16:45</x:v>
      </x:c>
      <x:c r="K270" s="28" t="str"/>
      <x:c r="L270" s="28" t="str"/>
      <x:c r="M270" s="20" t="str"/>
      <x:c r="N270" s="33"/>
      <x:c r="O270" s="20" t="str"/>
      <x:c r="P270" s="33"/>
      <x:c r="Q270" s="2" t="n">
        <x:f>IF(AND(AE270=1,COUNTIFS($A$7:$A$500,"T0067",$AE$7:$AE$500,1)=1,COUNTIFS($A$7:$A$500,"T0055",$AE$7:$AE$500,1)=1),1,0)</x:f>
        <x:v>0</x:v>
      </x:c>
      <x:c r="R270" s="2" t="str">
        <x:f>IF(AND(Q270=1,P270&lt;='Dashboard'!$B$5),IF(P270&gt;B270,"Accepted late","Accepted"),IF(B270&lt;'Dashboard'!$B$5,"Overdue",IF(I270="Blocked","Blocked",IF(B270='Dashboard'!$B$5,"Due today","Planned"))))</x:f>
        <x:v>Planned</x:v>
      </x:c>
      <x:c r="S270" s="26" t="str">
        <x:f>IF(I270="Accepted",IF(K270="","Add evidence",IF(O270="","Add reviewer",IF(P270="","Add accepted date",IF(AND(ISNUMBER(F270),COUNT(G270)=0),"Add actual quantity",IF(Q270=0,"Review target / date / dependencies","Complete"))))),IF(OR(I270="Blocked",I270="Deferred"),IF(L270="","Record blocker / reason",IF(M270="","Assign rescue owner",IF(N270="","Set recovery date","Recovery assigned"))),IF(B270&lt;'Dashboard'!$B$5,"Escalate and record recovery","Work to acceptance standard")))</x:f>
        <x:v>Work to acceptance standard</x:v>
      </x:c>
      <x:c r="T270" s="26" t="str">
        <x:v>T0067</x:v>
      </x:c>
      <x:c r="U270" s="26" t="str">
        <x:v>Every eligible reply&lt;=15 min; positive call&lt;=60 min; no opportunity without next step; booked brief to Nic; trial logistics to Maseeha. Raw contacts, opens and accepts never count as qualified inquiries; deduplicate across channels.</x:v>
      </x:c>
      <x:c r="V270" s="31" t="n">
        <x:v>3</x:v>
      </x:c>
      <x:c r="W270" s="26" t="str"/>
      <x:c r="X270" s="26" t="str">
        <x:v>DSI Reset PDF: lane responsibilities and dated runbook; dated allocation proposed for this tracker.</x:v>
      </x:c>
      <x:c r="Y270" s="30" t="n">
        <x:f>B270-WEEKDAY(B270,2)+1</x:f>
        <x:v>46349</x:v>
      </x:c>
      <x:c r="Z270" s="2" t="str">
        <x:v>checklist</x:v>
      </x:c>
      <x:c r="AA270" s="2" t="n">
        <x:f>IF(Q270=1,IF(P270&gt;B270,1,0),0)</x:f>
        <x:v>0</x:v>
      </x:c>
      <x:c r="AB270" s="2" t="n">
        <x:f>IF(AND(Q270=1,P270&lt;='Dashboard'!$B$5),0,MAX(0,'Dashboard'!$B$5-B270))</x:f>
        <x:v>0</x:v>
      </x:c>
      <x:c r="AC270" s="28" t="str"/>
      <x:c r="AD270" s="2" t="str">
        <x:f>IF(AND(ISNUMBER(F270),ISNUMBER(G270)),G270-F270,"")</x:f>
      </x:c>
      <x:c r="AE270" s="2" t="n">
        <x:f>IF(AND(I270="Accepted",K270&lt;&gt;"",O270&lt;&gt;"",ISNUMBER(P270),P270&gt;0,P270&lt;='Dashboard'!$B$5,IF(ISNUMBER(F270),ISNUMBER(G270),TRUE),IF(ISNUMBER(F270),G270&gt;=F270,TRUE)),1,0)</x:f>
        <x:v>0</x:v>
      </x:c>
    </x:row>
    <x:row r="271" ht="58" customHeight="1">
      <x:c r="A271" s="2" t="str">
        <x:v>T0233</x:v>
      </x:c>
      <x:c r="B271" s="30" t="n">
        <x:v>46349</x:v>
      </x:c>
      <x:c r="C271" s="2" t="str">
        <x:v>Emman</x:v>
      </x:c>
      <x:c r="D271" s="2" t="str">
        <x:v>AI Build Orchestrator</x:v>
      </x:c>
      <x:c r="E271" s="26" t="str">
        <x:v>Health/retry log; one acceptance-backed build increment; updated change log</x:v>
      </x:c>
      <x:c r="F271" s="2" t="n">
        <x:v>1</x:v>
      </x:c>
      <x:c r="G271" s="20"/>
      <x:c r="H271" s="2" t="str">
        <x:v>accepted output</x:v>
      </x:c>
      <x:c r="I271" s="20" t="str">
        <x:v>Ready</x:v>
      </x:c>
      <x:c r="J271" s="2" t="str">
        <x:v>16:45</x:v>
      </x:c>
      <x:c r="K271" s="28" t="str"/>
      <x:c r="L271" s="28" t="str"/>
      <x:c r="M271" s="20" t="str"/>
      <x:c r="N271" s="33"/>
      <x:c r="O271" s="20" t="str"/>
      <x:c r="P271" s="33"/>
      <x:c r="Q271" s="2" t="n">
        <x:f>IF(AND(AE271=1,COUNTIFS($A$7:$A$500,"T0067",$AE$7:$AE$500,1)=1,COUNTIFS($A$7:$A$500,"T0055",$AE$7:$AE$500,1)=1),1,0)</x:f>
        <x:v>0</x:v>
      </x:c>
      <x:c r="R271" s="2" t="str">
        <x:f>IF(AND(Q271=1,P271&lt;='Dashboard'!$B$5),IF(P271&gt;B271,"Accepted late","Accepted"),IF(B271&lt;'Dashboard'!$B$5,"Overdue",IF(I271="Blocked","Blocked",IF(B271='Dashboard'!$B$5,"Due today","Planned"))))</x:f>
        <x:v>Planned</x:v>
      </x:c>
      <x:c r="S271" s="26" t="str">
        <x:f>IF(I271="Accepted",IF(K271="","Add evidence",IF(O271="","Add reviewer",IF(P271="","Add accepted date",IF(AND(ISNUMBER(F271),COUNT(G271)=0),"Add actual quantity",IF(Q271=0,"Review target / date / dependencies","Complete"))))),IF(OR(I271="Blocked",I271="Deferred"),IF(L271="","Record blocker / reason",IF(M271="","Assign rescue owner",IF(N271="","Set recovery date","Recovery assigned"))),IF(B271&lt;'Dashboard'!$B$5,"Escalate and record recovery","Work to acceptance standard")))</x:f>
        <x:v>Work to acceptance standard</x:v>
      </x:c>
      <x:c r="T271" s="26" t="str">
        <x:v>T0067</x:v>
      </x:c>
      <x:c r="U271" s="26" t="str">
        <x:v>Fix a failing live agent beforestarting the next build. If an agent is still not working 48 hours after its due date, activate the manual SOP. Roll back a live failure within 1 hour. Release build reserve when no approved work remains.</x:v>
      </x:c>
      <x:c r="V271" s="31" t="n">
        <x:v>3</x:v>
      </x:c>
      <x:c r="W271" s="26" t="str"/>
      <x:c r="X271" s="26" t="str">
        <x:v>DSI Reset PDF: lane responsibilities and dated runbook; dated allocation proposed for this tracker.</x:v>
      </x:c>
      <x:c r="Y271" s="30" t="n">
        <x:f>B271-WEEKDAY(B271,2)+1</x:f>
        <x:v>46349</x:v>
      </x:c>
      <x:c r="Z271" s="2" t="str">
        <x:v>checklist</x:v>
      </x:c>
      <x:c r="AA271" s="2" t="n">
        <x:f>IF(Q271=1,IF(P271&gt;B271,1,0),0)</x:f>
        <x:v>0</x:v>
      </x:c>
      <x:c r="AB271" s="2" t="n">
        <x:f>IF(AND(Q271=1,P271&lt;='Dashboard'!$B$5),0,MAX(0,'Dashboard'!$B$5-B271))</x:f>
        <x:v>0</x:v>
      </x:c>
      <x:c r="AC271" s="28" t="str"/>
      <x:c r="AD271" s="2" t="str">
        <x:f>IF(AND(ISNUMBER(F271),ISNUMBER(G271)),G271-F271,"")</x:f>
      </x:c>
      <x:c r="AE271" s="2" t="n">
        <x:f>IF(AND(I271="Accepted",K271&lt;&gt;"",O271&lt;&gt;"",ISNUMBER(P271),P271&gt;0,P271&lt;='Dashboard'!$B$5,IF(ISNUMBER(F271),ISNUMBER(G271),TRUE),IF(ISNUMBER(F271),G271&gt;=F271,TRUE)),1,0)</x:f>
        <x:v>0</x:v>
      </x:c>
    </x:row>
    <x:row r="272" ht="58" customHeight="1">
      <x:c r="A272" s="2" t="str">
        <x:v>T0234</x:v>
      </x:c>
      <x:c r="B272" s="30" t="n">
        <x:v>46349</x:v>
      </x:c>
      <x:c r="C272" s="2" t="str">
        <x:v>Ludwig</x:v>
      </x:c>
      <x:c r="D272" s="2" t="str">
        <x:v>Integration Engineer</x:v>
      </x:c>
      <x:c r="E272" s="26" t="str">
        <x:v>Webhook/error/dead-letter check; top assigned integration ticket or verified no-ticket note</x:v>
      </x:c>
      <x:c r="F272" s="2" t="n">
        <x:v>1</x:v>
      </x:c>
      <x:c r="G272" s="20"/>
      <x:c r="H272" s="2" t="str">
        <x:v>accepted output</x:v>
      </x:c>
      <x:c r="I272" s="20" t="str">
        <x:v>Ready</x:v>
      </x:c>
      <x:c r="J272" s="2" t="str">
        <x:v>16:45</x:v>
      </x:c>
      <x:c r="K272" s="28" t="str"/>
      <x:c r="L272" s="28" t="str"/>
      <x:c r="M272" s="20" t="str"/>
      <x:c r="N272" s="33"/>
      <x:c r="O272" s="20" t="str"/>
      <x:c r="P272" s="33"/>
      <x:c r="Q272" s="2" t="n">
        <x:f>IF(AND(AE272=1,COUNTIFS($A$7:$A$500,"T0067",$AE$7:$AE$500,1)=1,COUNTIFS($A$7:$A$500,"T0055",$AE$7:$AE$500,1)=1),1,0)</x:f>
        <x:v>0</x:v>
      </x:c>
      <x:c r="R272" s="2" t="str">
        <x:f>IF(AND(Q272=1,P272&lt;='Dashboard'!$B$5),IF(P272&gt;B272,"Accepted late","Accepted"),IF(B272&lt;'Dashboard'!$B$5,"Overdue",IF(I272="Blocked","Blocked",IF(B272='Dashboard'!$B$5,"Due today","Planned"))))</x:f>
        <x:v>Planned</x:v>
      </x:c>
      <x:c r="S272" s="26" t="str">
        <x:f>IF(I272="Accepted",IF(K272="","Add evidence",IF(O272="","Add reviewer",IF(P272="","Add accepted date",IF(AND(ISNUMBER(F272),COUNT(G272)=0),"Add actual quantity",IF(Q272=0,"Review target / date / dependencies","Complete"))))),IF(OR(I272="Blocked",I272="Deferred"),IF(L272="","Record blocker / reason",IF(M272="","Assign rescue owner",IF(N272="","Set recovery date","Recovery assigned"))),IF(B272&lt;'Dashboard'!$B$5,"Escalate and record recovery","Work to acceptance standard")))</x:f>
        <x:v>Work to acceptance standard</x:v>
      </x:c>
      <x:c r="T272" s="26" t="str">
        <x:v>T0067</x:v>
      </x:c>
      <x:c r="U272" s="26" t="str">
        <x:v>Only Emman’s priority queue; 100% test capture; runbook/retry/rollback evidence. If no fault/ticket, release reserve; do not invent work.</x:v>
      </x:c>
      <x:c r="V272" s="31" t="n">
        <x:v>1</x:v>
      </x:c>
      <x:c r="W272" s="26" t="str"/>
      <x:c r="X272" s="26" t="str">
        <x:v>DSI Reset PDF: lane responsibilities and dated runbook; dated allocation proposed for this tracker.</x:v>
      </x:c>
      <x:c r="Y272" s="30" t="n">
        <x:f>B272-WEEKDAY(B272,2)+1</x:f>
        <x:v>46349</x:v>
      </x:c>
      <x:c r="Z272" s="2" t="str">
        <x:v>checklist</x:v>
      </x:c>
      <x:c r="AA272" s="2" t="n">
        <x:f>IF(Q272=1,IF(P272&gt;B272,1,0),0)</x:f>
        <x:v>0</x:v>
      </x:c>
      <x:c r="AB272" s="2" t="n">
        <x:f>IF(AND(Q272=1,P272&lt;='Dashboard'!$B$5),0,MAX(0,'Dashboard'!$B$5-B272))</x:f>
        <x:v>0</x:v>
      </x:c>
      <x:c r="AC272" s="28" t="str"/>
      <x:c r="AD272" s="2" t="str">
        <x:f>IF(AND(ISNUMBER(F272),ISNUMBER(G272)),G272-F272,"")</x:f>
      </x:c>
      <x:c r="AE272" s="2" t="n">
        <x:f>IF(AND(I272="Accepted",K272&lt;&gt;"",O272&lt;&gt;"",ISNUMBER(P272),P272&gt;0,P272&lt;='Dashboard'!$B$5,IF(ISNUMBER(F272),ISNUMBER(G272),TRUE),IF(ISNUMBER(F272),G272&gt;=F272,TRUE)),1,0)</x:f>
        <x:v>0</x:v>
      </x:c>
    </x:row>
    <x:row r="273" ht="58" customHeight="1">
      <x:c r="A273" s="2" t="str">
        <x:v>T0235</x:v>
      </x:c>
      <x:c r="B273" s="30" t="n">
        <x:v>46349</x:v>
      </x:c>
      <x:c r="C273" s="2" t="str">
        <x:v>Alvin</x:v>
      </x:c>
      <x:c r="D273" s="2" t="str">
        <x:v>CQL/GHL Implementation</x:v>
      </x:c>
      <x:c r="E273" s="26" t="str">
        <x:v>Stage/calendar/reminder QA; due workflow fixes</x:v>
      </x:c>
      <x:c r="F273" s="2" t="n">
        <x:v>1</x:v>
      </x:c>
      <x:c r="G273" s="20"/>
      <x:c r="H273" s="2" t="str">
        <x:v>accepted output</x:v>
      </x:c>
      <x:c r="I273" s="20" t="str">
        <x:v>Ready</x:v>
      </x:c>
      <x:c r="J273" s="2" t="str">
        <x:v>16:45</x:v>
      </x:c>
      <x:c r="K273" s="28" t="str"/>
      <x:c r="L273" s="28" t="str"/>
      <x:c r="M273" s="20" t="str"/>
      <x:c r="N273" s="33"/>
      <x:c r="O273" s="20" t="str"/>
      <x:c r="P273" s="33"/>
      <x:c r="Q273" s="2" t="n">
        <x:f>IF(AND(AE273=1,COUNTIFS($A$7:$A$500,"T0067",$AE$7:$AE$500,1)=1,COUNTIFS($A$7:$A$500,"T0055",$AE$7:$AE$500,1)=1),1,0)</x:f>
        <x:v>0</x:v>
      </x:c>
      <x:c r="R273" s="2" t="str">
        <x:f>IF(AND(Q273=1,P273&lt;='Dashboard'!$B$5),IF(P273&gt;B273,"Accepted late","Accepted"),IF(B273&lt;'Dashboard'!$B$5,"Overdue",IF(I273="Blocked","Blocked",IF(B273='Dashboard'!$B$5,"Due today","Planned"))))</x:f>
        <x:v>Planned</x:v>
      </x:c>
      <x:c r="S273" s="26" t="str">
        <x:f>IF(I273="Accepted",IF(K273="","Add evidence",IF(O273="","Add reviewer",IF(P273="","Add accepted date",IF(AND(ISNUMBER(F273),COUNT(G273)=0),"Add actual quantity",IF(Q273=0,"Review target / date / dependencies","Complete"))))),IF(OR(I273="Blocked",I273="Deferred"),IF(L273="","Record blocker / reason",IF(M273="","Assign rescue owner",IF(N273="","Set recovery date","Recovery assigned"))),IF(B273&lt;'Dashboard'!$B$5,"Escalate and record recovery","Work to acceptance standard")))</x:f>
        <x:v>Work to acceptance standard</x:v>
      </x:c>
      <x:c r="T273" s="26" t="str">
        <x:v>T0067</x:v>
      </x:c>
      <x:c r="U273" s="26" t="str">
        <x:v>No-show task&lt;=10 min; form/source fields correct; finish critical CRM defect same day. Facebook mirrors exact approved post; Instagram requires permissioned image.</x:v>
      </x:c>
      <x:c r="V273" s="31" t="n">
        <x:v>1.5</x:v>
      </x:c>
      <x:c r="W273" s="26" t="str"/>
      <x:c r="X273" s="26" t="str">
        <x:v>DSI Reset PDF: lane responsibilities and dated runbook; dated allocation proposed for this tracker.</x:v>
      </x:c>
      <x:c r="Y273" s="30" t="n">
        <x:f>B273-WEEKDAY(B273,2)+1</x:f>
        <x:v>46349</x:v>
      </x:c>
      <x:c r="Z273" s="2" t="str">
        <x:v>checklist</x:v>
      </x:c>
      <x:c r="AA273" s="2" t="n">
        <x:f>IF(Q273=1,IF(P273&gt;B273,1,0),0)</x:f>
        <x:v>0</x:v>
      </x:c>
      <x:c r="AB273" s="2" t="n">
        <x:f>IF(AND(Q273=1,P273&lt;='Dashboard'!$B$5),0,MAX(0,'Dashboard'!$B$5-B273))</x:f>
        <x:v>0</x:v>
      </x:c>
      <x:c r="AC273" s="28" t="str"/>
      <x:c r="AD273" s="2" t="str">
        <x:f>IF(AND(ISNUMBER(F273),ISNUMBER(G273)),G273-F273,"")</x:f>
      </x:c>
      <x:c r="AE273" s="2" t="n">
        <x:f>IF(AND(I273="Accepted",K273&lt;&gt;"",O273&lt;&gt;"",ISNUMBER(P273),P273&gt;0,P273&lt;='Dashboard'!$B$5,IF(ISNUMBER(F273),ISNUMBER(G273),TRUE),IF(ISNUMBER(F273),G273&gt;=F273,TRUE)),1,0)</x:f>
        <x:v>0</x:v>
      </x:c>
    </x:row>
    <x:row r="274" ht="58" customHeight="1">
      <x:c r="A274" s="2" t="str">
        <x:v>T0236</x:v>
      </x:c>
      <x:c r="B274" s="30" t="n">
        <x:v>46349</x:v>
      </x:c>
      <x:c r="C274" s="2" t="str">
        <x:v>Brian</x:v>
      </x:c>
      <x:c r="D274" s="2" t="str">
        <x:v>Web and Tracking</x:v>
      </x:c>
      <x:c r="E274" s="26" t="str">
        <x:v>One health-check result; at most one weekly change ticket or no-ticket note</x:v>
      </x:c>
      <x:c r="F274" s="2" t="n">
        <x:v>1</x:v>
      </x:c>
      <x:c r="G274" s="20"/>
      <x:c r="H274" s="2" t="str">
        <x:v>accepted output</x:v>
      </x:c>
      <x:c r="I274" s="20" t="str">
        <x:v>Ready</x:v>
      </x:c>
      <x:c r="J274" s="2" t="str">
        <x:v>16:45</x:v>
      </x:c>
      <x:c r="K274" s="28" t="str"/>
      <x:c r="L274" s="28" t="str"/>
      <x:c r="M274" s="20" t="str"/>
      <x:c r="N274" s="33"/>
      <x:c r="O274" s="20" t="str"/>
      <x:c r="P274" s="33"/>
      <x:c r="Q274" s="2" t="n">
        <x:f>IF(AND(AE274=1,COUNTIFS($A$7:$A$500,"T0067",$AE$7:$AE$500,1)=1,COUNTIFS($A$7:$A$500,"T0055",$AE$7:$AE$500,1)=1),1,0)</x:f>
        <x:v>0</x:v>
      </x:c>
      <x:c r="R274" s="2" t="str">
        <x:f>IF(AND(Q274=1,P274&lt;='Dashboard'!$B$5),IF(P274&gt;B274,"Accepted late","Accepted"),IF(B274&lt;'Dashboard'!$B$5,"Overdue",IF(I274="Blocked","Blocked",IF(B274='Dashboard'!$B$5,"Due today","Planned"))))</x:f>
        <x:v>Planned</x:v>
      </x:c>
      <x:c r="S274" s="26" t="str">
        <x:f>IF(I274="Accepted",IF(K274="","Add evidence",IF(O274="","Add reviewer",IF(P274="","Add accepted date",IF(AND(ISNUMBER(F274),COUNT(G274)=0),"Add actual quantity",IF(Q274=0,"Review target / date / dependencies","Complete"))))),IF(OR(I274="Blocked",I274="Deferred"),IF(L274="","Record blocker / reason",IF(M274="","Assign rescue owner",IF(N274="","Set recovery date","Recovery assigned"))),IF(B274&lt;'Dashboard'!$B$5,"Escalate and record recovery","Work to acceptance standard")))</x:f>
        <x:v>Work to acceptance standard</x:v>
      </x:c>
      <x:c r="T274" s="26" t="str">
        <x:v>T0067</x:v>
      </x:c>
      <x:c r="U274" s="26" t="str">
        <x:v>Form to CQL&lt;1 min; approved copy unchanged; no work manufactured if healthy; ongoing reserve&lt;=2 h/week.</x:v>
      </x:c>
      <x:c r="V274" s="31" t="n">
        <x:v>0.4</x:v>
      </x:c>
      <x:c r="W274" s="26" t="str"/>
      <x:c r="X274" s="26" t="str">
        <x:v>DSI Reset PDF: lane responsibilities and dated runbook; dated allocation proposed for this tracker.</x:v>
      </x:c>
      <x:c r="Y274" s="30" t="n">
        <x:f>B274-WEEKDAY(B274,2)+1</x:f>
        <x:v>46349</x:v>
      </x:c>
      <x:c r="Z274" s="2" t="str">
        <x:v>checklist</x:v>
      </x:c>
      <x:c r="AA274" s="2" t="n">
        <x:f>IF(Q274=1,IF(P274&gt;B274,1,0),0)</x:f>
        <x:v>0</x:v>
      </x:c>
      <x:c r="AB274" s="2" t="n">
        <x:f>IF(AND(Q274=1,P274&lt;='Dashboard'!$B$5),0,MAX(0,'Dashboard'!$B$5-B274))</x:f>
        <x:v>0</x:v>
      </x:c>
      <x:c r="AC274" s="28" t="str"/>
      <x:c r="AD274" s="2" t="str">
        <x:f>IF(AND(ISNUMBER(F274),ISNUMBER(G274)),G274-F274,"")</x:f>
      </x:c>
      <x:c r="AE274" s="2" t="n">
        <x:f>IF(AND(I274="Accepted",K274&lt;&gt;"",O274&lt;&gt;"",ISNUMBER(P274),P274&gt;0,P274&lt;='Dashboard'!$B$5,IF(ISNUMBER(F274),ISNUMBER(G274),TRUE),IF(ISNUMBER(F274),G274&gt;=F274,TRUE)),1,0)</x:f>
        <x:v>0</x:v>
      </x:c>
    </x:row>
    <x:row r="275" ht="58" customHeight="1">
      <x:c r="A275" s="2" t="str">
        <x:v>T0237</x:v>
      </x:c>
      <x:c r="B275" s="30" t="n">
        <x:v>46349</x:v>
      </x:c>
      <x:c r="C275" s="2" t="str">
        <x:v>Dexter</x:v>
      </x:c>
      <x:c r="D275" s="2" t="str">
        <x:v>LinkedIn Execution</x:v>
      </x:c>
      <x:c r="E275" s="26" t="str">
        <x:v>CQL logged DMs/accepts; eligible requests; referred interested replies; approved post evidence</x:v>
      </x:c>
      <x:c r="F275" s="2" t="n">
        <x:v>0</x:v>
      </x:c>
      <x:c r="G275" s="20"/>
      <x:c r="H275" s="2" t="str">
        <x:v>new request working target; eligible pool required</x:v>
      </x:c>
      <x:c r="I275" s="20" t="str">
        <x:v>Ready</x:v>
      </x:c>
      <x:c r="J275" s="2" t="str">
        <x:v>16:45</x:v>
      </x:c>
      <x:c r="K275" s="28" t="str"/>
      <x:c r="L275" s="28" t="str"/>
      <x:c r="M275" s="20" t="str"/>
      <x:c r="N275" s="33"/>
      <x:c r="O275" s="20" t="str"/>
      <x:c r="P275" s="33"/>
      <x:c r="Q275" s="2" t="n">
        <x:f>IF(AND(AE275=1,COUNTIFS($A$7:$A$500,"T0067",$AE$7:$AE$500,1)=1,COUNTIFS($A$7:$A$500,"T0055",$AE$7:$AE$500,1)=1),1,0)</x:f>
        <x:v>0</x:v>
      </x:c>
      <x:c r="R275" s="2" t="str">
        <x:f>IF(AND(Q275=1,P275&lt;='Dashboard'!$B$5),IF(P275&gt;B275,"Accepted late","Accepted"),IF(B275&lt;'Dashboard'!$B$5,"Overdue",IF(I275="Blocked","Blocked",IF(B275='Dashboard'!$B$5,"Due today","Planned"))))</x:f>
        <x:v>Planned</x:v>
      </x:c>
      <x:c r="S275" s="26" t="str">
        <x:f>IF(I275="Accepted",IF(K275="","Add evidence",IF(O275="","Add reviewer",IF(P275="","Add accepted date",IF(AND(ISNUMBER(F275),COUNT(G275)=0),"Add actual quantity",IF(Q275=0,"Review target / date / dependencies","Complete"))))),IF(OR(I275="Blocked",I275="Deferred"),IF(L275="","Record blocker / reason",IF(M275="","Assign rescue owner",IF(N275="","Set recovery date","Recovery assigned"))),IF(B275&lt;'Dashboard'!$B$5,"Escalate and record recovery","Work to acceptance standard")))</x:f>
        <x:v>Work to acceptance standard</x:v>
      </x:c>
      <x:c r="T275" s="26" t="str">
        <x:v>T0067</x:v>
      </x:c>
      <x:c r="U275"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75" s="31" t="n">
        <x:v>1.5</x:v>
      </x:c>
      <x:c r="W275" s="26" t="str"/>
      <x:c r="X275" s="26" t="str">
        <x:v>DSI Reset PDF: lane responsibilities and dated runbook; dated allocation proposed for this tracker.</x:v>
      </x:c>
      <x:c r="Y275" s="30" t="n">
        <x:f>B275-WEEKDAY(B275,2)+1</x:f>
        <x:v>46349</x:v>
      </x:c>
      <x:c r="Z275" s="2" t="str">
        <x:v>capacity</x:v>
      </x:c>
      <x:c r="AA275" s="2" t="n">
        <x:f>IF(Q275=1,IF(P275&gt;B275,1,0),0)</x:f>
        <x:v>0</x:v>
      </x:c>
      <x:c r="AB275" s="2" t="n">
        <x:f>IF(AND(Q275=1,P275&lt;='Dashboard'!$B$5),0,MAX(0,'Dashboard'!$B$5-B275))</x:f>
        <x:v>0</x:v>
      </x:c>
      <x:c r="AC275" s="28" t="str"/>
      <x:c r="AD275" s="2" t="str">
        <x:f>IF(AND(ISNUMBER(F275),ISNUMBER(G275)),G275-F275,"")</x:f>
      </x:c>
      <x:c r="AE275" s="2" t="n">
        <x:f>IF(AND(I275="Accepted",K275&lt;&gt;"",O275&lt;&gt;"",ISNUMBER(P275),P275&gt;0,P275&lt;='Dashboard'!$B$5,IF(ISNUMBER(F275),ISNUMBER(G275),TRUE),IF(ISNUMBER(F275),OR(G275&gt;=F275,AC275&lt;&gt;""),TRUE)),1,0)</x:f>
        <x:v>0</x:v>
      </x:c>
    </x:row>
    <x:row r="276" ht="58" customHeight="1">
      <x:c r="A276" s="2" t="str">
        <x:v>T0238</x:v>
      </x:c>
      <x:c r="B276" s="30" t="n">
        <x:v>46349</x:v>
      </x:c>
      <x:c r="C276" s="2" t="str">
        <x:v>Setter 1</x:v>
      </x:c>
      <x:c r="D276" s="2" t="str">
        <x:v>Reply and Phone Setter</x:v>
      </x:c>
      <x:c r="E276" s="26" t="str">
        <x:v>SLA/call outcome log; bookings and next steps; handoff to Nova</x:v>
      </x:c>
      <x:c r="F276" s="2" t="n">
        <x:v>0</x:v>
      </x:c>
      <x:c r="G276" s="20"/>
      <x:c r="H276" s="2" t="str">
        <x:v>dial working target; inbound SLA takes priority</x:v>
      </x:c>
      <x:c r="I276" s="20" t="str">
        <x:v>Ready</x:v>
      </x:c>
      <x:c r="J276" s="2" t="str">
        <x:v>16:45</x:v>
      </x:c>
      <x:c r="K276" s="28" t="str"/>
      <x:c r="L276" s="28" t="str"/>
      <x:c r="M276" s="20" t="str"/>
      <x:c r="N276" s="33"/>
      <x:c r="O276" s="20" t="str"/>
      <x:c r="P276" s="33"/>
      <x:c r="Q276" s="2" t="n">
        <x:f>IF(AND(AE276=1,COUNTIFS($A$7:$A$500,"T0013",$AE$7:$AE$500,1)=1,COUNTIFS($A$7:$A$500,"T0055",$AE$7:$AE$500,1)=1),1,0)</x:f>
        <x:v>0</x:v>
      </x:c>
      <x:c r="R276" s="2" t="str">
        <x:f>IF(AND(Q276=1,P276&lt;='Dashboard'!$B$5),IF(P276&gt;B276,"Accepted late","Accepted"),IF(B276&lt;'Dashboard'!$B$5,"Overdue",IF(I276="Blocked","Blocked",IF(B276='Dashboard'!$B$5,"Due today","Planned"))))</x:f>
        <x:v>Planned</x:v>
      </x:c>
      <x:c r="S276" s="26" t="str">
        <x:f>IF(I276="Accepted",IF(K276="","Add evidence",IF(O276="","Add reviewer",IF(P276="","Add accepted date",IF(AND(ISNUMBER(F276),COUNT(G276)=0),"Add actual quantity",IF(Q276=0,"Review target / date / dependencies","Complete"))))),IF(OR(I276="Blocked",I276="Deferred"),IF(L276="","Record blocker / reason",IF(M276="","Assign rescue owner",IF(N276="","Set recovery date","Recovery assigned"))),IF(B276&lt;'Dashboard'!$B$5,"Escalate and record recovery","Work to acceptance standard")))</x:f>
        <x:v>Work to acceptance standard</x:v>
      </x:c>
      <x:c r="T276" s="26" t="str">
        <x:v>T0013; T0055</x:v>
      </x:c>
      <x:c r="U276"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76" s="31" t="n">
        <x:v>4</x:v>
      </x:c>
      <x:c r="W276" s="26" t="str"/>
      <x:c r="X276" s="26" t="str">
        <x:v>DSI Reset PDF: lane responsibilities and dated runbook; dated allocation proposed for this tracker.</x:v>
      </x:c>
      <x:c r="Y276" s="30" t="n">
        <x:f>B276-WEEKDAY(B276,2)+1</x:f>
        <x:v>46349</x:v>
      </x:c>
      <x:c r="Z276" s="2" t="str">
        <x:v>capacity</x:v>
      </x:c>
      <x:c r="AA276" s="2" t="n">
        <x:f>IF(Q276=1,IF(P276&gt;B276,1,0),0)</x:f>
        <x:v>0</x:v>
      </x:c>
      <x:c r="AB276" s="2" t="n">
        <x:f>IF(AND(Q276=1,P276&lt;='Dashboard'!$B$5),0,MAX(0,'Dashboard'!$B$5-B276))</x:f>
        <x:v>0</x:v>
      </x:c>
      <x:c r="AC276" s="28" t="str"/>
      <x:c r="AD276" s="2" t="str">
        <x:f>IF(AND(ISNUMBER(F276),ISNUMBER(G276)),G276-F276,"")</x:f>
      </x:c>
      <x:c r="AE276" s="2" t="n">
        <x:f>IF(AND(I276="Accepted",K276&lt;&gt;"",O276&lt;&gt;"",ISNUMBER(P276),P276&gt;0,P276&lt;='Dashboard'!$B$5,IF(ISNUMBER(F276),ISNUMBER(G276),TRUE),IF(ISNUMBER(F276),OR(G276&gt;=F276,AC276&lt;&gt;""),TRUE)),1,0)</x:f>
        <x:v>0</x:v>
      </x:c>
    </x:row>
    <x:row r="277" ht="58" customHeight="1">
      <x:c r="A277" s="2" t="str">
        <x:v>T0239</x:v>
      </x:c>
      <x:c r="B277" s="30" t="n">
        <x:v>46349</x:v>
      </x:c>
      <x:c r="C277" s="2" t="str">
        <x:v>Setter 2</x:v>
      </x:c>
      <x:c r="D277" s="2" t="str">
        <x:v>Reply and Phone Setter</x:v>
      </x:c>
      <x:c r="E277" s="26" t="str">
        <x:v>SLA/call outcome log; bookings and next steps; handoff to Nova</x:v>
      </x:c>
      <x:c r="F277" s="2" t="n">
        <x:v>0</x:v>
      </x:c>
      <x:c r="G277" s="20"/>
      <x:c r="H277" s="2" t="str">
        <x:v>dial working target; inbound SLA takes priority</x:v>
      </x:c>
      <x:c r="I277" s="20" t="str">
        <x:v>Ready</x:v>
      </x:c>
      <x:c r="J277" s="2" t="str">
        <x:v>16:45</x:v>
      </x:c>
      <x:c r="K277" s="28" t="str"/>
      <x:c r="L277" s="28" t="str"/>
      <x:c r="M277" s="20" t="str"/>
      <x:c r="N277" s="33"/>
      <x:c r="O277" s="20" t="str"/>
      <x:c r="P277" s="33"/>
      <x:c r="Q277" s="2" t="n">
        <x:f>IF(AND(AE277=1,COUNTIFS($A$7:$A$500,"T0013",$AE$7:$AE$500,1)=1,COUNTIFS($A$7:$A$500,"T0055",$AE$7:$AE$500,1)=1),1,0)</x:f>
        <x:v>0</x:v>
      </x:c>
      <x:c r="R277" s="2" t="str">
        <x:f>IF(AND(Q277=1,P277&lt;='Dashboard'!$B$5),IF(P277&gt;B277,"Accepted late","Accepted"),IF(B277&lt;'Dashboard'!$B$5,"Overdue",IF(I277="Blocked","Blocked",IF(B277='Dashboard'!$B$5,"Due today","Planned"))))</x:f>
        <x:v>Planned</x:v>
      </x:c>
      <x:c r="S277" s="26" t="str">
        <x:f>IF(I277="Accepted",IF(K277="","Add evidence",IF(O277="","Add reviewer",IF(P277="","Add accepted date",IF(AND(ISNUMBER(F277),COUNT(G277)=0),"Add actual quantity",IF(Q277=0,"Review target / date / dependencies","Complete"))))),IF(OR(I277="Blocked",I277="Deferred"),IF(L277="","Record blocker / reason",IF(M277="","Assign rescue owner",IF(N277="","Set recovery date","Recovery assigned"))),IF(B277&lt;'Dashboard'!$B$5,"Escalate and record recovery","Work to acceptance standard")))</x:f>
        <x:v>Work to acceptance standard</x:v>
      </x:c>
      <x:c r="T277" s="26" t="str">
        <x:v>T0013; T0055</x:v>
      </x:c>
      <x:c r="U27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77" s="31" t="n">
        <x:v>4</x:v>
      </x:c>
      <x:c r="W277" s="26" t="str"/>
      <x:c r="X277" s="26" t="str">
        <x:v>DSI Reset PDF: lane responsibilities and dated runbook; dated allocation proposed for this tracker.</x:v>
      </x:c>
      <x:c r="Y277" s="30" t="n">
        <x:f>B277-WEEKDAY(B277,2)+1</x:f>
        <x:v>46349</x:v>
      </x:c>
      <x:c r="Z277" s="2" t="str">
        <x:v>capacity</x:v>
      </x:c>
      <x:c r="AA277" s="2" t="n">
        <x:f>IF(Q277=1,IF(P277&gt;B277,1,0),0)</x:f>
        <x:v>0</x:v>
      </x:c>
      <x:c r="AB277" s="2" t="n">
        <x:f>IF(AND(Q277=1,P277&lt;='Dashboard'!$B$5),0,MAX(0,'Dashboard'!$B$5-B277))</x:f>
        <x:v>0</x:v>
      </x:c>
      <x:c r="AC277" s="28" t="str"/>
      <x:c r="AD277" s="2" t="str">
        <x:f>IF(AND(ISNUMBER(F277),ISNUMBER(G277)),G277-F277,"")</x:f>
      </x:c>
      <x:c r="AE277" s="2" t="n">
        <x:f>IF(AND(I277="Accepted",K277&lt;&gt;"",O277&lt;&gt;"",ISNUMBER(P277),P277&gt;0,P277&lt;='Dashboard'!$B$5,IF(ISNUMBER(F277),ISNUMBER(G277),TRUE),IF(ISNUMBER(F277),OR(G277&gt;=F277,AC277&lt;&gt;""),TRUE)),1,0)</x:f>
        <x:v>0</x:v>
      </x:c>
    </x:row>
    <x:row r="278" ht="58" customHeight="1">
      <x:c r="A278" s="2" t="str">
        <x:v>T0462</x:v>
      </x:c>
      <x:c r="B278" s="30" t="n">
        <x:v>46349</x:v>
      </x:c>
      <x:c r="C278" s="2" t="str">
        <x:v>Nic</x:v>
      </x:c>
      <x:c r="D278" s="2" t="str">
        <x:v>Client dependency</x:v>
      </x:c>
      <x:c r="E278" s="26" t="str">
        <x:v>Call outcome/next step for every appointment due; first-case decisions</x:v>
      </x:c>
      <x:c r="F278" s="2" t="str"/>
      <x:c r="G278" s="20"/>
      <x:c r="H278" s="2" t="str">
        <x:v>all due appointments</x:v>
      </x:c>
      <x:c r="I278" s="20" t="str">
        <x:v>Ready</x:v>
      </x:c>
      <x:c r="J278" s="2" t="str">
        <x:v>16:45</x:v>
      </x:c>
      <x:c r="K278" s="28" t="str"/>
      <x:c r="L278" s="28" t="str"/>
      <x:c r="M278" s="20" t="str"/>
      <x:c r="N278" s="33"/>
      <x:c r="O278" s="20" t="str"/>
      <x:c r="P278" s="33"/>
      <x:c r="Q278" s="2" t="n">
        <x:f>IF(AND(AE278=1,COUNTIFS($A$7:$A$500,"T0028",$AE$7:$AE$500,1)=1),1,0)</x:f>
        <x:v>0</x:v>
      </x:c>
      <x:c r="R278" s="2" t="str">
        <x:f>IF(AND(Q278=1,P278&lt;='Dashboard'!$B$5),IF(P278&gt;B278,"Accepted late","Accepted"),IF(B278&lt;'Dashboard'!$B$5,"Overdue",IF(I278="Blocked","Blocked",IF(B278='Dashboard'!$B$5,"Due today","Planned"))))</x:f>
        <x:v>Planned</x:v>
      </x:c>
      <x:c r="S278" s="26" t="str">
        <x:f>IF(I278="Accepted",IF(K278="","Add evidence",IF(O278="","Add reviewer",IF(P278="","Add accepted date",IF(AND(ISNUMBER(F278),COUNT(G278)=0),"Add actual quantity",IF(Q278=0,"Review target / date / dependencies","Complete"))))),IF(OR(I278="Blocked",I278="Deferred"),IF(L278="","Record blocker / reason",IF(M278="","Assign rescue owner",IF(N278="","Set recovery date","Recovery assigned"))),IF(B278&lt;'Dashboard'!$B$5,"Escalate and record recovery","Work to acceptance standard")))</x:f>
        <x:v>Work to acceptance standard</x:v>
      </x:c>
      <x:c r="T278" s="26" t="str">
        <x:v>T0028</x:v>
      </x:c>
      <x:c r="U278" s="26" t="str">
        <x:v>Demand-linked: work actual approved calendar; setter brief present; outcome logged same day. No calls scheduled is N/A with calendar evidence.</x:v>
      </x:c>
      <x:c r="V278" s="31" t="n">
        <x:v>0.5</x:v>
      </x:c>
      <x:c r="W278" s="26" t="str"/>
      <x:c r="X278" s="26" t="str">
        <x:v>DSI Reset PDF: lane responsibilities and dated runbook; dated allocation proposed for this tracker.</x:v>
      </x:c>
      <x:c r="Y278" s="30" t="n">
        <x:f>B278-WEEKDAY(B278,2)+1</x:f>
        <x:v>46349</x:v>
      </x:c>
      <x:c r="Z278" s="2" t="str">
        <x:v>demand</x:v>
      </x:c>
      <x:c r="AA278" s="2" t="n">
        <x:f>IF(Q278=1,IF(P278&gt;B278,1,0),0)</x:f>
        <x:v>0</x:v>
      </x:c>
      <x:c r="AB278" s="2" t="n">
        <x:f>IF(AND(Q278=1,P278&lt;='Dashboard'!$B$5),0,MAX(0,'Dashboard'!$B$5-B278))</x:f>
        <x:v>0</x:v>
      </x:c>
      <x:c r="AC278" s="28" t="str"/>
      <x:c r="AD278" s="2" t="str">
        <x:f>IF(AND(ISNUMBER(F278),ISNUMBER(G278)),G278-F278,"")</x:f>
      </x:c>
      <x:c r="AE278" s="2" t="n">
        <x:f>IF(AND(I278="Accepted",K278&lt;&gt;"",O278&lt;&gt;"",ISNUMBER(P278),P278&gt;0,P278&lt;='Dashboard'!$B$5,IF(ISNUMBER(F278),ISNUMBER(G278),TRUE)),1,0)</x:f>
        <x:v>0</x:v>
      </x:c>
    </x:row>
    <x:row r="279" ht="58" customHeight="1">
      <x:c r="A279" s="2" t="str">
        <x:v>T0463</x:v>
      </x:c>
      <x:c r="B279" s="30" t="n">
        <x:v>46349</x:v>
      </x:c>
      <x:c r="C279" s="2" t="str">
        <x:v>Maseeha</x:v>
      </x:c>
      <x:c r="D279" s="2" t="str">
        <x:v>Client dependency</x:v>
      </x:c>
      <x:c r="E279" s="26" t="str">
        <x:v>Due intro verification; kit/case handoff; delivery/Day-30 dates; credit trigger log. Planned asks today: 2 unique existing accounts; cumulative 37.</x:v>
      </x:c>
      <x:c r="F279" s="2" t="str"/>
      <x:c r="G279" s="20"/>
      <x:c r="H279" s="2" t="str">
        <x:v>all due cases</x:v>
      </x:c>
      <x:c r="I279" s="20" t="str">
        <x:v>Ready</x:v>
      </x:c>
      <x:c r="J279" s="2" t="str">
        <x:v>16:45</x:v>
      </x:c>
      <x:c r="K279" s="28" t="str"/>
      <x:c r="L279" s="28" t="str"/>
      <x:c r="M279" s="20" t="str"/>
      <x:c r="N279" s="33"/>
      <x:c r="O279" s="20" t="str"/>
      <x:c r="P279" s="33"/>
      <x:c r="Q279" s="2" t="n">
        <x:f>IF(AND(AE279=1,COUNTIFS($A$7:$A$500,"T0028",$AE$7:$AE$500,1)=1),1,0)</x:f>
        <x:v>0</x:v>
      </x:c>
      <x:c r="R279" s="2" t="str">
        <x:f>IF(AND(Q279=1,P279&lt;='Dashboard'!$B$5),IF(P279&gt;B279,"Accepted late","Accepted"),IF(B279&lt;'Dashboard'!$B$5,"Overdue",IF(I279="Blocked","Blocked",IF(B279='Dashboard'!$B$5,"Due today","Planned"))))</x:f>
        <x:v>Planned</x:v>
      </x:c>
      <x:c r="S279" s="26" t="str">
        <x:f>IF(I279="Accepted",IF(K279="","Add evidence",IF(O279="","Add reviewer",IF(P279="","Add accepted date",IF(AND(ISNUMBER(F279),COUNT(G279)=0),"Add actual quantity",IF(Q279=0,"Review target / date / dependencies","Complete"))))),IF(OR(I279="Blocked",I279="Deferred"),IF(L279="","Record blocker / reason",IF(M279="","Assign rescue owner",IF(N279="","Set recovery date","Recovery assigned"))),IF(B279&lt;'Dashboard'!$B$5,"Escalate and record recovery","Work to acceptance standard")))</x:f>
        <x:v>Work to acceptance standard</x:v>
      </x:c>
      <x:c r="T279" s="26" t="str">
        <x:v>T0028</x:v>
      </x:c>
      <x:c r="U279" s="26" t="str">
        <x:v>Demand-linked: referral verification&lt;=2 business days; trial capacity respected; $200 credit only on eligible invoice paid.</x:v>
      </x:c>
      <x:c r="V279" s="31" t="n">
        <x:v>0.5</x:v>
      </x:c>
      <x:c r="W279" s="26" t="str"/>
      <x:c r="X279" s="26" t="str">
        <x:v>DSI Reset PDF: lane responsibilities and dated runbook; dated allocation proposed for this tracker.</x:v>
      </x:c>
      <x:c r="Y279" s="30" t="n">
        <x:f>B279-WEEKDAY(B279,2)+1</x:f>
        <x:v>46349</x:v>
      </x:c>
      <x:c r="Z279" s="2" t="str">
        <x:v>demand</x:v>
      </x:c>
      <x:c r="AA279" s="2" t="n">
        <x:f>IF(Q279=1,IF(P279&gt;B279,1,0),0)</x:f>
        <x:v>0</x:v>
      </x:c>
      <x:c r="AB279" s="2" t="n">
        <x:f>IF(AND(Q279=1,P279&lt;='Dashboard'!$B$5),0,MAX(0,'Dashboard'!$B$5-B279))</x:f>
        <x:v>0</x:v>
      </x:c>
      <x:c r="AC279" s="28" t="str"/>
      <x:c r="AD279" s="2" t="str">
        <x:f>IF(AND(ISNUMBER(F279),ISNUMBER(G279)),G279-F279,"")</x:f>
      </x:c>
      <x:c r="AE279" s="2" t="n">
        <x:f>IF(AND(I279="Accepted",K279&lt;&gt;"",O279&lt;&gt;"",ISNUMBER(P279),P279&gt;0,P279&lt;='Dashboard'!$B$5,IF(ISNUMBER(F279),ISNUMBER(G279),TRUE)),1,0)</x:f>
        <x:v>0</x:v>
      </x:c>
    </x:row>
    <x:row r="280" ht="58" customHeight="1">
      <x:c r="A280" s="2" t="str">
        <x:v>T0240</x:v>
      </x:c>
      <x:c r="B280" s="30" t="n">
        <x:v>46350</x:v>
      </x:c>
      <x:c r="C280" s="2" t="str">
        <x:v>Wyline</x:v>
      </x:c>
      <x:c r="D280" s="2" t="str">
        <x:v>Program Director</x:v>
      </x:c>
      <x:c r="E280" s="26" t="str">
        <x:v>Accepted-output register; actual-vs-target dashboard; blocker/rescue assignments</x:v>
      </x:c>
      <x:c r="F280" s="2" t="n">
        <x:v>1</x:v>
      </x:c>
      <x:c r="G280" s="20"/>
      <x:c r="H280" s="2" t="str">
        <x:v>accepted output</x:v>
      </x:c>
      <x:c r="I280" s="20" t="str">
        <x:v>Ready</x:v>
      </x:c>
      <x:c r="J280" s="2" t="str">
        <x:v>16:45</x:v>
      </x:c>
      <x:c r="K280" s="28" t="str"/>
      <x:c r="L280" s="28" t="str"/>
      <x:c r="M280" s="20" t="str"/>
      <x:c r="N280" s="33"/>
      <x:c r="O280" s="20" t="str"/>
      <x:c r="P280" s="33"/>
      <x:c r="Q280" s="2" t="n">
        <x:f>IF(AND(AE280=1,COUNTIFS($A$7:$A$500,"T0067",$AE$7:$AE$500,1)=1,COUNTIFS($A$7:$A$500,"T0055",$AE$7:$AE$500,1)=1),1,0)</x:f>
        <x:v>0</x:v>
      </x:c>
      <x:c r="R280" s="2" t="str">
        <x:f>IF(AND(Q280=1,P280&lt;='Dashboard'!$B$5),IF(P280&gt;B280,"Accepted late","Accepted"),IF(B280&lt;'Dashboard'!$B$5,"Overdue",IF(I280="Blocked","Blocked",IF(B280='Dashboard'!$B$5,"Due today","Planned"))))</x:f>
        <x:v>Planned</x:v>
      </x:c>
      <x:c r="S280" s="26" t="str">
        <x:f>IF(I280="Accepted",IF(K280="","Add evidence",IF(O280="","Add reviewer",IF(P280="","Add accepted date",IF(AND(ISNUMBER(F280),COUNT(G280)=0),"Add actual quantity",IF(Q280=0,"Review target / date / dependencies","Complete"))))),IF(OR(I280="Blocked",I280="Deferred"),IF(L280="","Record blocker / reason",IF(M280="","Assign rescue owner",IF(N280="","Set recovery date","Recovery assigned"))),IF(B280&lt;'Dashboard'!$B$5,"Escalate and record recovery","Work to acceptance standard")))</x:f>
        <x:v>Work to acceptance standard</x:v>
      </x:c>
      <x:c r="T280" s="26" t="str">
        <x:v>T0067</x:v>
      </x:c>
      <x:c r="U280" s="26" t="str">
        <x:v>09:00 standup; 13:00/16:30 recovery checks; 17:00 acceptance. Every overdue task keeps original date and named recovery owner.</x:v>
      </x:c>
      <x:c r="V280" s="31" t="n">
        <x:v>2</x:v>
      </x:c>
      <x:c r="W280" s="26" t="str"/>
      <x:c r="X280" s="26" t="str">
        <x:v>DSI Reset PDF: lane responsibilities and dated runbook; dated allocation proposed for this tracker.</x:v>
      </x:c>
      <x:c r="Y280" s="30" t="n">
        <x:f>B280-WEEKDAY(B280,2)+1</x:f>
        <x:v>46349</x:v>
      </x:c>
      <x:c r="Z280" s="2" t="str">
        <x:v>checklist</x:v>
      </x:c>
      <x:c r="AA280" s="2" t="n">
        <x:f>IF(Q280=1,IF(P280&gt;B280,1,0),0)</x:f>
        <x:v>0</x:v>
      </x:c>
      <x:c r="AB280" s="2" t="n">
        <x:f>IF(AND(Q280=1,P280&lt;='Dashboard'!$B$5),0,MAX(0,'Dashboard'!$B$5-B280))</x:f>
        <x:v>0</x:v>
      </x:c>
      <x:c r="AC280" s="28" t="str"/>
      <x:c r="AD280" s="2" t="str">
        <x:f>IF(AND(ISNUMBER(F280),ISNUMBER(G280)),G280-F280,"")</x:f>
      </x:c>
      <x:c r="AE280" s="2" t="n">
        <x:f>IF(AND(I280="Accepted",K280&lt;&gt;"",O280&lt;&gt;"",ISNUMBER(P280),P280&gt;0,P280&lt;='Dashboard'!$B$5,IF(ISNUMBER(F280),ISNUMBER(G280),TRUE),IF(ISNUMBER(F280),G280&gt;=F280,TRUE)),1,0)</x:f>
        <x:v>0</x:v>
      </x:c>
    </x:row>
    <x:row r="281" ht="58" customHeight="1">
      <x:c r="A281" s="2" t="str">
        <x:v>T0241</x:v>
      </x:c>
      <x:c r="B281" s="30" t="n">
        <x:v>46350</x:v>
      </x:c>
      <x:c r="C281" s="2" t="str">
        <x:v>Kenneth</x:v>
      </x:c>
      <x:c r="D281" s="2" t="str">
        <x:v>Message Orchestrator</x:v>
      </x:c>
      <x:c r="E281" s="26" t="str">
        <x:v>Human-reply insights; 5 Inbox draft checks; approved first lines; claim exceptions</x:v>
      </x:c>
      <x:c r="F281" s="2" t="n">
        <x:v>1</x:v>
      </x:c>
      <x:c r="G281" s="20"/>
      <x:c r="H281" s="2" t="str">
        <x:v>accepted output</x:v>
      </x:c>
      <x:c r="I281" s="20" t="str">
        <x:v>Ready</x:v>
      </x:c>
      <x:c r="J281" s="2" t="str">
        <x:v>16:45</x:v>
      </x:c>
      <x:c r="K281" s="28" t="str"/>
      <x:c r="L281" s="28" t="str"/>
      <x:c r="M281" s="20" t="str"/>
      <x:c r="N281" s="33"/>
      <x:c r="O281" s="20" t="str"/>
      <x:c r="P281" s="33"/>
      <x:c r="Q281" s="2" t="n">
        <x:f>IF(AND(AE281=1,COUNTIFS($A$7:$A$500,"T0067",$AE$7:$AE$500,1)=1,COUNTIFS($A$7:$A$500,"T0055",$AE$7:$AE$500,1)=1),1,0)</x:f>
        <x:v>0</x:v>
      </x:c>
      <x:c r="R281" s="2" t="str">
        <x:f>IF(AND(Q281=1,P281&lt;='Dashboard'!$B$5),IF(P281&gt;B281,"Accepted late","Accepted"),IF(B281&lt;'Dashboard'!$B$5,"Overdue",IF(I281="Blocked","Blocked",IF(B281='Dashboard'!$B$5,"Due today","Planned"))))</x:f>
        <x:v>Planned</x:v>
      </x:c>
      <x:c r="S281" s="26" t="str">
        <x:f>IF(I281="Accepted",IF(K281="","Add evidence",IF(O281="","Add reviewer",IF(P281="","Add accepted date",IF(AND(ISNUMBER(F281),COUNT(G281)=0),"Add actual quantity",IF(Q281=0,"Review target / date / dependencies","Complete"))))),IF(OR(I281="Blocked",I281="Deferred"),IF(L281="","Record blocker / reason",IF(M281="","Assign rescue owner",IF(N281="","Set recovery date","Recovery assigned"))),IF(B281&lt;'Dashboard'!$B$5,"Escalate and record recovery","Work to acceptance standard")))</x:f>
        <x:v>Work to acceptance standard</x:v>
      </x:c>
      <x:c r="T281" s="26" t="str">
        <x:v>T0067</x:v>
      </x:c>
      <x:c r="U281" s="26" t="str">
        <x:v>Zero invented claims. If any draft fails facts, stop drafting/retrain; no offer change without approval.</x:v>
      </x:c>
      <x:c r="V281" s="31" t="n">
        <x:v>1.5</x:v>
      </x:c>
      <x:c r="W281" s="26" t="str"/>
      <x:c r="X281" s="26" t="str">
        <x:v>DSI Reset PDF: lane responsibilities and dated runbook; dated allocation proposed for this tracker.</x:v>
      </x:c>
      <x:c r="Y281" s="30" t="n">
        <x:f>B281-WEEKDAY(B281,2)+1</x:f>
        <x:v>46349</x:v>
      </x:c>
      <x:c r="Z281" s="2" t="str">
        <x:v>checklist</x:v>
      </x:c>
      <x:c r="AA281" s="2" t="n">
        <x:f>IF(Q281=1,IF(P281&gt;B281,1,0),0)</x:f>
        <x:v>0</x:v>
      </x:c>
      <x:c r="AB281" s="2" t="n">
        <x:f>IF(AND(Q281=1,P281&lt;='Dashboard'!$B$5),0,MAX(0,'Dashboard'!$B$5-B281))</x:f>
        <x:v>0</x:v>
      </x:c>
      <x:c r="AC281" s="28" t="str"/>
      <x:c r="AD281" s="2" t="str">
        <x:f>IF(AND(ISNUMBER(F281),ISNUMBER(G281)),G281-F281,"")</x:f>
      </x:c>
      <x:c r="AE281" s="2" t="n">
        <x:f>IF(AND(I281="Accepted",K281&lt;&gt;"",O281&lt;&gt;"",ISNUMBER(P281),P281&gt;0,P281&lt;='Dashboard'!$B$5,IF(ISNUMBER(F281),ISNUMBER(G281),TRUE),IF(ISNUMBER(F281),G281&gt;=F281,TRUE)),1,0)</x:f>
        <x:v>0</x:v>
      </x:c>
    </x:row>
    <x:row r="282" ht="58" customHeight="1">
      <x:c r="A282" s="2" t="str">
        <x:v>T0242</x:v>
      </x:c>
      <x:c r="B282" s="30" t="n">
        <x:v>46350</x:v>
      </x:c>
      <x:c r="C282" s="2" t="str">
        <x:v>Joey</x:v>
      </x:c>
      <x:c r="D282" s="2" t="str">
        <x:v>Data Orchestrator</x:v>
      </x:c>
      <x:c r="E282" s="26" t="str">
        <x:v>Mailbox/bounce/suppression log; ready verified records; due-follow up versus new-send capacity plan.</x:v>
      </x:c>
      <x:c r="F282" s="2" t="n">
        <x:v>1</x:v>
      </x:c>
      <x:c r="G282" s="20"/>
      <x:c r="H282" s="2" t="str">
        <x:v>verified queue and health check</x:v>
      </x:c>
      <x:c r="I282" s="20" t="str">
        <x:v>Ready</x:v>
      </x:c>
      <x:c r="J282" s="2" t="str">
        <x:v>16:45</x:v>
      </x:c>
      <x:c r="K282" s="28" t="str"/>
      <x:c r="L282" s="28" t="str"/>
      <x:c r="M282" s="20" t="str"/>
      <x:c r="N282" s="33"/>
      <x:c r="O282" s="20" t="str"/>
      <x:c r="P282" s="33"/>
      <x:c r="Q282" s="2" t="n">
        <x:f>IF(AND(AE282=1,COUNTIFS($A$7:$A$500,"T0067",$AE$7:$AE$500,1)=1,COUNTIFS($A$7:$A$500,"T0055",$AE$7:$AE$500,1)=1),1,0)</x:f>
        <x:v>0</x:v>
      </x:c>
      <x:c r="R282" s="2" t="str">
        <x:f>IF(AND(Q282=1,P282&lt;='Dashboard'!$B$5),IF(P282&gt;B282,"Accepted late","Accepted"),IF(B282&lt;'Dashboard'!$B$5,"Overdue",IF(I282="Blocked","Blocked",IF(B282='Dashboard'!$B$5,"Due today","Planned"))))</x:f>
        <x:v>Planned</x:v>
      </x:c>
      <x:c r="S282" s="26" t="str">
        <x:f>IF(I282="Accepted",IF(K282="","Add evidence",IF(O282="","Add reviewer",IF(P282="","Add accepted date",IF(AND(ISNUMBER(F282),COUNT(G282)=0),"Add actual quantity",IF(Q282=0,"Review target / date / dependencies","Complete"))))),IF(OR(I282="Blocked",I282="Deferred"),IF(L282="","Record blocker / reason",IF(M282="","Assign rescue owner",IF(N282="","Set recovery date","Recovery assigned"))),IF(B282&lt;'Dashboard'!$B$5,"Escalate and record recovery","Work to acceptance standard")))</x:f>
        <x:v>Work to acceptance standard</x:v>
      </x:c>
      <x:c r="T282" s="26" t="str">
        <x:v>T0067</x:v>
      </x:c>
      <x:c r="U282" s="26" t="str">
        <x:v>Planning pool addition 0 contacts today; quality gate wins over quota. Total sends&lt;=150/day;&gt;3% bounce affected mailbox held. No new cold enrollments on reduced/buffer days.</x:v>
      </x:c>
      <x:c r="V282" s="31" t="n">
        <x:v>2</x:v>
      </x:c>
      <x:c r="W282" s="26" t="str"/>
      <x:c r="X282" s="26" t="str">
        <x:v>DSI Reset PDF: lane responsibilities and dated runbook; dated allocation proposed for this tracker.</x:v>
      </x:c>
      <x:c r="Y282" s="30" t="n">
        <x:f>B282-WEEKDAY(B282,2)+1</x:f>
        <x:v>46349</x:v>
      </x:c>
      <x:c r="Z282" s="2" t="str">
        <x:v>checklist</x:v>
      </x:c>
      <x:c r="AA282" s="2" t="n">
        <x:f>IF(Q282=1,IF(P282&gt;B282,1,0),0)</x:f>
        <x:v>0</x:v>
      </x:c>
      <x:c r="AB282" s="2" t="n">
        <x:f>IF(AND(Q282=1,P282&lt;='Dashboard'!$B$5),0,MAX(0,'Dashboard'!$B$5-B282))</x:f>
        <x:v>0</x:v>
      </x:c>
      <x:c r="AC282" s="28" t="str"/>
      <x:c r="AD282" s="2" t="str">
        <x:f>IF(AND(ISNUMBER(F282),ISNUMBER(G282)),G282-F282,"")</x:f>
      </x:c>
      <x:c r="AE282" s="2" t="n">
        <x:f>IF(AND(I282="Accepted",K282&lt;&gt;"",O282&lt;&gt;"",ISNUMBER(P282),P282&gt;0,P282&lt;='Dashboard'!$B$5,IF(ISNUMBER(F282),ISNUMBER(G282),TRUE),IF(ISNUMBER(F282),G282&gt;=F282,TRUE)),1,0)</x:f>
        <x:v>0</x:v>
      </x:c>
    </x:row>
    <x:row r="283" ht="58" customHeight="1">
      <x:c r="A283" s="2" t="str">
        <x:v>T0243</x:v>
      </x:c>
      <x:c r="B283" s="30" t="n">
        <x:v>46350</x:v>
      </x:c>
      <x:c r="C283" s="2" t="str">
        <x:v>Nova</x:v>
      </x:c>
      <x:c r="D283" s="2" t="str">
        <x:v>Conversion Orchestrator</x:v>
      </x:c>
      <x:c r="E283" s="26" t="str">
        <x:v>Coverage/SLA evidence; 2 call reviews; booked/held updates; next-step and trial handoffs. Log each unique qualified inquiry with practice type, decision-maker access, case volume, service need and readiness timing.</x:v>
      </x:c>
      <x:c r="F283" s="2" t="n">
        <x:v>1</x:v>
      </x:c>
      <x:c r="G283" s="20"/>
      <x:c r="H283" s="2" t="str">
        <x:v>accepted output</x:v>
      </x:c>
      <x:c r="I283" s="20" t="str">
        <x:v>Ready</x:v>
      </x:c>
      <x:c r="J283" s="2" t="str">
        <x:v>16:45</x:v>
      </x:c>
      <x:c r="K283" s="28" t="str"/>
      <x:c r="L283" s="28" t="str"/>
      <x:c r="M283" s="20" t="str"/>
      <x:c r="N283" s="33"/>
      <x:c r="O283" s="20" t="str"/>
      <x:c r="P283" s="33"/>
      <x:c r="Q283" s="2" t="n">
        <x:f>IF(AND(AE283=1,COUNTIFS($A$7:$A$500,"T0067",$AE$7:$AE$500,1)=1,COUNTIFS($A$7:$A$500,"T0055",$AE$7:$AE$500,1)=1),1,0)</x:f>
        <x:v>0</x:v>
      </x:c>
      <x:c r="R283" s="2" t="str">
        <x:f>IF(AND(Q283=1,P283&lt;='Dashboard'!$B$5),IF(P283&gt;B283,"Accepted late","Accepted"),IF(B283&lt;'Dashboard'!$B$5,"Overdue",IF(I283="Blocked","Blocked",IF(B283='Dashboard'!$B$5,"Due today","Planned"))))</x:f>
        <x:v>Planned</x:v>
      </x:c>
      <x:c r="S283" s="26" t="str">
        <x:f>IF(I283="Accepted",IF(K283="","Add evidence",IF(O283="","Add reviewer",IF(P283="","Add accepted date",IF(AND(ISNUMBER(F283),COUNT(G283)=0),"Add actual quantity",IF(Q283=0,"Review target / date / dependencies","Complete"))))),IF(OR(I283="Blocked",I283="Deferred"),IF(L283="","Record blocker / reason",IF(M283="","Assign rescue owner",IF(N283="","Set recovery date","Recovery assigned"))),IF(B283&lt;'Dashboard'!$B$5,"Escalate and record recovery","Work to acceptance standard")))</x:f>
        <x:v>Work to acceptance standard</x:v>
      </x:c>
      <x:c r="T283" s="26" t="str">
        <x:v>T0067</x:v>
      </x:c>
      <x:c r="U283" s="26" t="str">
        <x:v>Every eligible reply&lt;=15 min; positive call&lt;=60 min; no opportunity without next step; booked brief to Nic; trial logistics to Maseeha. Raw contacts, opens and accepts never count as qualified inquiries; deduplicate across channels.</x:v>
      </x:c>
      <x:c r="V283" s="31" t="n">
        <x:v>3</x:v>
      </x:c>
      <x:c r="W283" s="26" t="str"/>
      <x:c r="X283" s="26" t="str">
        <x:v>DSI Reset PDF: lane responsibilities and dated runbook; dated allocation proposed for this tracker.</x:v>
      </x:c>
      <x:c r="Y283" s="30" t="n">
        <x:f>B283-WEEKDAY(B283,2)+1</x:f>
        <x:v>46349</x:v>
      </x:c>
      <x:c r="Z283" s="2" t="str">
        <x:v>checklist</x:v>
      </x:c>
      <x:c r="AA283" s="2" t="n">
        <x:f>IF(Q283=1,IF(P283&gt;B283,1,0),0)</x:f>
        <x:v>0</x:v>
      </x:c>
      <x:c r="AB283" s="2" t="n">
        <x:f>IF(AND(Q283=1,P283&lt;='Dashboard'!$B$5),0,MAX(0,'Dashboard'!$B$5-B283))</x:f>
        <x:v>0</x:v>
      </x:c>
      <x:c r="AC283" s="28" t="str"/>
      <x:c r="AD283" s="2" t="str">
        <x:f>IF(AND(ISNUMBER(F283),ISNUMBER(G283)),G283-F283,"")</x:f>
      </x:c>
      <x:c r="AE283" s="2" t="n">
        <x:f>IF(AND(I283="Accepted",K283&lt;&gt;"",O283&lt;&gt;"",ISNUMBER(P283),P283&gt;0,P283&lt;='Dashboard'!$B$5,IF(ISNUMBER(F283),ISNUMBER(G283),TRUE),IF(ISNUMBER(F283),G283&gt;=F283,TRUE)),1,0)</x:f>
        <x:v>0</x:v>
      </x:c>
    </x:row>
    <x:row r="284" ht="58" customHeight="1">
      <x:c r="A284" s="2" t="str">
        <x:v>T0244</x:v>
      </x:c>
      <x:c r="B284" s="30" t="n">
        <x:v>46350</x:v>
      </x:c>
      <x:c r="C284" s="2" t="str">
        <x:v>Emman</x:v>
      </x:c>
      <x:c r="D284" s="2" t="str">
        <x:v>AI Build Orchestrator</x:v>
      </x:c>
      <x:c r="E284" s="26" t="str">
        <x:v>Health/retry log; one acceptance-backed build increment; updated change log</x:v>
      </x:c>
      <x:c r="F284" s="2" t="n">
        <x:v>1</x:v>
      </x:c>
      <x:c r="G284" s="20"/>
      <x:c r="H284" s="2" t="str">
        <x:v>accepted output</x:v>
      </x:c>
      <x:c r="I284" s="20" t="str">
        <x:v>Ready</x:v>
      </x:c>
      <x:c r="J284" s="2" t="str">
        <x:v>16:45</x:v>
      </x:c>
      <x:c r="K284" s="28" t="str"/>
      <x:c r="L284" s="28" t="str"/>
      <x:c r="M284" s="20" t="str"/>
      <x:c r="N284" s="33"/>
      <x:c r="O284" s="20" t="str"/>
      <x:c r="P284" s="33"/>
      <x:c r="Q284" s="2" t="n">
        <x:f>IF(AND(AE284=1,COUNTIFS($A$7:$A$500,"T0067",$AE$7:$AE$500,1)=1,COUNTIFS($A$7:$A$500,"T0055",$AE$7:$AE$500,1)=1),1,0)</x:f>
        <x:v>0</x:v>
      </x:c>
      <x:c r="R284" s="2" t="str">
        <x:f>IF(AND(Q284=1,P284&lt;='Dashboard'!$B$5),IF(P284&gt;B284,"Accepted late","Accepted"),IF(B284&lt;'Dashboard'!$B$5,"Overdue",IF(I284="Blocked","Blocked",IF(B284='Dashboard'!$B$5,"Due today","Planned"))))</x:f>
        <x:v>Planned</x:v>
      </x:c>
      <x:c r="S284" s="26" t="str">
        <x:f>IF(I284="Accepted",IF(K284="","Add evidence",IF(O284="","Add reviewer",IF(P284="","Add accepted date",IF(AND(ISNUMBER(F284),COUNT(G284)=0),"Add actual quantity",IF(Q284=0,"Review target / date / dependencies","Complete"))))),IF(OR(I284="Blocked",I284="Deferred"),IF(L284="","Record blocker / reason",IF(M284="","Assign rescue owner",IF(N284="","Set recovery date","Recovery assigned"))),IF(B284&lt;'Dashboard'!$B$5,"Escalate and record recovery","Work to acceptance standard")))</x:f>
        <x:v>Work to acceptance standard</x:v>
      </x:c>
      <x:c r="T284" s="26" t="str">
        <x:v>T0067</x:v>
      </x:c>
      <x:c r="U284" s="26" t="str">
        <x:v>Fix a failing live agent beforestarting the next build. If an agent is still not working 48 hours after its due date, activate the manual SOP. Roll back a live failure within 1 hour. Release build reserve when no approved work remains.</x:v>
      </x:c>
      <x:c r="V284" s="31" t="n">
        <x:v>3</x:v>
      </x:c>
      <x:c r="W284" s="26" t="str"/>
      <x:c r="X284" s="26" t="str">
        <x:v>DSI Reset PDF: lane responsibilities and dated runbook; dated allocation proposed for this tracker.</x:v>
      </x:c>
      <x:c r="Y284" s="30" t="n">
        <x:f>B284-WEEKDAY(B284,2)+1</x:f>
        <x:v>46349</x:v>
      </x:c>
      <x:c r="Z284" s="2" t="str">
        <x:v>checklist</x:v>
      </x:c>
      <x:c r="AA284" s="2" t="n">
        <x:f>IF(Q284=1,IF(P284&gt;B284,1,0),0)</x:f>
        <x:v>0</x:v>
      </x:c>
      <x:c r="AB284" s="2" t="n">
        <x:f>IF(AND(Q284=1,P284&lt;='Dashboard'!$B$5),0,MAX(0,'Dashboard'!$B$5-B284))</x:f>
        <x:v>0</x:v>
      </x:c>
      <x:c r="AC284" s="28" t="str"/>
      <x:c r="AD284" s="2" t="str">
        <x:f>IF(AND(ISNUMBER(F284),ISNUMBER(G284)),G284-F284,"")</x:f>
      </x:c>
      <x:c r="AE284" s="2" t="n">
        <x:f>IF(AND(I284="Accepted",K284&lt;&gt;"",O284&lt;&gt;"",ISNUMBER(P284),P284&gt;0,P284&lt;='Dashboard'!$B$5,IF(ISNUMBER(F284),ISNUMBER(G284),TRUE),IF(ISNUMBER(F284),G284&gt;=F284,TRUE)),1,0)</x:f>
        <x:v>0</x:v>
      </x:c>
    </x:row>
    <x:row r="285" ht="58" customHeight="1">
      <x:c r="A285" s="2" t="str">
        <x:v>T0245</x:v>
      </x:c>
      <x:c r="B285" s="30" t="n">
        <x:v>46350</x:v>
      </x:c>
      <x:c r="C285" s="2" t="str">
        <x:v>Ludwig</x:v>
      </x:c>
      <x:c r="D285" s="2" t="str">
        <x:v>Integration Engineer</x:v>
      </x:c>
      <x:c r="E285" s="26" t="str">
        <x:v>Webhook/error/dead-letter check; top assigned integration ticket or verified no-ticket note</x:v>
      </x:c>
      <x:c r="F285" s="2" t="n">
        <x:v>1</x:v>
      </x:c>
      <x:c r="G285" s="20"/>
      <x:c r="H285" s="2" t="str">
        <x:v>accepted output</x:v>
      </x:c>
      <x:c r="I285" s="20" t="str">
        <x:v>Ready</x:v>
      </x:c>
      <x:c r="J285" s="2" t="str">
        <x:v>16:45</x:v>
      </x:c>
      <x:c r="K285" s="28" t="str"/>
      <x:c r="L285" s="28" t="str"/>
      <x:c r="M285" s="20" t="str"/>
      <x:c r="N285" s="33"/>
      <x:c r="O285" s="20" t="str"/>
      <x:c r="P285" s="33"/>
      <x:c r="Q285" s="2" t="n">
        <x:f>IF(AND(AE285=1,COUNTIFS($A$7:$A$500,"T0067",$AE$7:$AE$500,1)=1,COUNTIFS($A$7:$A$500,"T0055",$AE$7:$AE$500,1)=1),1,0)</x:f>
        <x:v>0</x:v>
      </x:c>
      <x:c r="R285" s="2" t="str">
        <x:f>IF(AND(Q285=1,P285&lt;='Dashboard'!$B$5),IF(P285&gt;B285,"Accepted late","Accepted"),IF(B285&lt;'Dashboard'!$B$5,"Overdue",IF(I285="Blocked","Blocked",IF(B285='Dashboard'!$B$5,"Due today","Planned"))))</x:f>
        <x:v>Planned</x:v>
      </x:c>
      <x:c r="S285" s="26" t="str">
        <x:f>IF(I285="Accepted",IF(K285="","Add evidence",IF(O285="","Add reviewer",IF(P285="","Add accepted date",IF(AND(ISNUMBER(F285),COUNT(G285)=0),"Add actual quantity",IF(Q285=0,"Review target / date / dependencies","Complete"))))),IF(OR(I285="Blocked",I285="Deferred"),IF(L285="","Record blocker / reason",IF(M285="","Assign rescue owner",IF(N285="","Set recovery date","Recovery assigned"))),IF(B285&lt;'Dashboard'!$B$5,"Escalate and record recovery","Work to acceptance standard")))</x:f>
        <x:v>Work to acceptance standard</x:v>
      </x:c>
      <x:c r="T285" s="26" t="str">
        <x:v>T0067</x:v>
      </x:c>
      <x:c r="U285" s="26" t="str">
        <x:v>Only Emman’s priority queue; 100% test capture; runbook/retry/rollback evidence. If no fault/ticket, release reserve; do not invent work.</x:v>
      </x:c>
      <x:c r="V285" s="31" t="n">
        <x:v>1</x:v>
      </x:c>
      <x:c r="W285" s="26" t="str"/>
      <x:c r="X285" s="26" t="str">
        <x:v>DSI Reset PDF: lane responsibilities and dated runbook; dated allocation proposed for this tracker.</x:v>
      </x:c>
      <x:c r="Y285" s="30" t="n">
        <x:f>B285-WEEKDAY(B285,2)+1</x:f>
        <x:v>46349</x:v>
      </x:c>
      <x:c r="Z285" s="2" t="str">
        <x:v>checklist</x:v>
      </x:c>
      <x:c r="AA285" s="2" t="n">
        <x:f>IF(Q285=1,IF(P285&gt;B285,1,0),0)</x:f>
        <x:v>0</x:v>
      </x:c>
      <x:c r="AB285" s="2" t="n">
        <x:f>IF(AND(Q285=1,P285&lt;='Dashboard'!$B$5),0,MAX(0,'Dashboard'!$B$5-B285))</x:f>
        <x:v>0</x:v>
      </x:c>
      <x:c r="AC285" s="28" t="str"/>
      <x:c r="AD285" s="2" t="str">
        <x:f>IF(AND(ISNUMBER(F285),ISNUMBER(G285)),G285-F285,"")</x:f>
      </x:c>
      <x:c r="AE285" s="2" t="n">
        <x:f>IF(AND(I285="Accepted",K285&lt;&gt;"",O285&lt;&gt;"",ISNUMBER(P285),P285&gt;0,P285&lt;='Dashboard'!$B$5,IF(ISNUMBER(F285),ISNUMBER(G285),TRUE),IF(ISNUMBER(F285),G285&gt;=F285,TRUE)),1,0)</x:f>
        <x:v>0</x:v>
      </x:c>
    </x:row>
    <x:row r="286" ht="58" customHeight="1">
      <x:c r="A286" s="2" t="str">
        <x:v>T0246</x:v>
      </x:c>
      <x:c r="B286" s="30" t="n">
        <x:v>46350</x:v>
      </x:c>
      <x:c r="C286" s="2" t="str">
        <x:v>Alvin</x:v>
      </x:c>
      <x:c r="D286" s="2" t="str">
        <x:v>CQL/GHL Implementation</x:v>
      </x:c>
      <x:c r="E286" s="26" t="str">
        <x:v>Stage/calendar/reminder QA; due workflow fixes; approved post mirrors/evidence Publish approved post SOC10 (Educate); capture the live URL.</x:v>
      </x:c>
      <x:c r="F286" s="2" t="n">
        <x:v>1</x:v>
      </x:c>
      <x:c r="G286" s="20"/>
      <x:c r="H286" s="2" t="str">
        <x:v>accepted output</x:v>
      </x:c>
      <x:c r="I286" s="20" t="str">
        <x:v>Ready</x:v>
      </x:c>
      <x:c r="J286" s="2" t="str">
        <x:v>16:45</x:v>
      </x:c>
      <x:c r="K286" s="28" t="str"/>
      <x:c r="L286" s="28" t="str"/>
      <x:c r="M286" s="20" t="str"/>
      <x:c r="N286" s="33"/>
      <x:c r="O286" s="20" t="str"/>
      <x:c r="P286" s="33"/>
      <x:c r="Q286" s="2" t="n">
        <x:f>IF(AND(AE286=1,COUNTIFS($A$7:$A$500,"T0067",$AE$7:$AE$500,1)=1,COUNTIFS($A$7:$A$500,"T0055",$AE$7:$AE$500,1)=1),1,0)</x:f>
        <x:v>0</x:v>
      </x:c>
      <x:c r="R286" s="2" t="str">
        <x:f>IF(AND(Q286=1,P286&lt;='Dashboard'!$B$5),IF(P286&gt;B286,"Accepted late","Accepted"),IF(B286&lt;'Dashboard'!$B$5,"Overdue",IF(I286="Blocked","Blocked",IF(B286='Dashboard'!$B$5,"Due today","Planned"))))</x:f>
        <x:v>Planned</x:v>
      </x:c>
      <x:c r="S286" s="26" t="str">
        <x:f>IF(I286="Accepted",IF(K286="","Add evidence",IF(O286="","Add reviewer",IF(P286="","Add accepted date",IF(AND(ISNUMBER(F286),COUNT(G286)=0),"Add actual quantity",IF(Q286=0,"Review target / date / dependencies","Complete"))))),IF(OR(I286="Blocked",I286="Deferred"),IF(L286="","Record blocker / reason",IF(M286="","Assign rescue owner",IF(N286="","Set recovery date","Recovery assigned"))),IF(B286&lt;'Dashboard'!$B$5,"Escalate and record recovery","Work to acceptance standard")))</x:f>
        <x:v>Work to acceptance standard</x:v>
      </x:c>
      <x:c r="T286" s="26" t="str">
        <x:v>T0067</x:v>
      </x:c>
      <x:c r="U286" s="26" t="str">
        <x:v>No-show task&lt;=10 min; form/source fields correct; finish critical CRM defect same day. Facebook mirrors exact approved post; Instagram requires permissioned image.</x:v>
      </x:c>
      <x:c r="V286" s="31" t="n">
        <x:v>1.5</x:v>
      </x:c>
      <x:c r="W286" s="26" t="str"/>
      <x:c r="X286" s="26" t="str">
        <x:v>DSI Reset PDF: lane responsibilities and dated runbook; dated allocation proposed for this tracker.</x:v>
      </x:c>
      <x:c r="Y286" s="30" t="n">
        <x:f>B286-WEEKDAY(B286,2)+1</x:f>
        <x:v>46349</x:v>
      </x:c>
      <x:c r="Z286" s="2" t="str">
        <x:v>checklist</x:v>
      </x:c>
      <x:c r="AA286" s="2" t="n">
        <x:f>IF(Q286=1,IF(P286&gt;B286,1,0),0)</x:f>
        <x:v>0</x:v>
      </x:c>
      <x:c r="AB286" s="2" t="n">
        <x:f>IF(AND(Q286=1,P286&lt;='Dashboard'!$B$5),0,MAX(0,'Dashboard'!$B$5-B286))</x:f>
        <x:v>0</x:v>
      </x:c>
      <x:c r="AC286" s="28" t="str"/>
      <x:c r="AD286" s="2" t="str">
        <x:f>IF(AND(ISNUMBER(F286),ISNUMBER(G286)),G286-F286,"")</x:f>
      </x:c>
      <x:c r="AE286" s="2" t="n">
        <x:f>IF(AND(I286="Accepted",K286&lt;&gt;"",O286&lt;&gt;"",ISNUMBER(P286),P286&gt;0,P286&lt;='Dashboard'!$B$5,IF(ISNUMBER(F286),ISNUMBER(G286),TRUE),IF(ISNUMBER(F286),G286&gt;=F286,TRUE)),1,0)</x:f>
        <x:v>0</x:v>
      </x:c>
    </x:row>
    <x:row r="287" ht="58" customHeight="1">
      <x:c r="A287" s="2" t="str">
        <x:v>T0247</x:v>
      </x:c>
      <x:c r="B287" s="30" t="n">
        <x:v>46350</x:v>
      </x:c>
      <x:c r="C287" s="2" t="str">
        <x:v>Brian</x:v>
      </x:c>
      <x:c r="D287" s="2" t="str">
        <x:v>Web and Tracking</x:v>
      </x:c>
      <x:c r="E287" s="26" t="str">
        <x:v>One health-check result; at most one weekly change ticket or no-ticket note</x:v>
      </x:c>
      <x:c r="F287" s="2" t="n">
        <x:v>1</x:v>
      </x:c>
      <x:c r="G287" s="20"/>
      <x:c r="H287" s="2" t="str">
        <x:v>accepted output</x:v>
      </x:c>
      <x:c r="I287" s="20" t="str">
        <x:v>Ready</x:v>
      </x:c>
      <x:c r="J287" s="2" t="str">
        <x:v>16:45</x:v>
      </x:c>
      <x:c r="K287" s="28" t="str"/>
      <x:c r="L287" s="28" t="str"/>
      <x:c r="M287" s="20" t="str"/>
      <x:c r="N287" s="33"/>
      <x:c r="O287" s="20" t="str"/>
      <x:c r="P287" s="33"/>
      <x:c r="Q287" s="2" t="n">
        <x:f>IF(AND(AE287=1,COUNTIFS($A$7:$A$500,"T0067",$AE$7:$AE$500,1)=1,COUNTIFS($A$7:$A$500,"T0055",$AE$7:$AE$500,1)=1),1,0)</x:f>
        <x:v>0</x:v>
      </x:c>
      <x:c r="R287" s="2" t="str">
        <x:f>IF(AND(Q287=1,P287&lt;='Dashboard'!$B$5),IF(P287&gt;B287,"Accepted late","Accepted"),IF(B287&lt;'Dashboard'!$B$5,"Overdue",IF(I287="Blocked","Blocked",IF(B287='Dashboard'!$B$5,"Due today","Planned"))))</x:f>
        <x:v>Planned</x:v>
      </x:c>
      <x:c r="S287" s="26" t="str">
        <x:f>IF(I287="Accepted",IF(K287="","Add evidence",IF(O287="","Add reviewer",IF(P287="","Add accepted date",IF(AND(ISNUMBER(F287),COUNT(G287)=0),"Add actual quantity",IF(Q287=0,"Review target / date / dependencies","Complete"))))),IF(OR(I287="Blocked",I287="Deferred"),IF(L287="","Record blocker / reason",IF(M287="","Assign rescue owner",IF(N287="","Set recovery date","Recovery assigned"))),IF(B287&lt;'Dashboard'!$B$5,"Escalate and record recovery","Work to acceptance standard")))</x:f>
        <x:v>Work to acceptance standard</x:v>
      </x:c>
      <x:c r="T287" s="26" t="str">
        <x:v>T0067</x:v>
      </x:c>
      <x:c r="U287" s="26" t="str">
        <x:v>Form to CQL&lt;1 min; approved copy unchanged; no work manufactured if healthy; ongoing reserve&lt;=2 h/week.</x:v>
      </x:c>
      <x:c r="V287" s="31" t="n">
        <x:v>0.4</x:v>
      </x:c>
      <x:c r="W287" s="26" t="str"/>
      <x:c r="X287" s="26" t="str">
        <x:v>DSI Reset PDF: lane responsibilities and dated runbook; dated allocation proposed for this tracker.</x:v>
      </x:c>
      <x:c r="Y287" s="30" t="n">
        <x:f>B287-WEEKDAY(B287,2)+1</x:f>
        <x:v>46349</x:v>
      </x:c>
      <x:c r="Z287" s="2" t="str">
        <x:v>checklist</x:v>
      </x:c>
      <x:c r="AA287" s="2" t="n">
        <x:f>IF(Q287=1,IF(P287&gt;B287,1,0),0)</x:f>
        <x:v>0</x:v>
      </x:c>
      <x:c r="AB287" s="2" t="n">
        <x:f>IF(AND(Q287=1,P287&lt;='Dashboard'!$B$5),0,MAX(0,'Dashboard'!$B$5-B287))</x:f>
        <x:v>0</x:v>
      </x:c>
      <x:c r="AC287" s="28" t="str"/>
      <x:c r="AD287" s="2" t="str">
        <x:f>IF(AND(ISNUMBER(F287),ISNUMBER(G287)),G287-F287,"")</x:f>
      </x:c>
      <x:c r="AE287" s="2" t="n">
        <x:f>IF(AND(I287="Accepted",K287&lt;&gt;"",O287&lt;&gt;"",ISNUMBER(P287),P287&gt;0,P287&lt;='Dashboard'!$B$5,IF(ISNUMBER(F287),ISNUMBER(G287),TRUE),IF(ISNUMBER(F287),G287&gt;=F287,TRUE)),1,0)</x:f>
        <x:v>0</x:v>
      </x:c>
    </x:row>
    <x:row r="288" ht="58" customHeight="1">
      <x:c r="A288" s="2" t="str">
        <x:v>T0248</x:v>
      </x:c>
      <x:c r="B288" s="30" t="n">
        <x:v>46350</x:v>
      </x:c>
      <x:c r="C288" s="2" t="str">
        <x:v>Dexter</x:v>
      </x:c>
      <x:c r="D288" s="2" t="str">
        <x:v>LinkedIn Execution</x:v>
      </x:c>
      <x:c r="E288" s="26" t="str">
        <x:v>CQL logged DMs/accepts; eligible requests; referred interested replies; approved post evidence Publish approved post SOC10 (Educate); capture the live URL.</x:v>
      </x:c>
      <x:c r="F288" s="2" t="n">
        <x:v>0</x:v>
      </x:c>
      <x:c r="G288" s="20"/>
      <x:c r="H288" s="2" t="str">
        <x:v>new request working target; eligible pool required</x:v>
      </x:c>
      <x:c r="I288" s="20" t="str">
        <x:v>Ready</x:v>
      </x:c>
      <x:c r="J288" s="2" t="str">
        <x:v>16:45</x:v>
      </x:c>
      <x:c r="K288" s="28" t="str"/>
      <x:c r="L288" s="28" t="str"/>
      <x:c r="M288" s="20" t="str"/>
      <x:c r="N288" s="33"/>
      <x:c r="O288" s="20" t="str"/>
      <x:c r="P288" s="33"/>
      <x:c r="Q288" s="2" t="n">
        <x:f>IF(AND(AE288=1,COUNTIFS($A$7:$A$500,"T0067",$AE$7:$AE$500,1)=1,COUNTIFS($A$7:$A$500,"T0055",$AE$7:$AE$500,1)=1),1,0)</x:f>
        <x:v>0</x:v>
      </x:c>
      <x:c r="R288" s="2" t="str">
        <x:f>IF(AND(Q288=1,P288&lt;='Dashboard'!$B$5),IF(P288&gt;B288,"Accepted late","Accepted"),IF(B288&lt;'Dashboard'!$B$5,"Overdue",IF(I288="Blocked","Blocked",IF(B288='Dashboard'!$B$5,"Due today","Planned"))))</x:f>
        <x:v>Planned</x:v>
      </x:c>
      <x:c r="S288" s="26" t="str">
        <x:f>IF(I288="Accepted",IF(K288="","Add evidence",IF(O288="","Add reviewer",IF(P288="","Add accepted date",IF(AND(ISNUMBER(F288),COUNT(G288)=0),"Add actual quantity",IF(Q288=0,"Review target / date / dependencies","Complete"))))),IF(OR(I288="Blocked",I288="Deferred"),IF(L288="","Record blocker / reason",IF(M288="","Assign rescue owner",IF(N288="","Set recovery date","Recovery assigned"))),IF(B288&lt;'Dashboard'!$B$5,"Escalate and record recovery","Work to acceptance standard")))</x:f>
        <x:v>Work to acceptance standard</x:v>
      </x:c>
      <x:c r="T288" s="26" t="str">
        <x:v>T0067</x:v>
      </x:c>
      <x:c r="U288"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288" s="31" t="n">
        <x:v>1.5</x:v>
      </x:c>
      <x:c r="W288" s="26" t="str"/>
      <x:c r="X288" s="26" t="str">
        <x:v>DSI Reset PDF: lane responsibilities and dated runbook; dated allocation proposed for this tracker.</x:v>
      </x:c>
      <x:c r="Y288" s="30" t="n">
        <x:f>B288-WEEKDAY(B288,2)+1</x:f>
        <x:v>46349</x:v>
      </x:c>
      <x:c r="Z288" s="2" t="str">
        <x:v>capacity</x:v>
      </x:c>
      <x:c r="AA288" s="2" t="n">
        <x:f>IF(Q288=1,IF(P288&gt;B288,1,0),0)</x:f>
        <x:v>0</x:v>
      </x:c>
      <x:c r="AB288" s="2" t="n">
        <x:f>IF(AND(Q288=1,P288&lt;='Dashboard'!$B$5),0,MAX(0,'Dashboard'!$B$5-B288))</x:f>
        <x:v>0</x:v>
      </x:c>
      <x:c r="AC288" s="28" t="str"/>
      <x:c r="AD288" s="2" t="str">
        <x:f>IF(AND(ISNUMBER(F288),ISNUMBER(G288)),G288-F288,"")</x:f>
      </x:c>
      <x:c r="AE288" s="2" t="n">
        <x:f>IF(AND(I288="Accepted",K288&lt;&gt;"",O288&lt;&gt;"",ISNUMBER(P288),P288&gt;0,P288&lt;='Dashboard'!$B$5,IF(ISNUMBER(F288),ISNUMBER(G288),TRUE),IF(ISNUMBER(F288),OR(G288&gt;=F288,AC288&lt;&gt;""),TRUE)),1,0)</x:f>
        <x:v>0</x:v>
      </x:c>
    </x:row>
    <x:row r="289" ht="58" customHeight="1">
      <x:c r="A289" s="2" t="str">
        <x:v>T0249</x:v>
      </x:c>
      <x:c r="B289" s="30" t="n">
        <x:v>46350</x:v>
      </x:c>
      <x:c r="C289" s="2" t="str">
        <x:v>Setter 1</x:v>
      </x:c>
      <x:c r="D289" s="2" t="str">
        <x:v>Reply and Phone Setter</x:v>
      </x:c>
      <x:c r="E289" s="26" t="str">
        <x:v>SLA/call outcome log; bookings and next steps; handoff to Nova</x:v>
      </x:c>
      <x:c r="F289" s="2" t="n">
        <x:v>0</x:v>
      </x:c>
      <x:c r="G289" s="20"/>
      <x:c r="H289" s="2" t="str">
        <x:v>dial working target; inbound SLA takes priority</x:v>
      </x:c>
      <x:c r="I289" s="20" t="str">
        <x:v>Ready</x:v>
      </x:c>
      <x:c r="J289" s="2" t="str">
        <x:v>16:45</x:v>
      </x:c>
      <x:c r="K289" s="28" t="str"/>
      <x:c r="L289" s="28" t="str"/>
      <x:c r="M289" s="20" t="str"/>
      <x:c r="N289" s="33"/>
      <x:c r="O289" s="20" t="str"/>
      <x:c r="P289" s="33"/>
      <x:c r="Q289" s="2" t="n">
        <x:f>IF(AND(AE289=1,COUNTIFS($A$7:$A$500,"T0013",$AE$7:$AE$500,1)=1,COUNTIFS($A$7:$A$500,"T0055",$AE$7:$AE$500,1)=1),1,0)</x:f>
        <x:v>0</x:v>
      </x:c>
      <x:c r="R289" s="2" t="str">
        <x:f>IF(AND(Q289=1,P289&lt;='Dashboard'!$B$5),IF(P289&gt;B289,"Accepted late","Accepted"),IF(B289&lt;'Dashboard'!$B$5,"Overdue",IF(I289="Blocked","Blocked",IF(B289='Dashboard'!$B$5,"Due today","Planned"))))</x:f>
        <x:v>Planned</x:v>
      </x:c>
      <x:c r="S289" s="26" t="str">
        <x:f>IF(I289="Accepted",IF(K289="","Add evidence",IF(O289="","Add reviewer",IF(P289="","Add accepted date",IF(AND(ISNUMBER(F289),COUNT(G289)=0),"Add actual quantity",IF(Q289=0,"Review target / date / dependencies","Complete"))))),IF(OR(I289="Blocked",I289="Deferred"),IF(L289="","Record blocker / reason",IF(M289="","Assign rescue owner",IF(N289="","Set recovery date","Recovery assigned"))),IF(B289&lt;'Dashboard'!$B$5,"Escalate and record recovery","Work to acceptance standard")))</x:f>
        <x:v>Work to acceptance standard</x:v>
      </x:c>
      <x:c r="T289" s="26" t="str">
        <x:v>T0013; T0055</x:v>
      </x:c>
      <x:c r="U289"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89" s="31" t="n">
        <x:v>4</x:v>
      </x:c>
      <x:c r="W289" s="26" t="str"/>
      <x:c r="X289" s="26" t="str">
        <x:v>DSI Reset PDF: lane responsibilities and dated runbook; dated allocation proposed for this tracker.</x:v>
      </x:c>
      <x:c r="Y289" s="30" t="n">
        <x:f>B289-WEEKDAY(B289,2)+1</x:f>
        <x:v>46349</x:v>
      </x:c>
      <x:c r="Z289" s="2" t="str">
        <x:v>capacity</x:v>
      </x:c>
      <x:c r="AA289" s="2" t="n">
        <x:f>IF(Q289=1,IF(P289&gt;B289,1,0),0)</x:f>
        <x:v>0</x:v>
      </x:c>
      <x:c r="AB289" s="2" t="n">
        <x:f>IF(AND(Q289=1,P289&lt;='Dashboard'!$B$5),0,MAX(0,'Dashboard'!$B$5-B289))</x:f>
        <x:v>0</x:v>
      </x:c>
      <x:c r="AC289" s="28" t="str"/>
      <x:c r="AD289" s="2" t="str">
        <x:f>IF(AND(ISNUMBER(F289),ISNUMBER(G289)),G289-F289,"")</x:f>
      </x:c>
      <x:c r="AE289" s="2" t="n">
        <x:f>IF(AND(I289="Accepted",K289&lt;&gt;"",O289&lt;&gt;"",ISNUMBER(P289),P289&gt;0,P289&lt;='Dashboard'!$B$5,IF(ISNUMBER(F289),ISNUMBER(G289),TRUE),IF(ISNUMBER(F289),OR(G289&gt;=F289,AC289&lt;&gt;""),TRUE)),1,0)</x:f>
        <x:v>0</x:v>
      </x:c>
    </x:row>
    <x:row r="290" ht="58" customHeight="1">
      <x:c r="A290" s="2" t="str">
        <x:v>T0250</x:v>
      </x:c>
      <x:c r="B290" s="30" t="n">
        <x:v>46350</x:v>
      </x:c>
      <x:c r="C290" s="2" t="str">
        <x:v>Setter 2</x:v>
      </x:c>
      <x:c r="D290" s="2" t="str">
        <x:v>Reply and Phone Setter</x:v>
      </x:c>
      <x:c r="E290" s="26" t="str">
        <x:v>SLA/call outcome log; bookings and next steps; handoff to Nova</x:v>
      </x:c>
      <x:c r="F290" s="2" t="n">
        <x:v>0</x:v>
      </x:c>
      <x:c r="G290" s="20"/>
      <x:c r="H290" s="2" t="str">
        <x:v>dial working target; inbound SLA takes priority</x:v>
      </x:c>
      <x:c r="I290" s="20" t="str">
        <x:v>Ready</x:v>
      </x:c>
      <x:c r="J290" s="2" t="str">
        <x:v>16:45</x:v>
      </x:c>
      <x:c r="K290" s="28" t="str"/>
      <x:c r="L290" s="28" t="str"/>
      <x:c r="M290" s="20" t="str"/>
      <x:c r="N290" s="33"/>
      <x:c r="O290" s="20" t="str"/>
      <x:c r="P290" s="33"/>
      <x:c r="Q290" s="2" t="n">
        <x:f>IF(AND(AE290=1,COUNTIFS($A$7:$A$500,"T0013",$AE$7:$AE$500,1)=1,COUNTIFS($A$7:$A$500,"T0055",$AE$7:$AE$500,1)=1),1,0)</x:f>
        <x:v>0</x:v>
      </x:c>
      <x:c r="R290" s="2" t="str">
        <x:f>IF(AND(Q290=1,P290&lt;='Dashboard'!$B$5),IF(P290&gt;B290,"Accepted late","Accepted"),IF(B290&lt;'Dashboard'!$B$5,"Overdue",IF(I290="Blocked","Blocked",IF(B290='Dashboard'!$B$5,"Due today","Planned"))))</x:f>
        <x:v>Planned</x:v>
      </x:c>
      <x:c r="S290" s="26" t="str">
        <x:f>IF(I290="Accepted",IF(K290="","Add evidence",IF(O290="","Add reviewer",IF(P290="","Add accepted date",IF(AND(ISNUMBER(F290),COUNT(G290)=0),"Add actual quantity",IF(Q290=0,"Review target / date / dependencies","Complete"))))),IF(OR(I290="Blocked",I290="Deferred"),IF(L290="","Record blocker / reason",IF(M290="","Assign rescue owner",IF(N290="","Set recovery date","Recovery assigned"))),IF(B290&lt;'Dashboard'!$B$5,"Escalate and record recovery","Work to acceptance standard")))</x:f>
        <x:v>Work to acceptance standard</x:v>
      </x:c>
      <x:c r="T290" s="26" t="str">
        <x:v>T0013; T0055</x:v>
      </x:c>
      <x:c r="U290"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290" s="31" t="n">
        <x:v>4</x:v>
      </x:c>
      <x:c r="W290" s="26" t="str"/>
      <x:c r="X290" s="26" t="str">
        <x:v>DSI Reset PDF: lane responsibilities and dated runbook; dated allocation proposed for this tracker.</x:v>
      </x:c>
      <x:c r="Y290" s="30" t="n">
        <x:f>B290-WEEKDAY(B290,2)+1</x:f>
        <x:v>46349</x:v>
      </x:c>
      <x:c r="Z290" s="2" t="str">
        <x:v>capacity</x:v>
      </x:c>
      <x:c r="AA290" s="2" t="n">
        <x:f>IF(Q290=1,IF(P290&gt;B290,1,0),0)</x:f>
        <x:v>0</x:v>
      </x:c>
      <x:c r="AB290" s="2" t="n">
        <x:f>IF(AND(Q290=1,P290&lt;='Dashboard'!$B$5),0,MAX(0,'Dashboard'!$B$5-B290))</x:f>
        <x:v>0</x:v>
      </x:c>
      <x:c r="AC290" s="28" t="str"/>
      <x:c r="AD290" s="2" t="str">
        <x:f>IF(AND(ISNUMBER(F290),ISNUMBER(G290)),G290-F290,"")</x:f>
      </x:c>
      <x:c r="AE290" s="2" t="n">
        <x:f>IF(AND(I290="Accepted",K290&lt;&gt;"",O290&lt;&gt;"",ISNUMBER(P290),P290&gt;0,P290&lt;='Dashboard'!$B$5,IF(ISNUMBER(F290),ISNUMBER(G290),TRUE),IF(ISNUMBER(F290),OR(G290&gt;=F290,AC290&lt;&gt;""),TRUE)),1,0)</x:f>
        <x:v>0</x:v>
      </x:c>
    </x:row>
    <x:row r="291" ht="58" customHeight="1">
      <x:c r="A291" s="2" t="str">
        <x:v>T0464</x:v>
      </x:c>
      <x:c r="B291" s="30" t="n">
        <x:v>46350</x:v>
      </x:c>
      <x:c r="C291" s="2" t="str">
        <x:v>Nic</x:v>
      </x:c>
      <x:c r="D291" s="2" t="str">
        <x:v>Client dependency</x:v>
      </x:c>
      <x:c r="E291" s="26" t="str">
        <x:v>Call outcome/next step for every appointment due; first-case decisions</x:v>
      </x:c>
      <x:c r="F291" s="2" t="str"/>
      <x:c r="G291" s="20"/>
      <x:c r="H291" s="2" t="str">
        <x:v>all due appointments</x:v>
      </x:c>
      <x:c r="I291" s="20" t="str">
        <x:v>Ready</x:v>
      </x:c>
      <x:c r="J291" s="2" t="str">
        <x:v>16:45</x:v>
      </x:c>
      <x:c r="K291" s="28" t="str"/>
      <x:c r="L291" s="28" t="str"/>
      <x:c r="M291" s="20" t="str"/>
      <x:c r="N291" s="33"/>
      <x:c r="O291" s="20" t="str"/>
      <x:c r="P291" s="33"/>
      <x:c r="Q291" s="2" t="n">
        <x:f>IF(AND(AE291=1,COUNTIFS($A$7:$A$500,"T0028",$AE$7:$AE$500,1)=1),1,0)</x:f>
        <x:v>0</x:v>
      </x:c>
      <x:c r="R291" s="2" t="str">
        <x:f>IF(AND(Q291=1,P291&lt;='Dashboard'!$B$5),IF(P291&gt;B291,"Accepted late","Accepted"),IF(B291&lt;'Dashboard'!$B$5,"Overdue",IF(I291="Blocked","Blocked",IF(B291='Dashboard'!$B$5,"Due today","Planned"))))</x:f>
        <x:v>Planned</x:v>
      </x:c>
      <x:c r="S291" s="26" t="str">
        <x:f>IF(I291="Accepted",IF(K291="","Add evidence",IF(O291="","Add reviewer",IF(P291="","Add accepted date",IF(AND(ISNUMBER(F291),COUNT(G291)=0),"Add actual quantity",IF(Q291=0,"Review target / date / dependencies","Complete"))))),IF(OR(I291="Blocked",I291="Deferred"),IF(L291="","Record blocker / reason",IF(M291="","Assign rescue owner",IF(N291="","Set recovery date","Recovery assigned"))),IF(B291&lt;'Dashboard'!$B$5,"Escalate and record recovery","Work to acceptance standard")))</x:f>
        <x:v>Work to acceptance standard</x:v>
      </x:c>
      <x:c r="T291" s="26" t="str">
        <x:v>T0028</x:v>
      </x:c>
      <x:c r="U291" s="26" t="str">
        <x:v>Demand-linked: work actual approved calendar; setter brief present; outcome logged same day. No calls scheduled is N/A with calendar evidence.</x:v>
      </x:c>
      <x:c r="V291" s="31" t="n">
        <x:v>0.5</x:v>
      </x:c>
      <x:c r="W291" s="26" t="str"/>
      <x:c r="X291" s="26" t="str">
        <x:v>DSI Reset PDF: lane responsibilities and dated runbook; dated allocation proposed for this tracker.</x:v>
      </x:c>
      <x:c r="Y291" s="30" t="n">
        <x:f>B291-WEEKDAY(B291,2)+1</x:f>
        <x:v>46349</x:v>
      </x:c>
      <x:c r="Z291" s="2" t="str">
        <x:v>demand</x:v>
      </x:c>
      <x:c r="AA291" s="2" t="n">
        <x:f>IF(Q291=1,IF(P291&gt;B291,1,0),0)</x:f>
        <x:v>0</x:v>
      </x:c>
      <x:c r="AB291" s="2" t="n">
        <x:f>IF(AND(Q291=1,P291&lt;='Dashboard'!$B$5),0,MAX(0,'Dashboard'!$B$5-B291))</x:f>
        <x:v>0</x:v>
      </x:c>
      <x:c r="AC291" s="28" t="str"/>
      <x:c r="AD291" s="2" t="str">
        <x:f>IF(AND(ISNUMBER(F291),ISNUMBER(G291)),G291-F291,"")</x:f>
      </x:c>
      <x:c r="AE291" s="2" t="n">
        <x:f>IF(AND(I291="Accepted",K291&lt;&gt;"",O291&lt;&gt;"",ISNUMBER(P291),P291&gt;0,P291&lt;='Dashboard'!$B$5,IF(ISNUMBER(F291),ISNUMBER(G291),TRUE)),1,0)</x:f>
        <x:v>0</x:v>
      </x:c>
    </x:row>
    <x:row r="292" ht="58" customHeight="1">
      <x:c r="A292" s="2" t="str">
        <x:v>T0465</x:v>
      </x:c>
      <x:c r="B292" s="30" t="n">
        <x:v>46350</x:v>
      </x:c>
      <x:c r="C292" s="2" t="str">
        <x:v>Maseeha</x:v>
      </x:c>
      <x:c r="D292" s="2" t="str">
        <x:v>Client dependency</x:v>
      </x:c>
      <x:c r="E292" s="26" t="str">
        <x:v>Due intro verification; kit/case handoff; delivery/Day-30 dates; credit trigger log. Planned asks today: 2 unique existing accounts; cumulative 39.</x:v>
      </x:c>
      <x:c r="F292" s="2" t="str"/>
      <x:c r="G292" s="20"/>
      <x:c r="H292" s="2" t="str">
        <x:v>all due cases</x:v>
      </x:c>
      <x:c r="I292" s="20" t="str">
        <x:v>Ready</x:v>
      </x:c>
      <x:c r="J292" s="2" t="str">
        <x:v>16:45</x:v>
      </x:c>
      <x:c r="K292" s="28" t="str"/>
      <x:c r="L292" s="28" t="str"/>
      <x:c r="M292" s="20" t="str"/>
      <x:c r="N292" s="33"/>
      <x:c r="O292" s="20" t="str"/>
      <x:c r="P292" s="33"/>
      <x:c r="Q292" s="2" t="n">
        <x:f>IF(AND(AE292=1,COUNTIFS($A$7:$A$500,"T0028",$AE$7:$AE$500,1)=1),1,0)</x:f>
        <x:v>0</x:v>
      </x:c>
      <x:c r="R292" s="2" t="str">
        <x:f>IF(AND(Q292=1,P292&lt;='Dashboard'!$B$5),IF(P292&gt;B292,"Accepted late","Accepted"),IF(B292&lt;'Dashboard'!$B$5,"Overdue",IF(I292="Blocked","Blocked",IF(B292='Dashboard'!$B$5,"Due today","Planned"))))</x:f>
        <x:v>Planned</x:v>
      </x:c>
      <x:c r="S292" s="26" t="str">
        <x:f>IF(I292="Accepted",IF(K292="","Add evidence",IF(O292="","Add reviewer",IF(P292="","Add accepted date",IF(AND(ISNUMBER(F292),COUNT(G292)=0),"Add actual quantity",IF(Q292=0,"Review target / date / dependencies","Complete"))))),IF(OR(I292="Blocked",I292="Deferred"),IF(L292="","Record blocker / reason",IF(M292="","Assign rescue owner",IF(N292="","Set recovery date","Recovery assigned"))),IF(B292&lt;'Dashboard'!$B$5,"Escalate and record recovery","Work to acceptance standard")))</x:f>
        <x:v>Work to acceptance standard</x:v>
      </x:c>
      <x:c r="T292" s="26" t="str">
        <x:v>T0028</x:v>
      </x:c>
      <x:c r="U292" s="26" t="str">
        <x:v>Demand-linked: referral verification&lt;=2 business days; trial capacity respected; $200 credit only on eligible invoice paid.</x:v>
      </x:c>
      <x:c r="V292" s="31" t="n">
        <x:v>0.5</x:v>
      </x:c>
      <x:c r="W292" s="26" t="str"/>
      <x:c r="X292" s="26" t="str">
        <x:v>DSI Reset PDF: lane responsibilities and dated runbook; dated allocation proposed for this tracker.</x:v>
      </x:c>
      <x:c r="Y292" s="30" t="n">
        <x:f>B292-WEEKDAY(B292,2)+1</x:f>
        <x:v>46349</x:v>
      </x:c>
      <x:c r="Z292" s="2" t="str">
        <x:v>demand</x:v>
      </x:c>
      <x:c r="AA292" s="2" t="n">
        <x:f>IF(Q292=1,IF(P292&gt;B292,1,0),0)</x:f>
        <x:v>0</x:v>
      </x:c>
      <x:c r="AB292" s="2" t="n">
        <x:f>IF(AND(Q292=1,P292&lt;='Dashboard'!$B$5),0,MAX(0,'Dashboard'!$B$5-B292))</x:f>
        <x:v>0</x:v>
      </x:c>
      <x:c r="AC292" s="28" t="str"/>
      <x:c r="AD292" s="2" t="str">
        <x:f>IF(AND(ISNUMBER(F292),ISNUMBER(G292)),G292-F292,"")</x:f>
      </x:c>
      <x:c r="AE292" s="2" t="n">
        <x:f>IF(AND(I292="Accepted",K292&lt;&gt;"",O292&lt;&gt;"",ISNUMBER(P292),P292&gt;0,P292&lt;='Dashboard'!$B$5,IF(ISNUMBER(F292),ISNUMBER(G292),TRUE)),1,0)</x:f>
        <x:v>0</x:v>
      </x:c>
    </x:row>
    <x:row r="293" ht="58" customHeight="1">
      <x:c r="A293" s="2" t="str">
        <x:v>T0251</x:v>
      </x:c>
      <x:c r="B293" s="30" t="n">
        <x:v>46351</x:v>
      </x:c>
      <x:c r="C293" s="2" t="str">
        <x:v>Wyline</x:v>
      </x:c>
      <x:c r="D293" s="2" t="str">
        <x:v>Program Director</x:v>
      </x:c>
      <x:c r="E293" s="26" t="str">
        <x:v>12 SOP/8 agent register; rescue assignments</x:v>
      </x:c>
      <x:c r="F293" s="2" t="n">
        <x:v>1</x:v>
      </x:c>
      <x:c r="G293" s="20"/>
      <x:c r="H293" s="2" t="str">
        <x:v>accepted output</x:v>
      </x:c>
      <x:c r="I293" s="20" t="str">
        <x:v>Ready</x:v>
      </x:c>
      <x:c r="J293" s="2" t="str">
        <x:v>16:45</x:v>
      </x:c>
      <x:c r="K293" s="28" t="str"/>
      <x:c r="L293" s="28" t="str"/>
      <x:c r="M293" s="20" t="str"/>
      <x:c r="N293" s="33"/>
      <x:c r="O293" s="20" t="str"/>
      <x:c r="P293" s="33"/>
      <x:c r="Q293" s="2" t="n">
        <x:f>IF(AND(AE293=1,COUNTIFS($A$7:$A$500,"T0067",$AE$7:$AE$500,1)=1,COUNTIFS($A$7:$A$500,"T0055",$AE$7:$AE$500,1)=1),1,0)</x:f>
        <x:v>0</x:v>
      </x:c>
      <x:c r="R293" s="2" t="str">
        <x:f>IF(AND(Q293=1,P293&lt;='Dashboard'!$B$5),IF(P293&gt;B293,"Accepted late","Accepted"),IF(B293&lt;'Dashboard'!$B$5,"Overdue",IF(I293="Blocked","Blocked",IF(B293='Dashboard'!$B$5,"Due today","Planned"))))</x:f>
        <x:v>Planned</x:v>
      </x:c>
      <x:c r="S293" s="26" t="str">
        <x:f>IF(I293="Accepted",IF(K293="","Add evidence",IF(O293="","Add reviewer",IF(P293="","Add accepted date",IF(AND(ISNUMBER(F293),COUNT(G293)=0),"Add actual quantity",IF(Q293=0,"Review target / date / dependencies","Complete"))))),IF(OR(I293="Blocked",I293="Deferred"),IF(L293="","Record blocker / reason",IF(M293="","Assign rescue owner",IF(N293="","Set recovery date","Recovery assigned"))),IF(B293&lt;'Dashboard'!$B$5,"Escalate and record recovery","Work to acceptance standard")))</x:f>
        <x:v>Work to acceptance standard</x:v>
      </x:c>
      <x:c r="T293" s="26" t="str">
        <x:v>T0067</x:v>
      </x:c>
      <x:c r="U293" s="26" t="str">
        <x:v>All unaccepted items have an evidence gap, backup and next date; no holiday mandatory tasks.</x:v>
      </x:c>
      <x:c r="V293" s="31" t="n">
        <x:v>2</x:v>
      </x:c>
      <x:c r="W293" s="26" t="str"/>
      <x:c r="X293" s="26" t="str">
        <x:v>DSI Reset PDF: lane responsibilities and dated runbook; dated allocation proposed for this tracker.</x:v>
      </x:c>
      <x:c r="Y293" s="30" t="n">
        <x:f>B293-WEEKDAY(B293,2)+1</x:f>
        <x:v>46349</x:v>
      </x:c>
      <x:c r="Z293" s="2" t="str">
        <x:v>checklist</x:v>
      </x:c>
      <x:c r="AA293" s="2" t="n">
        <x:f>IF(Q293=1,IF(P293&gt;B293,1,0),0)</x:f>
        <x:v>0</x:v>
      </x:c>
      <x:c r="AB293" s="2" t="n">
        <x:f>IF(AND(Q293=1,P293&lt;='Dashboard'!$B$5),0,MAX(0,'Dashboard'!$B$5-B293))</x:f>
        <x:v>0</x:v>
      </x:c>
      <x:c r="AC293" s="28" t="str"/>
      <x:c r="AD293" s="2" t="str">
        <x:f>IF(AND(ISNUMBER(F293),ISNUMBER(G293)),G293-F293,"")</x:f>
      </x:c>
      <x:c r="AE293" s="2" t="n">
        <x:f>IF(AND(I293="Accepted",K293&lt;&gt;"",O293&lt;&gt;"",ISNUMBER(P293),P293&gt;0,P293&lt;='Dashboard'!$B$5,IF(ISNUMBER(F293),ISNUMBER(G293),TRUE),IF(ISNUMBER(F293),G293&gt;=F293,TRUE)),1,0)</x:f>
        <x:v>0</x:v>
      </x:c>
    </x:row>
    <x:row r="294" ht="58" customHeight="1">
      <x:c r="A294" s="2" t="str">
        <x:v>T0252</x:v>
      </x:c>
      <x:c r="B294" s="30" t="n">
        <x:v>46351</x:v>
      </x:c>
      <x:c r="C294" s="2" t="str">
        <x:v>Kenneth</x:v>
      </x:c>
      <x:c r="D294" s="2" t="str">
        <x:v>Message Orchestrator</x:v>
      </x:c>
      <x:c r="E294" s="26" t="str">
        <x:v>Human-reply insights; 5 Inbox draft checks; approved first lines; claim exceptions</x:v>
      </x:c>
      <x:c r="F294" s="2" t="n">
        <x:v>1</x:v>
      </x:c>
      <x:c r="G294" s="20"/>
      <x:c r="H294" s="2" t="str">
        <x:v>accepted output</x:v>
      </x:c>
      <x:c r="I294" s="20" t="str">
        <x:v>Ready</x:v>
      </x:c>
      <x:c r="J294" s="2" t="str">
        <x:v>16:45</x:v>
      </x:c>
      <x:c r="K294" s="28" t="str"/>
      <x:c r="L294" s="28" t="str"/>
      <x:c r="M294" s="20" t="str"/>
      <x:c r="N294" s="33"/>
      <x:c r="O294" s="20" t="str"/>
      <x:c r="P294" s="33"/>
      <x:c r="Q294" s="2" t="n">
        <x:f>IF(AND(AE294=1,COUNTIFS($A$7:$A$500,"T0067",$AE$7:$AE$500,1)=1,COUNTIFS($A$7:$A$500,"T0055",$AE$7:$AE$500,1)=1),1,0)</x:f>
        <x:v>0</x:v>
      </x:c>
      <x:c r="R294" s="2" t="str">
        <x:f>IF(AND(Q294=1,P294&lt;='Dashboard'!$B$5),IF(P294&gt;B294,"Accepted late","Accepted"),IF(B294&lt;'Dashboard'!$B$5,"Overdue",IF(I294="Blocked","Blocked",IF(B294='Dashboard'!$B$5,"Due today","Planned"))))</x:f>
        <x:v>Planned</x:v>
      </x:c>
      <x:c r="S294" s="26" t="str">
        <x:f>IF(I294="Accepted",IF(K294="","Add evidence",IF(O294="","Add reviewer",IF(P294="","Add accepted date",IF(AND(ISNUMBER(F294),COUNT(G294)=0),"Add actual quantity",IF(Q294=0,"Review target / date / dependencies","Complete"))))),IF(OR(I294="Blocked",I294="Deferred"),IF(L294="","Record blocker / reason",IF(M294="","Assign rescue owner",IF(N294="","Set recovery date","Recovery assigned"))),IF(B294&lt;'Dashboard'!$B$5,"Escalate and record recovery","Work to acceptance standard")))</x:f>
        <x:v>Work to acceptance standard</x:v>
      </x:c>
      <x:c r="T294" s="26" t="str">
        <x:v>T0067</x:v>
      </x:c>
      <x:c r="U294" s="26" t="str">
        <x:v>Zero invented claims. If any draft fails facts, stop drafting/retrain; no offer change without approval.</x:v>
      </x:c>
      <x:c r="V294" s="31" t="n">
        <x:v>1.5</x:v>
      </x:c>
      <x:c r="W294" s="26" t="str"/>
      <x:c r="X294" s="26" t="str">
        <x:v>DSI Reset PDF: lane responsibilities and dated runbook; dated allocation proposed for this tracker.</x:v>
      </x:c>
      <x:c r="Y294" s="30" t="n">
        <x:f>B294-WEEKDAY(B294,2)+1</x:f>
        <x:v>46349</x:v>
      </x:c>
      <x:c r="Z294" s="2" t="str">
        <x:v>checklist</x:v>
      </x:c>
      <x:c r="AA294" s="2" t="n">
        <x:f>IF(Q294=1,IF(P294&gt;B294,1,0),0)</x:f>
        <x:v>0</x:v>
      </x:c>
      <x:c r="AB294" s="2" t="n">
        <x:f>IF(AND(Q294=1,P294&lt;='Dashboard'!$B$5),0,MAX(0,'Dashboard'!$B$5-B294))</x:f>
        <x:v>0</x:v>
      </x:c>
      <x:c r="AC294" s="28" t="str"/>
      <x:c r="AD294" s="2" t="str">
        <x:f>IF(AND(ISNUMBER(F294),ISNUMBER(G294)),G294-F294,"")</x:f>
      </x:c>
      <x:c r="AE294" s="2" t="n">
        <x:f>IF(AND(I294="Accepted",K294&lt;&gt;"",O294&lt;&gt;"",ISNUMBER(P294),P294&gt;0,P294&lt;='Dashboard'!$B$5,IF(ISNUMBER(F294),ISNUMBER(G294),TRUE),IF(ISNUMBER(F294),G294&gt;=F294,TRUE)),1,0)</x:f>
        <x:v>0</x:v>
      </x:c>
    </x:row>
    <x:row r="295" ht="58" customHeight="1">
      <x:c r="A295" s="2" t="str">
        <x:v>T0253</x:v>
      </x:c>
      <x:c r="B295" s="30" t="n">
        <x:v>46351</x:v>
      </x:c>
      <x:c r="C295" s="2" t="str">
        <x:v>Joey</x:v>
      </x:c>
      <x:c r="D295" s="2" t="str">
        <x:v>Data Orchestrator</x:v>
      </x:c>
      <x:c r="E295" s="26" t="str">
        <x:v>Mailbox/bounce/suppression log; ready verified records; due-follow up versus new-send capacity plan.</x:v>
      </x:c>
      <x:c r="F295" s="2" t="n">
        <x:v>1</x:v>
      </x:c>
      <x:c r="G295" s="20"/>
      <x:c r="H295" s="2" t="str">
        <x:v>verified queue and health check</x:v>
      </x:c>
      <x:c r="I295" s="20" t="str">
        <x:v>Ready</x:v>
      </x:c>
      <x:c r="J295" s="2" t="str">
        <x:v>16:45</x:v>
      </x:c>
      <x:c r="K295" s="28" t="str"/>
      <x:c r="L295" s="28" t="str"/>
      <x:c r="M295" s="20" t="str"/>
      <x:c r="N295" s="33"/>
      <x:c r="O295" s="20" t="str"/>
      <x:c r="P295" s="33"/>
      <x:c r="Q295" s="2" t="n">
        <x:f>IF(AND(AE295=1,COUNTIFS($A$7:$A$500,"T0067",$AE$7:$AE$500,1)=1,COUNTIFS($A$7:$A$500,"T0055",$AE$7:$AE$500,1)=1),1,0)</x:f>
        <x:v>0</x:v>
      </x:c>
      <x:c r="R295" s="2" t="str">
        <x:f>IF(AND(Q295=1,P295&lt;='Dashboard'!$B$5),IF(P295&gt;B295,"Accepted late","Accepted"),IF(B295&lt;'Dashboard'!$B$5,"Overdue",IF(I295="Blocked","Blocked",IF(B295='Dashboard'!$B$5,"Due today","Planned"))))</x:f>
        <x:v>Planned</x:v>
      </x:c>
      <x:c r="S295" s="26" t="str">
        <x:f>IF(I295="Accepted",IF(K295="","Add evidence",IF(O295="","Add reviewer",IF(P295="","Add accepted date",IF(AND(ISNUMBER(F295),COUNT(G295)=0),"Add actual quantity",IF(Q295=0,"Review target / date / dependencies","Complete"))))),IF(OR(I295="Blocked",I295="Deferred"),IF(L295="","Record blocker / reason",IF(M295="","Assign rescue owner",IF(N295="","Set recovery date","Recovery assigned"))),IF(B295&lt;'Dashboard'!$B$5,"Escalate and record recovery","Work to acceptance standard")))</x:f>
        <x:v>Work to acceptance standard</x:v>
      </x:c>
      <x:c r="T295" s="26" t="str">
        <x:v>T0067</x:v>
      </x:c>
      <x:c r="U295" s="26" t="str">
        <x:v>Planning pool addition 0 contacts today; quality gate wins over quota. Total sends&lt;=150/day;&gt;3% bounce affected mailbox held. No new cold enrollments on reduced/buffer days.</x:v>
      </x:c>
      <x:c r="V295" s="31" t="n">
        <x:v>2</x:v>
      </x:c>
      <x:c r="W295" s="26" t="str"/>
      <x:c r="X295" s="26" t="str">
        <x:v>DSI Reset PDF: lane responsibilities and dated runbook; dated allocation proposed for this tracker.</x:v>
      </x:c>
      <x:c r="Y295" s="30" t="n">
        <x:f>B295-WEEKDAY(B295,2)+1</x:f>
        <x:v>46349</x:v>
      </x:c>
      <x:c r="Z295" s="2" t="str">
        <x:v>checklist</x:v>
      </x:c>
      <x:c r="AA295" s="2" t="n">
        <x:f>IF(Q295=1,IF(P295&gt;B295,1,0),0)</x:f>
        <x:v>0</x:v>
      </x:c>
      <x:c r="AB295" s="2" t="n">
        <x:f>IF(AND(Q295=1,P295&lt;='Dashboard'!$B$5),0,MAX(0,'Dashboard'!$B$5-B295))</x:f>
        <x:v>0</x:v>
      </x:c>
      <x:c r="AC295" s="28" t="str"/>
      <x:c r="AD295" s="2" t="str">
        <x:f>IF(AND(ISNUMBER(F295),ISNUMBER(G295)),G295-F295,"")</x:f>
      </x:c>
      <x:c r="AE295" s="2" t="n">
        <x:f>IF(AND(I295="Accepted",K295&lt;&gt;"",O295&lt;&gt;"",ISNUMBER(P295),P295&gt;0,P295&lt;='Dashboard'!$B$5,IF(ISNUMBER(F295),ISNUMBER(G295),TRUE),IF(ISNUMBER(F295),G295&gt;=F295,TRUE)),1,0)</x:f>
        <x:v>0</x:v>
      </x:c>
    </x:row>
    <x:row r="296" ht="58" customHeight="1">
      <x:c r="A296" s="2" t="str">
        <x:v>T0254</x:v>
      </x:c>
      <x:c r="B296" s="30" t="n">
        <x:v>46351</x:v>
      </x:c>
      <x:c r="C296" s="2" t="str">
        <x:v>Nova</x:v>
      </x:c>
      <x:c r="D296" s="2" t="str">
        <x:v>Conversion Orchestrator</x:v>
      </x:c>
      <x:c r="E296" s="26" t="str">
        <x:v>Coverage/SLA evidence; 2 call reviews; booked/held updates; next-step and trial handoffs. Log each unique qualified inquiry with practice type, decision-maker access, case volume, service need and readiness timing.</x:v>
      </x:c>
      <x:c r="F296" s="2" t="n">
        <x:v>1</x:v>
      </x:c>
      <x:c r="G296" s="20"/>
      <x:c r="H296" s="2" t="str">
        <x:v>accepted output</x:v>
      </x:c>
      <x:c r="I296" s="20" t="str">
        <x:v>Ready</x:v>
      </x:c>
      <x:c r="J296" s="2" t="str">
        <x:v>16:45</x:v>
      </x:c>
      <x:c r="K296" s="28" t="str"/>
      <x:c r="L296" s="28" t="str"/>
      <x:c r="M296" s="20" t="str"/>
      <x:c r="N296" s="33"/>
      <x:c r="O296" s="20" t="str"/>
      <x:c r="P296" s="33"/>
      <x:c r="Q296" s="2" t="n">
        <x:f>IF(AND(AE296=1,COUNTIFS($A$7:$A$500,"T0067",$AE$7:$AE$500,1)=1,COUNTIFS($A$7:$A$500,"T0055",$AE$7:$AE$500,1)=1),1,0)</x:f>
        <x:v>0</x:v>
      </x:c>
      <x:c r="R296" s="2" t="str">
        <x:f>IF(AND(Q296=1,P296&lt;='Dashboard'!$B$5),IF(P296&gt;B296,"Accepted late","Accepted"),IF(B296&lt;'Dashboard'!$B$5,"Overdue",IF(I296="Blocked","Blocked",IF(B296='Dashboard'!$B$5,"Due today","Planned"))))</x:f>
        <x:v>Planned</x:v>
      </x:c>
      <x:c r="S296" s="26" t="str">
        <x:f>IF(I296="Accepted",IF(K296="","Add evidence",IF(O296="","Add reviewer",IF(P296="","Add accepted date",IF(AND(ISNUMBER(F296),COUNT(G296)=0),"Add actual quantity",IF(Q296=0,"Review target / date / dependencies","Complete"))))),IF(OR(I296="Blocked",I296="Deferred"),IF(L296="","Record blocker / reason",IF(M296="","Assign rescue owner",IF(N296="","Set recovery date","Recovery assigned"))),IF(B296&lt;'Dashboard'!$B$5,"Escalate and record recovery","Work to acceptance standard")))</x:f>
        <x:v>Work to acceptance standard</x:v>
      </x:c>
      <x:c r="T296" s="26" t="str">
        <x:v>T0067</x:v>
      </x:c>
      <x:c r="U296" s="26" t="str">
        <x:v>Every eligible reply&lt;=15 min; positive call&lt;=60 min; no opportunity without next step; booked brief to Nic; trial logistics to Maseeha. Raw contacts, opens and accepts never count as qualified inquiries; deduplicate across channels.</x:v>
      </x:c>
      <x:c r="V296" s="31" t="n">
        <x:v>3</x:v>
      </x:c>
      <x:c r="W296" s="26" t="str"/>
      <x:c r="X296" s="26" t="str">
        <x:v>DSI Reset PDF: lane responsibilities and dated runbook; dated allocation proposed for this tracker.</x:v>
      </x:c>
      <x:c r="Y296" s="30" t="n">
        <x:f>B296-WEEKDAY(B296,2)+1</x:f>
        <x:v>46349</x:v>
      </x:c>
      <x:c r="Z296" s="2" t="str">
        <x:v>checklist</x:v>
      </x:c>
      <x:c r="AA296" s="2" t="n">
        <x:f>IF(Q296=1,IF(P296&gt;B296,1,0),0)</x:f>
        <x:v>0</x:v>
      </x:c>
      <x:c r="AB296" s="2" t="n">
        <x:f>IF(AND(Q296=1,P296&lt;='Dashboard'!$B$5),0,MAX(0,'Dashboard'!$B$5-B296))</x:f>
        <x:v>0</x:v>
      </x:c>
      <x:c r="AC296" s="28" t="str"/>
      <x:c r="AD296" s="2" t="str">
        <x:f>IF(AND(ISNUMBER(F296),ISNUMBER(G296)),G296-F296,"")</x:f>
      </x:c>
      <x:c r="AE296" s="2" t="n">
        <x:f>IF(AND(I296="Accepted",K296&lt;&gt;"",O296&lt;&gt;"",ISNUMBER(P296),P296&gt;0,P296&lt;='Dashboard'!$B$5,IF(ISNUMBER(F296),ISNUMBER(G296),TRUE),IF(ISNUMBER(F296),G296&gt;=F296,TRUE)),1,0)</x:f>
        <x:v>0</x:v>
      </x:c>
    </x:row>
    <x:row r="297" ht="58" customHeight="1">
      <x:c r="A297" s="2" t="str">
        <x:v>T0255</x:v>
      </x:c>
      <x:c r="B297" s="30" t="n">
        <x:v>46351</x:v>
      </x:c>
      <x:c r="C297" s="2" t="str">
        <x:v>Emman</x:v>
      </x:c>
      <x:c r="D297" s="2" t="str">
        <x:v>AI Build Orchestrator</x:v>
      </x:c>
      <x:c r="E297" s="26" t="str">
        <x:v>Health/retry log; one acceptance-backed build increment; updated change log</x:v>
      </x:c>
      <x:c r="F297" s="2" t="n">
        <x:v>1</x:v>
      </x:c>
      <x:c r="G297" s="20"/>
      <x:c r="H297" s="2" t="str">
        <x:v>accepted output</x:v>
      </x:c>
      <x:c r="I297" s="20" t="str">
        <x:v>Ready</x:v>
      </x:c>
      <x:c r="J297" s="2" t="str">
        <x:v>16:45</x:v>
      </x:c>
      <x:c r="K297" s="28" t="str"/>
      <x:c r="L297" s="28" t="str"/>
      <x:c r="M297" s="20" t="str"/>
      <x:c r="N297" s="33"/>
      <x:c r="O297" s="20" t="str"/>
      <x:c r="P297" s="33"/>
      <x:c r="Q297" s="2" t="n">
        <x:f>IF(AND(AE297=1,COUNTIFS($A$7:$A$500,"T0067",$AE$7:$AE$500,1)=1,COUNTIFS($A$7:$A$500,"T0055",$AE$7:$AE$500,1)=1),1,0)</x:f>
        <x:v>0</x:v>
      </x:c>
      <x:c r="R297" s="2" t="str">
        <x:f>IF(AND(Q297=1,P297&lt;='Dashboard'!$B$5),IF(P297&gt;B297,"Accepted late","Accepted"),IF(B297&lt;'Dashboard'!$B$5,"Overdue",IF(I297="Blocked","Blocked",IF(B297='Dashboard'!$B$5,"Due today","Planned"))))</x:f>
        <x:v>Planned</x:v>
      </x:c>
      <x:c r="S297" s="26" t="str">
        <x:f>IF(I297="Accepted",IF(K297="","Add evidence",IF(O297="","Add reviewer",IF(P297="","Add accepted date",IF(AND(ISNUMBER(F297),COUNT(G297)=0),"Add actual quantity",IF(Q297=0,"Review target / date / dependencies","Complete"))))),IF(OR(I297="Blocked",I297="Deferred"),IF(L297="","Record blocker / reason",IF(M297="","Assign rescue owner",IF(N297="","Set recovery date","Recovery assigned"))),IF(B297&lt;'Dashboard'!$B$5,"Escalate and record recovery","Work to acceptance standard")))</x:f>
        <x:v>Work to acceptance standard</x:v>
      </x:c>
      <x:c r="T297" s="26" t="str">
        <x:v>T0067</x:v>
      </x:c>
      <x:c r="U297" s="26" t="str">
        <x:v>Fix a failing live agent beforestarting the next build. If an agent is still not working 48 hours after its due date, activate the manual SOP. Roll back a live failure within 1 hour. Release build reserve when no approved work remains.</x:v>
      </x:c>
      <x:c r="V297" s="31" t="n">
        <x:v>3</x:v>
      </x:c>
      <x:c r="W297" s="26" t="str"/>
      <x:c r="X297" s="26" t="str">
        <x:v>DSI Reset PDF: lane responsibilities and dated runbook; dated allocation proposed for this tracker.</x:v>
      </x:c>
      <x:c r="Y297" s="30" t="n">
        <x:f>B297-WEEKDAY(B297,2)+1</x:f>
        <x:v>46349</x:v>
      </x:c>
      <x:c r="Z297" s="2" t="str">
        <x:v>checklist</x:v>
      </x:c>
      <x:c r="AA297" s="2" t="n">
        <x:f>IF(Q297=1,IF(P297&gt;B297,1,0),0)</x:f>
        <x:v>0</x:v>
      </x:c>
      <x:c r="AB297" s="2" t="n">
        <x:f>IF(AND(Q297=1,P297&lt;='Dashboard'!$B$5),0,MAX(0,'Dashboard'!$B$5-B297))</x:f>
        <x:v>0</x:v>
      </x:c>
      <x:c r="AC297" s="28" t="str"/>
      <x:c r="AD297" s="2" t="str">
        <x:f>IF(AND(ISNUMBER(F297),ISNUMBER(G297)),G297-F297,"")</x:f>
      </x:c>
      <x:c r="AE297" s="2" t="n">
        <x:f>IF(AND(I297="Accepted",K297&lt;&gt;"",O297&lt;&gt;"",ISNUMBER(P297),P297&gt;0,P297&lt;='Dashboard'!$B$5,IF(ISNUMBER(F297),ISNUMBER(G297),TRUE),IF(ISNUMBER(F297),G297&gt;=F297,TRUE)),1,0)</x:f>
        <x:v>0</x:v>
      </x:c>
    </x:row>
    <x:row r="298" ht="58" customHeight="1">
      <x:c r="A298" s="2" t="str">
        <x:v>T0256</x:v>
      </x:c>
      <x:c r="B298" s="30" t="n">
        <x:v>46351</x:v>
      </x:c>
      <x:c r="C298" s="2" t="str">
        <x:v>Ludwig</x:v>
      </x:c>
      <x:c r="D298" s="2" t="str">
        <x:v>Integration Engineer</x:v>
      </x:c>
      <x:c r="E298" s="26" t="str">
        <x:v>Webhook/error/dead-letter check; top assigned integration ticket or verified no-ticket note</x:v>
      </x:c>
      <x:c r="F298" s="2" t="n">
        <x:v>1</x:v>
      </x:c>
      <x:c r="G298" s="20"/>
      <x:c r="H298" s="2" t="str">
        <x:v>accepted output</x:v>
      </x:c>
      <x:c r="I298" s="20" t="str">
        <x:v>Ready</x:v>
      </x:c>
      <x:c r="J298" s="2" t="str">
        <x:v>16:45</x:v>
      </x:c>
      <x:c r="K298" s="28" t="str"/>
      <x:c r="L298" s="28" t="str"/>
      <x:c r="M298" s="20" t="str"/>
      <x:c r="N298" s="33"/>
      <x:c r="O298" s="20" t="str"/>
      <x:c r="P298" s="33"/>
      <x:c r="Q298" s="2" t="n">
        <x:f>IF(AND(AE298=1,COUNTIFS($A$7:$A$500,"T0067",$AE$7:$AE$500,1)=1,COUNTIFS($A$7:$A$500,"T0055",$AE$7:$AE$500,1)=1),1,0)</x:f>
        <x:v>0</x:v>
      </x:c>
      <x:c r="R298" s="2" t="str">
        <x:f>IF(AND(Q298=1,P298&lt;='Dashboard'!$B$5),IF(P298&gt;B298,"Accepted late","Accepted"),IF(B298&lt;'Dashboard'!$B$5,"Overdue",IF(I298="Blocked","Blocked",IF(B298='Dashboard'!$B$5,"Due today","Planned"))))</x:f>
        <x:v>Planned</x:v>
      </x:c>
      <x:c r="S298" s="26" t="str">
        <x:f>IF(I298="Accepted",IF(K298="","Add evidence",IF(O298="","Add reviewer",IF(P298="","Add accepted date",IF(AND(ISNUMBER(F298),COUNT(G298)=0),"Add actual quantity",IF(Q298=0,"Review target / date / dependencies","Complete"))))),IF(OR(I298="Blocked",I298="Deferred"),IF(L298="","Record blocker / reason",IF(M298="","Assign rescue owner",IF(N298="","Set recovery date","Recovery assigned"))),IF(B298&lt;'Dashboard'!$B$5,"Escalate and record recovery","Work to acceptance standard")))</x:f>
        <x:v>Work to acceptance standard</x:v>
      </x:c>
      <x:c r="T298" s="26" t="str">
        <x:v>T0067</x:v>
      </x:c>
      <x:c r="U298" s="26" t="str">
        <x:v>Only Emman’s priority queue; 100% test capture; runbook/retry/rollback evidence. If no fault/ticket, release reserve; do not invent work.</x:v>
      </x:c>
      <x:c r="V298" s="31" t="n">
        <x:v>1</x:v>
      </x:c>
      <x:c r="W298" s="26" t="str"/>
      <x:c r="X298" s="26" t="str">
        <x:v>DSI Reset PDF: lane responsibilities and dated runbook; dated allocation proposed for this tracker.</x:v>
      </x:c>
      <x:c r="Y298" s="30" t="n">
        <x:f>B298-WEEKDAY(B298,2)+1</x:f>
        <x:v>46349</x:v>
      </x:c>
      <x:c r="Z298" s="2" t="str">
        <x:v>checklist</x:v>
      </x:c>
      <x:c r="AA298" s="2" t="n">
        <x:f>IF(Q298=1,IF(P298&gt;B298,1,0),0)</x:f>
        <x:v>0</x:v>
      </x:c>
      <x:c r="AB298" s="2" t="n">
        <x:f>IF(AND(Q298=1,P298&lt;='Dashboard'!$B$5),0,MAX(0,'Dashboard'!$B$5-B298))</x:f>
        <x:v>0</x:v>
      </x:c>
      <x:c r="AC298" s="28" t="str"/>
      <x:c r="AD298" s="2" t="str">
        <x:f>IF(AND(ISNUMBER(F298),ISNUMBER(G298)),G298-F298,"")</x:f>
      </x:c>
      <x:c r="AE298" s="2" t="n">
        <x:f>IF(AND(I298="Accepted",K298&lt;&gt;"",O298&lt;&gt;"",ISNUMBER(P298),P298&gt;0,P298&lt;='Dashboard'!$B$5,IF(ISNUMBER(F298),ISNUMBER(G298),TRUE),IF(ISNUMBER(F298),G298&gt;=F298,TRUE)),1,0)</x:f>
        <x:v>0</x:v>
      </x:c>
    </x:row>
    <x:row r="299" ht="58" customHeight="1">
      <x:c r="A299" s="2" t="str">
        <x:v>T0257</x:v>
      </x:c>
      <x:c r="B299" s="30" t="n">
        <x:v>46351</x:v>
      </x:c>
      <x:c r="C299" s="2" t="str">
        <x:v>Alvin</x:v>
      </x:c>
      <x:c r="D299" s="2" t="str">
        <x:v>CQL/GHL Implementation</x:v>
      </x:c>
      <x:c r="E299" s="26" t="str">
        <x:v>Stage/calendar/reminder QA; due workflow fixes; approved post mirrors/evidence Publish approved post SOC11 (Engage); capture the live URL.</x:v>
      </x:c>
      <x:c r="F299" s="2" t="n">
        <x:v>1</x:v>
      </x:c>
      <x:c r="G299" s="20"/>
      <x:c r="H299" s="2" t="str">
        <x:v>accepted output</x:v>
      </x:c>
      <x:c r="I299" s="20" t="str">
        <x:v>Ready</x:v>
      </x:c>
      <x:c r="J299" s="2" t="str">
        <x:v>16:45</x:v>
      </x:c>
      <x:c r="K299" s="28" t="str"/>
      <x:c r="L299" s="28" t="str"/>
      <x:c r="M299" s="20" t="str"/>
      <x:c r="N299" s="33"/>
      <x:c r="O299" s="20" t="str"/>
      <x:c r="P299" s="33"/>
      <x:c r="Q299" s="2" t="n">
        <x:f>IF(AND(AE299=1,COUNTIFS($A$7:$A$500,"T0067",$AE$7:$AE$500,1)=1,COUNTIFS($A$7:$A$500,"T0055",$AE$7:$AE$500,1)=1),1,0)</x:f>
        <x:v>0</x:v>
      </x:c>
      <x:c r="R299" s="2" t="str">
        <x:f>IF(AND(Q299=1,P299&lt;='Dashboard'!$B$5),IF(P299&gt;B299,"Accepted late","Accepted"),IF(B299&lt;'Dashboard'!$B$5,"Overdue",IF(I299="Blocked","Blocked",IF(B299='Dashboard'!$B$5,"Due today","Planned"))))</x:f>
        <x:v>Planned</x:v>
      </x:c>
      <x:c r="S299" s="26" t="str">
        <x:f>IF(I299="Accepted",IF(K299="","Add evidence",IF(O299="","Add reviewer",IF(P299="","Add accepted date",IF(AND(ISNUMBER(F299),COUNT(G299)=0),"Add actual quantity",IF(Q299=0,"Review target / date / dependencies","Complete"))))),IF(OR(I299="Blocked",I299="Deferred"),IF(L299="","Record blocker / reason",IF(M299="","Assign rescue owner",IF(N299="","Set recovery date","Recovery assigned"))),IF(B299&lt;'Dashboard'!$B$5,"Escalate and record recovery","Work to acceptance standard")))</x:f>
        <x:v>Work to acceptance standard</x:v>
      </x:c>
      <x:c r="T299" s="26" t="str">
        <x:v>T0067</x:v>
      </x:c>
      <x:c r="U299" s="26" t="str">
        <x:v>No-show task&lt;=10 min; form/source fields correct; finish critical CRM defect same day. Facebook mirrors exact approved post; Instagram requires permissioned image.</x:v>
      </x:c>
      <x:c r="V299" s="31" t="n">
        <x:v>1.5</x:v>
      </x:c>
      <x:c r="W299" s="26" t="str"/>
      <x:c r="X299" s="26" t="str">
        <x:v>DSI Reset PDF: lane responsibilities and dated runbook; dated allocation proposed for this tracker.</x:v>
      </x:c>
      <x:c r="Y299" s="30" t="n">
        <x:f>B299-WEEKDAY(B299,2)+1</x:f>
        <x:v>46349</x:v>
      </x:c>
      <x:c r="Z299" s="2" t="str">
        <x:v>checklist</x:v>
      </x:c>
      <x:c r="AA299" s="2" t="n">
        <x:f>IF(Q299=1,IF(P299&gt;B299,1,0),0)</x:f>
        <x:v>0</x:v>
      </x:c>
      <x:c r="AB299" s="2" t="n">
        <x:f>IF(AND(Q299=1,P299&lt;='Dashboard'!$B$5),0,MAX(0,'Dashboard'!$B$5-B299))</x:f>
        <x:v>0</x:v>
      </x:c>
      <x:c r="AC299" s="28" t="str"/>
      <x:c r="AD299" s="2" t="str">
        <x:f>IF(AND(ISNUMBER(F299),ISNUMBER(G299)),G299-F299,"")</x:f>
      </x:c>
      <x:c r="AE299" s="2" t="n">
        <x:f>IF(AND(I299="Accepted",K299&lt;&gt;"",O299&lt;&gt;"",ISNUMBER(P299),P299&gt;0,P299&lt;='Dashboard'!$B$5,IF(ISNUMBER(F299),ISNUMBER(G299),TRUE),IF(ISNUMBER(F299),G299&gt;=F299,TRUE)),1,0)</x:f>
        <x:v>0</x:v>
      </x:c>
    </x:row>
    <x:row r="300" ht="58" customHeight="1">
      <x:c r="A300" s="2" t="str">
        <x:v>T0258</x:v>
      </x:c>
      <x:c r="B300" s="30" t="n">
        <x:v>46351</x:v>
      </x:c>
      <x:c r="C300" s="2" t="str">
        <x:v>Brian</x:v>
      </x:c>
      <x:c r="D300" s="2" t="str">
        <x:v>Web and Tracking</x:v>
      </x:c>
      <x:c r="E300" s="26" t="str">
        <x:v>One health-check result; at most one weekly change ticket or no-ticket note</x:v>
      </x:c>
      <x:c r="F300" s="2" t="n">
        <x:v>1</x:v>
      </x:c>
      <x:c r="G300" s="20"/>
      <x:c r="H300" s="2" t="str">
        <x:v>accepted output</x:v>
      </x:c>
      <x:c r="I300" s="20" t="str">
        <x:v>Ready</x:v>
      </x:c>
      <x:c r="J300" s="2" t="str">
        <x:v>16:45</x:v>
      </x:c>
      <x:c r="K300" s="28" t="str"/>
      <x:c r="L300" s="28" t="str"/>
      <x:c r="M300" s="20" t="str"/>
      <x:c r="N300" s="33"/>
      <x:c r="O300" s="20" t="str"/>
      <x:c r="P300" s="33"/>
      <x:c r="Q300" s="2" t="n">
        <x:f>IF(AND(AE300=1,COUNTIFS($A$7:$A$500,"T0067",$AE$7:$AE$500,1)=1,COUNTIFS($A$7:$A$500,"T0055",$AE$7:$AE$500,1)=1),1,0)</x:f>
        <x:v>0</x:v>
      </x:c>
      <x:c r="R300" s="2" t="str">
        <x:f>IF(AND(Q300=1,P300&lt;='Dashboard'!$B$5),IF(P300&gt;B300,"Accepted late","Accepted"),IF(B300&lt;'Dashboard'!$B$5,"Overdue",IF(I300="Blocked","Blocked",IF(B300='Dashboard'!$B$5,"Due today","Planned"))))</x:f>
        <x:v>Planned</x:v>
      </x:c>
      <x:c r="S300" s="26" t="str">
        <x:f>IF(I300="Accepted",IF(K300="","Add evidence",IF(O300="","Add reviewer",IF(P300="","Add accepted date",IF(AND(ISNUMBER(F300),COUNT(G300)=0),"Add actual quantity",IF(Q300=0,"Review target / date / dependencies","Complete"))))),IF(OR(I300="Blocked",I300="Deferred"),IF(L300="","Record blocker / reason",IF(M300="","Assign rescue owner",IF(N300="","Set recovery date","Recovery assigned"))),IF(B300&lt;'Dashboard'!$B$5,"Escalate and record recovery","Work to acceptance standard")))</x:f>
        <x:v>Work to acceptance standard</x:v>
      </x:c>
      <x:c r="T300" s="26" t="str">
        <x:v>T0067</x:v>
      </x:c>
      <x:c r="U300" s="26" t="str">
        <x:v>Form to CQL&lt;1 min; approved copy unchanged; no work manufactured if healthy; ongoing reserve&lt;=2 h/week.</x:v>
      </x:c>
      <x:c r="V300" s="31" t="n">
        <x:v>0.4</x:v>
      </x:c>
      <x:c r="W300" s="26" t="str"/>
      <x:c r="X300" s="26" t="str">
        <x:v>DSI Reset PDF: lane responsibilities and dated runbook; dated allocation proposed for this tracker.</x:v>
      </x:c>
      <x:c r="Y300" s="30" t="n">
        <x:f>B300-WEEKDAY(B300,2)+1</x:f>
        <x:v>46349</x:v>
      </x:c>
      <x:c r="Z300" s="2" t="str">
        <x:v>checklist</x:v>
      </x:c>
      <x:c r="AA300" s="2" t="n">
        <x:f>IF(Q300=1,IF(P300&gt;B300,1,0),0)</x:f>
        <x:v>0</x:v>
      </x:c>
      <x:c r="AB300" s="2" t="n">
        <x:f>IF(AND(Q300=1,P300&lt;='Dashboard'!$B$5),0,MAX(0,'Dashboard'!$B$5-B300))</x:f>
        <x:v>0</x:v>
      </x:c>
      <x:c r="AC300" s="28" t="str"/>
      <x:c r="AD300" s="2" t="str">
        <x:f>IF(AND(ISNUMBER(F300),ISNUMBER(G300)),G300-F300,"")</x:f>
      </x:c>
      <x:c r="AE300" s="2" t="n">
        <x:f>IF(AND(I300="Accepted",K300&lt;&gt;"",O300&lt;&gt;"",ISNUMBER(P300),P300&gt;0,P300&lt;='Dashboard'!$B$5,IF(ISNUMBER(F300),ISNUMBER(G300),TRUE),IF(ISNUMBER(F300),G300&gt;=F300,TRUE)),1,0)</x:f>
        <x:v>0</x:v>
      </x:c>
    </x:row>
    <x:row r="301" ht="58" customHeight="1">
      <x:c r="A301" s="2" t="str">
        <x:v>T0259</x:v>
      </x:c>
      <x:c r="B301" s="30" t="n">
        <x:v>46351</x:v>
      </x:c>
      <x:c r="C301" s="2" t="str">
        <x:v>Dexter</x:v>
      </x:c>
      <x:c r="D301" s="2" t="str">
        <x:v>LinkedIn Execution</x:v>
      </x:c>
      <x:c r="E301" s="26" t="str">
        <x:v>CQL logged DMs/accepts; eligible requests; referred interested replies; approved post evidence Publish approved post SOC11 (Engage); capture the live URL.</x:v>
      </x:c>
      <x:c r="F301" s="2" t="n">
        <x:v>0</x:v>
      </x:c>
      <x:c r="G301" s="20"/>
      <x:c r="H301" s="2" t="str">
        <x:v>new request working target; eligible pool required</x:v>
      </x:c>
      <x:c r="I301" s="20" t="str">
        <x:v>Ready</x:v>
      </x:c>
      <x:c r="J301" s="2" t="str">
        <x:v>16:45</x:v>
      </x:c>
      <x:c r="K301" s="28" t="str"/>
      <x:c r="L301" s="28" t="str"/>
      <x:c r="M301" s="20" t="str"/>
      <x:c r="N301" s="33"/>
      <x:c r="O301" s="20" t="str"/>
      <x:c r="P301" s="33"/>
      <x:c r="Q301" s="2" t="n">
        <x:f>IF(AND(AE301=1,COUNTIFS($A$7:$A$500,"T0067",$AE$7:$AE$500,1)=1,COUNTIFS($A$7:$A$500,"T0055",$AE$7:$AE$500,1)=1),1,0)</x:f>
        <x:v>0</x:v>
      </x:c>
      <x:c r="R301" s="2" t="str">
        <x:f>IF(AND(Q301=1,P301&lt;='Dashboard'!$B$5),IF(P301&gt;B301,"Accepted late","Accepted"),IF(B301&lt;'Dashboard'!$B$5,"Overdue",IF(I301="Blocked","Blocked",IF(B301='Dashboard'!$B$5,"Due today","Planned"))))</x:f>
        <x:v>Planned</x:v>
      </x:c>
      <x:c r="S301" s="26" t="str">
        <x:f>IF(I301="Accepted",IF(K301="","Add evidence",IF(O301="","Add reviewer",IF(P301="","Add accepted date",IF(AND(ISNUMBER(F301),COUNT(G301)=0),"Add actual quantity",IF(Q301=0,"Review target / date / dependencies","Complete"))))),IF(OR(I301="Blocked",I301="Deferred"),IF(L301="","Record blocker / reason",IF(M301="","Assign rescue owner",IF(N301="","Set recovery date","Recovery assigned"))),IF(B301&lt;'Dashboard'!$B$5,"Escalate and record recovery","Work to acceptance standard")))</x:f>
        <x:v>Work to acceptance standard</x:v>
      </x:c>
      <x:c r="T301" s="26" t="str">
        <x:v>T0067</x:v>
      </x:c>
      <x:c r="U301"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01" s="31" t="n">
        <x:v>1.5</x:v>
      </x:c>
      <x:c r="W301" s="26" t="str"/>
      <x:c r="X301" s="26" t="str">
        <x:v>DSI Reset PDF: lane responsibilities and dated runbook; dated allocation proposed for this tracker.</x:v>
      </x:c>
      <x:c r="Y301" s="30" t="n">
        <x:f>B301-WEEKDAY(B301,2)+1</x:f>
        <x:v>46349</x:v>
      </x:c>
      <x:c r="Z301" s="2" t="str">
        <x:v>capacity</x:v>
      </x:c>
      <x:c r="AA301" s="2" t="n">
        <x:f>IF(Q301=1,IF(P301&gt;B301,1,0),0)</x:f>
        <x:v>0</x:v>
      </x:c>
      <x:c r="AB301" s="2" t="n">
        <x:f>IF(AND(Q301=1,P301&lt;='Dashboard'!$B$5),0,MAX(0,'Dashboard'!$B$5-B301))</x:f>
        <x:v>0</x:v>
      </x:c>
      <x:c r="AC301" s="28" t="str"/>
      <x:c r="AD301" s="2" t="str">
        <x:f>IF(AND(ISNUMBER(F301),ISNUMBER(G301)),G301-F301,"")</x:f>
      </x:c>
      <x:c r="AE301" s="2" t="n">
        <x:f>IF(AND(I301="Accepted",K301&lt;&gt;"",O301&lt;&gt;"",ISNUMBER(P301),P301&gt;0,P301&lt;='Dashboard'!$B$5,IF(ISNUMBER(F301),ISNUMBER(G301),TRUE),IF(ISNUMBER(F301),OR(G301&gt;=F301,AC301&lt;&gt;""),TRUE)),1,0)</x:f>
        <x:v>0</x:v>
      </x:c>
    </x:row>
    <x:row r="302" ht="58" customHeight="1">
      <x:c r="A302" s="2" t="str">
        <x:v>T0260</x:v>
      </x:c>
      <x:c r="B302" s="30" t="n">
        <x:v>46351</x:v>
      </x:c>
      <x:c r="C302" s="2" t="str">
        <x:v>Setter 1</x:v>
      </x:c>
      <x:c r="D302" s="2" t="str">
        <x:v>Reply and Phone Setter</x:v>
      </x:c>
      <x:c r="E302" s="26" t="str">
        <x:v>SLA/call outcome log; bookings and next steps; handoff to Nova</x:v>
      </x:c>
      <x:c r="F302" s="2" t="n">
        <x:v>0</x:v>
      </x:c>
      <x:c r="G302" s="20"/>
      <x:c r="H302" s="2" t="str">
        <x:v>dial working target; inbound SLA takes priority</x:v>
      </x:c>
      <x:c r="I302" s="20" t="str">
        <x:v>Ready</x:v>
      </x:c>
      <x:c r="J302" s="2" t="str">
        <x:v>16:45</x:v>
      </x:c>
      <x:c r="K302" s="28" t="str"/>
      <x:c r="L302" s="28" t="str"/>
      <x:c r="M302" s="20" t="str"/>
      <x:c r="N302" s="33"/>
      <x:c r="O302" s="20" t="str"/>
      <x:c r="P302" s="33"/>
      <x:c r="Q302" s="2" t="n">
        <x:f>IF(AND(AE302=1,COUNTIFS($A$7:$A$500,"T0013",$AE$7:$AE$500,1)=1,COUNTIFS($A$7:$A$500,"T0055",$AE$7:$AE$500,1)=1),1,0)</x:f>
        <x:v>0</x:v>
      </x:c>
      <x:c r="R302" s="2" t="str">
        <x:f>IF(AND(Q302=1,P302&lt;='Dashboard'!$B$5),IF(P302&gt;B302,"Accepted late","Accepted"),IF(B302&lt;'Dashboard'!$B$5,"Overdue",IF(I302="Blocked","Blocked",IF(B302='Dashboard'!$B$5,"Due today","Planned"))))</x:f>
        <x:v>Planned</x:v>
      </x:c>
      <x:c r="S302" s="26" t="str">
        <x:f>IF(I302="Accepted",IF(K302="","Add evidence",IF(O302="","Add reviewer",IF(P302="","Add accepted date",IF(AND(ISNUMBER(F302),COUNT(G302)=0),"Add actual quantity",IF(Q302=0,"Review target / date / dependencies","Complete"))))),IF(OR(I302="Blocked",I302="Deferred"),IF(L302="","Record blocker / reason",IF(M302="","Assign rescue owner",IF(N302="","Set recovery date","Recovery assigned"))),IF(B302&lt;'Dashboard'!$B$5,"Escalate and record recovery","Work to acceptance standard")))</x:f>
        <x:v>Work to acceptance standard</x:v>
      </x:c>
      <x:c r="T302" s="26" t="str">
        <x:v>T0013; T0055</x:v>
      </x:c>
      <x:c r="U302"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02" s="31" t="n">
        <x:v>4</x:v>
      </x:c>
      <x:c r="W302" s="26" t="str"/>
      <x:c r="X302" s="26" t="str">
        <x:v>DSI Reset PDF: lane responsibilities and dated runbook; dated allocation proposed for this tracker.</x:v>
      </x:c>
      <x:c r="Y302" s="30" t="n">
        <x:f>B302-WEEKDAY(B302,2)+1</x:f>
        <x:v>46349</x:v>
      </x:c>
      <x:c r="Z302" s="2" t="str">
        <x:v>capacity</x:v>
      </x:c>
      <x:c r="AA302" s="2" t="n">
        <x:f>IF(Q302=1,IF(P302&gt;B302,1,0),0)</x:f>
        <x:v>0</x:v>
      </x:c>
      <x:c r="AB302" s="2" t="n">
        <x:f>IF(AND(Q302=1,P302&lt;='Dashboard'!$B$5),0,MAX(0,'Dashboard'!$B$5-B302))</x:f>
        <x:v>0</x:v>
      </x:c>
      <x:c r="AC302" s="28" t="str"/>
      <x:c r="AD302" s="2" t="str">
        <x:f>IF(AND(ISNUMBER(F302),ISNUMBER(G302)),G302-F302,"")</x:f>
      </x:c>
      <x:c r="AE302" s="2" t="n">
        <x:f>IF(AND(I302="Accepted",K302&lt;&gt;"",O302&lt;&gt;"",ISNUMBER(P302),P302&gt;0,P302&lt;='Dashboard'!$B$5,IF(ISNUMBER(F302),ISNUMBER(G302),TRUE),IF(ISNUMBER(F302),OR(G302&gt;=F302,AC302&lt;&gt;""),TRUE)),1,0)</x:f>
        <x:v>0</x:v>
      </x:c>
    </x:row>
    <x:row r="303" ht="58" customHeight="1">
      <x:c r="A303" s="2" t="str">
        <x:v>T0261</x:v>
      </x:c>
      <x:c r="B303" s="30" t="n">
        <x:v>46351</x:v>
      </x:c>
      <x:c r="C303" s="2" t="str">
        <x:v>Setter 2</x:v>
      </x:c>
      <x:c r="D303" s="2" t="str">
        <x:v>Reply and Phone Setter</x:v>
      </x:c>
      <x:c r="E303" s="26" t="str">
        <x:v>SLA/call outcome log; bookings and next steps; handoff to Nova</x:v>
      </x:c>
      <x:c r="F303" s="2" t="n">
        <x:v>0</x:v>
      </x:c>
      <x:c r="G303" s="20"/>
      <x:c r="H303" s="2" t="str">
        <x:v>dial working target; inbound SLA takes priority</x:v>
      </x:c>
      <x:c r="I303" s="20" t="str">
        <x:v>Ready</x:v>
      </x:c>
      <x:c r="J303" s="2" t="str">
        <x:v>16:45</x:v>
      </x:c>
      <x:c r="K303" s="28" t="str"/>
      <x:c r="L303" s="28" t="str"/>
      <x:c r="M303" s="20" t="str"/>
      <x:c r="N303" s="33"/>
      <x:c r="O303" s="20" t="str"/>
      <x:c r="P303" s="33"/>
      <x:c r="Q303" s="2" t="n">
        <x:f>IF(AND(AE303=1,COUNTIFS($A$7:$A$500,"T0013",$AE$7:$AE$500,1)=1,COUNTIFS($A$7:$A$500,"T0055",$AE$7:$AE$500,1)=1),1,0)</x:f>
        <x:v>0</x:v>
      </x:c>
      <x:c r="R303" s="2" t="str">
        <x:f>IF(AND(Q303=1,P303&lt;='Dashboard'!$B$5),IF(P303&gt;B303,"Accepted late","Accepted"),IF(B303&lt;'Dashboard'!$B$5,"Overdue",IF(I303="Blocked","Blocked",IF(B303='Dashboard'!$B$5,"Due today","Planned"))))</x:f>
        <x:v>Planned</x:v>
      </x:c>
      <x:c r="S303" s="26" t="str">
        <x:f>IF(I303="Accepted",IF(K303="","Add evidence",IF(O303="","Add reviewer",IF(P303="","Add accepted date",IF(AND(ISNUMBER(F303),COUNT(G303)=0),"Add actual quantity",IF(Q303=0,"Review target / date / dependencies","Complete"))))),IF(OR(I303="Blocked",I303="Deferred"),IF(L303="","Record blocker / reason",IF(M303="","Assign rescue owner",IF(N303="","Set recovery date","Recovery assigned"))),IF(B303&lt;'Dashboard'!$B$5,"Escalate and record recovery","Work to acceptance standard")))</x:f>
        <x:v>Work to acceptance standard</x:v>
      </x:c>
      <x:c r="T303" s="26" t="str">
        <x:v>T0013; T0055</x:v>
      </x:c>
      <x:c r="U303"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03" s="31" t="n">
        <x:v>4</x:v>
      </x:c>
      <x:c r="W303" s="26" t="str"/>
      <x:c r="X303" s="26" t="str">
        <x:v>DSI Reset PDF: lane responsibilities and dated runbook; dated allocation proposed for this tracker.</x:v>
      </x:c>
      <x:c r="Y303" s="30" t="n">
        <x:f>B303-WEEKDAY(B303,2)+1</x:f>
        <x:v>46349</x:v>
      </x:c>
      <x:c r="Z303" s="2" t="str">
        <x:v>capacity</x:v>
      </x:c>
      <x:c r="AA303" s="2" t="n">
        <x:f>IF(Q303=1,IF(P303&gt;B303,1,0),0)</x:f>
        <x:v>0</x:v>
      </x:c>
      <x:c r="AB303" s="2" t="n">
        <x:f>IF(AND(Q303=1,P303&lt;='Dashboard'!$B$5),0,MAX(0,'Dashboard'!$B$5-B303))</x:f>
        <x:v>0</x:v>
      </x:c>
      <x:c r="AC303" s="28" t="str"/>
      <x:c r="AD303" s="2" t="str">
        <x:f>IF(AND(ISNUMBER(F303),ISNUMBER(G303)),G303-F303,"")</x:f>
      </x:c>
      <x:c r="AE303" s="2" t="n">
        <x:f>IF(AND(I303="Accepted",K303&lt;&gt;"",O303&lt;&gt;"",ISNUMBER(P303),P303&gt;0,P303&lt;='Dashboard'!$B$5,IF(ISNUMBER(F303),ISNUMBER(G303),TRUE),IF(ISNUMBER(F303),OR(G303&gt;=F303,AC303&lt;&gt;""),TRUE)),1,0)</x:f>
        <x:v>0</x:v>
      </x:c>
    </x:row>
    <x:row r="304" ht="58" customHeight="1">
      <x:c r="A304" s="2" t="str">
        <x:v>T0466</x:v>
      </x:c>
      <x:c r="B304" s="30" t="n">
        <x:v>46351</x:v>
      </x:c>
      <x:c r="C304" s="2" t="str">
        <x:v>Nic</x:v>
      </x:c>
      <x:c r="D304" s="2" t="str">
        <x:v>Client dependency</x:v>
      </x:c>
      <x:c r="E304" s="26" t="str">
        <x:v>Call outcome/next step for every appointment due; first-case decisions</x:v>
      </x:c>
      <x:c r="F304" s="2" t="str"/>
      <x:c r="G304" s="20"/>
      <x:c r="H304" s="2" t="str">
        <x:v>all due appointments</x:v>
      </x:c>
      <x:c r="I304" s="20" t="str">
        <x:v>Ready</x:v>
      </x:c>
      <x:c r="J304" s="2" t="str">
        <x:v>16:45</x:v>
      </x:c>
      <x:c r="K304" s="28" t="str"/>
      <x:c r="L304" s="28" t="str"/>
      <x:c r="M304" s="20" t="str"/>
      <x:c r="N304" s="33"/>
      <x:c r="O304" s="20" t="str"/>
      <x:c r="P304" s="33"/>
      <x:c r="Q304" s="2" t="n">
        <x:f>IF(AND(AE304=1,COUNTIFS($A$7:$A$500,"T0028",$AE$7:$AE$500,1)=1),1,0)</x:f>
        <x:v>0</x:v>
      </x:c>
      <x:c r="R304" s="2" t="str">
        <x:f>IF(AND(Q304=1,P304&lt;='Dashboard'!$B$5),IF(P304&gt;B304,"Accepted late","Accepted"),IF(B304&lt;'Dashboard'!$B$5,"Overdue",IF(I304="Blocked","Blocked",IF(B304='Dashboard'!$B$5,"Due today","Planned"))))</x:f>
        <x:v>Planned</x:v>
      </x:c>
      <x:c r="S304" s="26" t="str">
        <x:f>IF(I304="Accepted",IF(K304="","Add evidence",IF(O304="","Add reviewer",IF(P304="","Add accepted date",IF(AND(ISNUMBER(F304),COUNT(G304)=0),"Add actual quantity",IF(Q304=0,"Review target / date / dependencies","Complete"))))),IF(OR(I304="Blocked",I304="Deferred"),IF(L304="","Record blocker / reason",IF(M304="","Assign rescue owner",IF(N304="","Set recovery date","Recovery assigned"))),IF(B304&lt;'Dashboard'!$B$5,"Escalate and record recovery","Work to acceptance standard")))</x:f>
        <x:v>Work to acceptance standard</x:v>
      </x:c>
      <x:c r="T304" s="26" t="str">
        <x:v>T0028</x:v>
      </x:c>
      <x:c r="U304" s="26" t="str">
        <x:v>Demand-linked: work actual approved calendar; setter brief present; outcome logged same day. No calls scheduled is N/A with calendar evidence.</x:v>
      </x:c>
      <x:c r="V304" s="31" t="n">
        <x:v>0.5</x:v>
      </x:c>
      <x:c r="W304" s="26" t="str"/>
      <x:c r="X304" s="26" t="str">
        <x:v>DSI Reset PDF: lane responsibilities and dated runbook; dated allocation proposed for this tracker.</x:v>
      </x:c>
      <x:c r="Y304" s="30" t="n">
        <x:f>B304-WEEKDAY(B304,2)+1</x:f>
        <x:v>46349</x:v>
      </x:c>
      <x:c r="Z304" s="2" t="str">
        <x:v>demand</x:v>
      </x:c>
      <x:c r="AA304" s="2" t="n">
        <x:f>IF(Q304=1,IF(P304&gt;B304,1,0),0)</x:f>
        <x:v>0</x:v>
      </x:c>
      <x:c r="AB304" s="2" t="n">
        <x:f>IF(AND(Q304=1,P304&lt;='Dashboard'!$B$5),0,MAX(0,'Dashboard'!$B$5-B304))</x:f>
        <x:v>0</x:v>
      </x:c>
      <x:c r="AC304" s="28" t="str"/>
      <x:c r="AD304" s="2" t="str">
        <x:f>IF(AND(ISNUMBER(F304),ISNUMBER(G304)),G304-F304,"")</x:f>
      </x:c>
      <x:c r="AE304" s="2" t="n">
        <x:f>IF(AND(I304="Accepted",K304&lt;&gt;"",O304&lt;&gt;"",ISNUMBER(P304),P304&gt;0,P304&lt;='Dashboard'!$B$5,IF(ISNUMBER(F304),ISNUMBER(G304),TRUE)),1,0)</x:f>
        <x:v>0</x:v>
      </x:c>
    </x:row>
    <x:row r="305" ht="58" customHeight="1">
      <x:c r="A305" s="2" t="str">
        <x:v>T0433</x:v>
      </x:c>
      <x:c r="B305" s="30" t="n">
        <x:v>46351</x:v>
      </x:c>
      <x:c r="C305" s="2" t="str">
        <x:v>Maseeha</x:v>
      </x:c>
      <x:c r="D305" s="2" t="str">
        <x:v>Client dependency</x:v>
      </x:c>
      <x:c r="E305" s="26" t="str">
        <x:v>41 total unique existing accounts asked. Planned asks today: 2 unique existing accounts; cumulative 41.</x:v>
      </x:c>
      <x:c r="F305" s="2" t="n">
        <x:v>1</x:v>
      </x:c>
      <x:c r="G305" s="20"/>
      <x:c r="H305" s="2" t="str">
        <x:v>accepted output</x:v>
      </x:c>
      <x:c r="I305" s="20" t="str">
        <x:v>Ready</x:v>
      </x:c>
      <x:c r="J305" s="2" t="str">
        <x:v>16:45</x:v>
      </x:c>
      <x:c r="K305" s="28" t="str"/>
      <x:c r="L305" s="28" t="str"/>
      <x:c r="M305" s="20" t="str"/>
      <x:c r="N305" s="33"/>
      <x:c r="O305" s="20" t="str"/>
      <x:c r="P305" s="33"/>
      <x:c r="Q305" s="2" t="n">
        <x:f>IF(AND(AE305=1,COUNTIFS($A$7:$A$500,"T0028",$AE$7:$AE$500,1)=1),1,0)</x:f>
        <x:v>0</x:v>
      </x:c>
      <x:c r="R305" s="2" t="str">
        <x:f>IF(AND(Q305=1,P305&lt;='Dashboard'!$B$5),IF(P305&gt;B305,"Accepted late","Accepted"),IF(B305&lt;'Dashboard'!$B$5,"Overdue",IF(I305="Blocked","Blocked",IF(B305='Dashboard'!$B$5,"Due today","Planned"))))</x:f>
        <x:v>Planned</x:v>
      </x:c>
      <x:c r="S305" s="26" t="str">
        <x:f>IF(I305="Accepted",IF(K305="","Add evidence",IF(O305="","Add reviewer",IF(P305="","Add accepted date",IF(AND(ISNUMBER(F305),COUNT(G305)=0),"Add actual quantity",IF(Q305=0,"Review target / date / dependencies","Complete"))))),IF(OR(I305="Blocked",I305="Deferred"),IF(L305="","Record blocker / reason",IF(M305="","Assign rescue owner",IF(N305="","Set recovery date","Recovery assigned"))),IF(B305&lt;'Dashboard'!$B$5,"Escalate and record recovery","Work to acceptance standard")))</x:f>
        <x:v>Work to acceptance standard</x:v>
      </x:c>
      <x:c r="T305" s="26" t="str">
        <x:v>T0028</x:v>
      </x:c>
      <x:c r="U305" s="26" t="str">
        <x:v>16 C added; qualified intro consent verified; credit eligibility distinct from ask.</x:v>
      </x:c>
      <x:c r="V305" s="31" t="n">
        <x:v>1.5</x:v>
      </x:c>
      <x:c r="W305" s="26" t="str"/>
      <x:c r="X305" s="26" t="str">
        <x:v>DSI Reset PDF: lane responsibilities and dated runbook; dated allocation proposed for this tracker.</x:v>
      </x:c>
      <x:c r="Y305" s="30" t="n">
        <x:f>B305-WEEKDAY(B305,2)+1</x:f>
        <x:v>46349</x:v>
      </x:c>
      <x:c r="Z305" s="2" t="str">
        <x:v>checklist</x:v>
      </x:c>
      <x:c r="AA305" s="2" t="n">
        <x:f>IF(Q305=1,IF(P305&gt;B305,1,0),0)</x:f>
        <x:v>0</x:v>
      </x:c>
      <x:c r="AB305" s="2" t="n">
        <x:f>IF(AND(Q305=1,P305&lt;='Dashboard'!$B$5),0,MAX(0,'Dashboard'!$B$5-B305))</x:f>
        <x:v>0</x:v>
      </x:c>
      <x:c r="AC305" s="28" t="str"/>
      <x:c r="AD305" s="2" t="str">
        <x:f>IF(AND(ISNUMBER(F305),ISNUMBER(G305)),G305-F305,"")</x:f>
      </x:c>
      <x:c r="AE305" s="2" t="n">
        <x:f>IF(AND(I305="Accepted",K305&lt;&gt;"",O305&lt;&gt;"",ISNUMBER(P305),P305&gt;0,P305&lt;='Dashboard'!$B$5,IF(ISNUMBER(F305),ISNUMBER(G305),TRUE),IF(ISNUMBER(F305),G305&gt;=F305,TRUE)),1,0)</x:f>
        <x:v>0</x:v>
      </x:c>
    </x:row>
    <x:row r="306" ht="58" customHeight="1">
      <x:c r="A306" s="2" t="str">
        <x:v>T0262</x:v>
      </x:c>
      <x:c r="B306" s="30" t="n">
        <x:v>46356</x:v>
      </x:c>
      <x:c r="C306" s="2" t="str">
        <x:v>Wyline</x:v>
      </x:c>
      <x:c r="D306" s="2" t="str">
        <x:v>Program Director</x:v>
      </x:c>
      <x:c r="E306" s="26" t="str">
        <x:v>Accepted-output register; actual-vs-target dashboard; blocker/rescue assignments</x:v>
      </x:c>
      <x:c r="F306" s="2" t="n">
        <x:v>1</x:v>
      </x:c>
      <x:c r="G306" s="20"/>
      <x:c r="H306" s="2" t="str">
        <x:v>accepted output</x:v>
      </x:c>
      <x:c r="I306" s="20" t="str">
        <x:v>Ready</x:v>
      </x:c>
      <x:c r="J306" s="2" t="str">
        <x:v>16:45</x:v>
      </x:c>
      <x:c r="K306" s="28" t="str"/>
      <x:c r="L306" s="28" t="str"/>
      <x:c r="M306" s="20" t="str"/>
      <x:c r="N306" s="33"/>
      <x:c r="O306" s="20" t="str"/>
      <x:c r="P306" s="33"/>
      <x:c r="Q306" s="2" t="n">
        <x:f>IF(AND(AE306=1,COUNTIFS($A$7:$A$500,"T0067",$AE$7:$AE$500,1)=1,COUNTIFS($A$7:$A$500,"T0055",$AE$7:$AE$500,1)=1),1,0)</x:f>
        <x:v>0</x:v>
      </x:c>
      <x:c r="R306" s="2" t="str">
        <x:f>IF(AND(Q306=1,P306&lt;='Dashboard'!$B$5),IF(P306&gt;B306,"Accepted late","Accepted"),IF(B306&lt;'Dashboard'!$B$5,"Overdue",IF(I306="Blocked","Blocked",IF(B306='Dashboard'!$B$5,"Due today","Planned"))))</x:f>
        <x:v>Planned</x:v>
      </x:c>
      <x:c r="S306" s="26" t="str">
        <x:f>IF(I306="Accepted",IF(K306="","Add evidence",IF(O306="","Add reviewer",IF(P306="","Add accepted date",IF(AND(ISNUMBER(F306),COUNT(G306)=0),"Add actual quantity",IF(Q306=0,"Review target / date / dependencies","Complete"))))),IF(OR(I306="Blocked",I306="Deferred"),IF(L306="","Record blocker / reason",IF(M306="","Assign rescue owner",IF(N306="","Set recovery date","Recovery assigned"))),IF(B306&lt;'Dashboard'!$B$5,"Escalate and record recovery","Work to acceptance standard")))</x:f>
        <x:v>Work to acceptance standard</x:v>
      </x:c>
      <x:c r="T306" s="26" t="str">
        <x:v>T0067</x:v>
      </x:c>
      <x:c r="U306" s="26" t="str">
        <x:v>09:00 standup; 13:00/16:30 recovery checks; 17:00 acceptance. Every overdue task keeps original date and named recovery owner.</x:v>
      </x:c>
      <x:c r="V306" s="31" t="n">
        <x:v>3</x:v>
      </x:c>
      <x:c r="W306" s="26" t="str"/>
      <x:c r="X306" s="26" t="str">
        <x:v>DSI Reset PDF: lane responsibilities and dated runbook; dated allocation proposed for this tracker.</x:v>
      </x:c>
      <x:c r="Y306" s="30" t="n">
        <x:f>B306-WEEKDAY(B306,2)+1</x:f>
        <x:v>46356</x:v>
      </x:c>
      <x:c r="Z306" s="2" t="str">
        <x:v>checklist</x:v>
      </x:c>
      <x:c r="AA306" s="2" t="n">
        <x:f>IF(Q306=1,IF(P306&gt;B306,1,0),0)</x:f>
        <x:v>0</x:v>
      </x:c>
      <x:c r="AB306" s="2" t="n">
        <x:f>IF(AND(Q306=1,P306&lt;='Dashboard'!$B$5),0,MAX(0,'Dashboard'!$B$5-B306))</x:f>
        <x:v>0</x:v>
      </x:c>
      <x:c r="AC306" s="28" t="str"/>
      <x:c r="AD306" s="2" t="str">
        <x:f>IF(AND(ISNUMBER(F306),ISNUMBER(G306)),G306-F306,"")</x:f>
      </x:c>
      <x:c r="AE306" s="2" t="n">
        <x:f>IF(AND(I306="Accepted",K306&lt;&gt;"",O306&lt;&gt;"",ISNUMBER(P306),P306&gt;0,P306&lt;='Dashboard'!$B$5,IF(ISNUMBER(F306),ISNUMBER(G306),TRUE),IF(ISNUMBER(F306),G306&gt;=F306,TRUE)),1,0)</x:f>
        <x:v>0</x:v>
      </x:c>
    </x:row>
    <x:row r="307" ht="58" customHeight="1">
      <x:c r="A307" s="2" t="str">
        <x:v>T0263</x:v>
      </x:c>
      <x:c r="B307" s="30" t="n">
        <x:v>46356</x:v>
      </x:c>
      <x:c r="C307" s="2" t="str">
        <x:v>Kenneth</x:v>
      </x:c>
      <x:c r="D307" s="2" t="str">
        <x:v>Message Orchestrator</x:v>
      </x:c>
      <x:c r="E307" s="26" t="str">
        <x:v>Human-reply insights; 5 Inbox draft checks; approved first lines; claim exceptions</x:v>
      </x:c>
      <x:c r="F307" s="2" t="n">
        <x:v>1</x:v>
      </x:c>
      <x:c r="G307" s="20"/>
      <x:c r="H307" s="2" t="str">
        <x:v>accepted output</x:v>
      </x:c>
      <x:c r="I307" s="20" t="str">
        <x:v>Ready</x:v>
      </x:c>
      <x:c r="J307" s="2" t="str">
        <x:v>16:45</x:v>
      </x:c>
      <x:c r="K307" s="28" t="str"/>
      <x:c r="L307" s="28" t="str"/>
      <x:c r="M307" s="20" t="str"/>
      <x:c r="N307" s="33"/>
      <x:c r="O307" s="20" t="str"/>
      <x:c r="P307" s="33"/>
      <x:c r="Q307" s="2" t="n">
        <x:f>IF(AND(AE307=1,COUNTIFS($A$7:$A$500,"T0067",$AE$7:$AE$500,1)=1,COUNTIFS($A$7:$A$500,"T0055",$AE$7:$AE$500,1)=1),1,0)</x:f>
        <x:v>0</x:v>
      </x:c>
      <x:c r="R307" s="2" t="str">
        <x:f>IF(AND(Q307=1,P307&lt;='Dashboard'!$B$5),IF(P307&gt;B307,"Accepted late","Accepted"),IF(B307&lt;'Dashboard'!$B$5,"Overdue",IF(I307="Blocked","Blocked",IF(B307='Dashboard'!$B$5,"Due today","Planned"))))</x:f>
        <x:v>Planned</x:v>
      </x:c>
      <x:c r="S307" s="26" t="str">
        <x:f>IF(I307="Accepted",IF(K307="","Add evidence",IF(O307="","Add reviewer",IF(P307="","Add accepted date",IF(AND(ISNUMBER(F307),COUNT(G307)=0),"Add actual quantity",IF(Q307=0,"Review target / date / dependencies","Complete"))))),IF(OR(I307="Blocked",I307="Deferred"),IF(L307="","Record blocker / reason",IF(M307="","Assign rescue owner",IF(N307="","Set recovery date","Recovery assigned"))),IF(B307&lt;'Dashboard'!$B$5,"Escalate and record recovery","Work to acceptance standard")))</x:f>
        <x:v>Work to acceptance standard</x:v>
      </x:c>
      <x:c r="T307" s="26" t="str">
        <x:v>T0067</x:v>
      </x:c>
      <x:c r="U307" s="26" t="str">
        <x:v>Zero invented claims. If any draft fails facts, stop drafting/retrain; no offer change without approval.</x:v>
      </x:c>
      <x:c r="V307" s="31" t="n">
        <x:v>2.4</x:v>
      </x:c>
      <x:c r="W307" s="26" t="str"/>
      <x:c r="X307" s="26" t="str">
        <x:v>DSI Reset PDF: lane responsibilities and dated runbook; dated allocation proposed for this tracker.</x:v>
      </x:c>
      <x:c r="Y307" s="30" t="n">
        <x:f>B307-WEEKDAY(B307,2)+1</x:f>
        <x:v>46356</x:v>
      </x:c>
      <x:c r="Z307" s="2" t="str">
        <x:v>checklist</x:v>
      </x:c>
      <x:c r="AA307" s="2" t="n">
        <x:f>IF(Q307=1,IF(P307&gt;B307,1,0),0)</x:f>
        <x:v>0</x:v>
      </x:c>
      <x:c r="AB307" s="2" t="n">
        <x:f>IF(AND(Q307=1,P307&lt;='Dashboard'!$B$5),0,MAX(0,'Dashboard'!$B$5-B307))</x:f>
        <x:v>0</x:v>
      </x:c>
      <x:c r="AC307" s="28" t="str"/>
      <x:c r="AD307" s="2" t="str">
        <x:f>IF(AND(ISNUMBER(F307),ISNUMBER(G307)),G307-F307,"")</x:f>
      </x:c>
      <x:c r="AE307" s="2" t="n">
        <x:f>IF(AND(I307="Accepted",K307&lt;&gt;"",O307&lt;&gt;"",ISNUMBER(P307),P307&gt;0,P307&lt;='Dashboard'!$B$5,IF(ISNUMBER(F307),ISNUMBER(G307),TRUE),IF(ISNUMBER(F307),G307&gt;=F307,TRUE)),1,0)</x:f>
        <x:v>0</x:v>
      </x:c>
    </x:row>
    <x:row r="308" ht="58" customHeight="1">
      <x:c r="A308" s="2" t="str">
        <x:v>T0264</x:v>
      </x:c>
      <x:c r="B308" s="30" t="n">
        <x:v>46356</x:v>
      </x:c>
      <x:c r="C308" s="2" t="str">
        <x:v>Joey</x:v>
      </x:c>
      <x:c r="D308" s="2" t="str">
        <x:v>Data Orchestrator</x:v>
      </x:c>
      <x:c r="E308" s="26" t="str">
        <x:v>Mailbox/bounce/suppression log; ready verified records; due-follow up versus new-send capacity plan. Planned list output today: 30 new verified contacts; cumulative ready pool 530.</x:v>
      </x:c>
      <x:c r="F308" s="2" t="n">
        <x:v>30</x:v>
      </x:c>
      <x:c r="G308" s="20"/>
      <x:c r="H308" s="2" t="str">
        <x:v>new verified contacts; proposed daily pace</x:v>
      </x:c>
      <x:c r="I308" s="20" t="str">
        <x:v>Ready</x:v>
      </x:c>
      <x:c r="J308" s="2" t="str">
        <x:v>16:45</x:v>
      </x:c>
      <x:c r="K308" s="28" t="str"/>
      <x:c r="L308" s="28" t="str"/>
      <x:c r="M308" s="20" t="str"/>
      <x:c r="N308" s="33"/>
      <x:c r="O308" s="20" t="str"/>
      <x:c r="P308" s="33"/>
      <x:c r="Q308" s="2" t="n">
        <x:f>IF(AND(AE308=1,COUNTIFS($A$7:$A$500,"T0067",$AE$7:$AE$500,1)=1,COUNTIFS($A$7:$A$500,"T0055",$AE$7:$AE$500,1)=1),1,0)</x:f>
        <x:v>0</x:v>
      </x:c>
      <x:c r="R308" s="2" t="str">
        <x:f>IF(AND(Q308=1,P308&lt;='Dashboard'!$B$5),IF(P308&gt;B308,"Accepted late","Accepted"),IF(B308&lt;'Dashboard'!$B$5,"Overdue",IF(I308="Blocked","Blocked",IF(B308='Dashboard'!$B$5,"Due today","Planned"))))</x:f>
        <x:v>Planned</x:v>
      </x:c>
      <x:c r="S308" s="26" t="str">
        <x:f>IF(I308="Accepted",IF(K308="","Add evidence",IF(O308="","Add reviewer",IF(P308="","Add accepted date",IF(AND(ISNUMBER(F308),COUNT(G308)=0),"Add actual quantity",IF(Q308=0,"Review target / date / dependencies","Complete"))))),IF(OR(I308="Blocked",I308="Deferred"),IF(L308="","Record blocker / reason",IF(M308="","Assign rescue owner",IF(N308="","Set recovery date","Recovery assigned"))),IF(B308&lt;'Dashboard'!$B$5,"Escalate and record recovery","Work to acceptance standard")))</x:f>
        <x:v>Work to acceptance standard</x:v>
      </x:c>
      <x:c r="T308" s="26" t="str">
        <x:v>T0067</x:v>
      </x:c>
      <x:c r="U308" s="26" t="str">
        <x:v>Planning pool addition 30 contacts today; quality gate wins over quota. Total sends&lt;=150/day;&gt;3% bounce affected mailbox held. No new cold enrollments on reduced/buffer days.</x:v>
      </x:c>
      <x:c r="V308" s="31" t="n">
        <x:v>3</x:v>
      </x:c>
      <x:c r="W308" s="26" t="str"/>
      <x:c r="X308" s="26" t="str">
        <x:v>DSI Reset PDF: lane responsibilities and dated runbook; dated allocation proposed for this tracker.</x:v>
      </x:c>
      <x:c r="Y308" s="30" t="n">
        <x:f>B308-WEEKDAY(B308,2)+1</x:f>
        <x:v>46356</x:v>
      </x:c>
      <x:c r="Z308" s="2" t="str">
        <x:v>goal</x:v>
      </x:c>
      <x:c r="AA308" s="2" t="n">
        <x:f>IF(Q308=1,IF(P308&gt;B308,1,0),0)</x:f>
        <x:v>0</x:v>
      </x:c>
      <x:c r="AB308" s="2" t="n">
        <x:f>IF(AND(Q308=1,P308&lt;='Dashboard'!$B$5),0,MAX(0,'Dashboard'!$B$5-B308))</x:f>
        <x:v>0</x:v>
      </x:c>
      <x:c r="AC308" s="28" t="str"/>
      <x:c r="AD308" s="2" t="str">
        <x:f>IF(AND(ISNUMBER(F308),ISNUMBER(G308)),G308-F308,"")</x:f>
      </x:c>
      <x:c r="AE308" s="2" t="n">
        <x:f>IF(AND(I308="Accepted",K308&lt;&gt;"",O308&lt;&gt;"",ISNUMBER(P308),P308&gt;0,P308&lt;='Dashboard'!$B$5,IF(ISNUMBER(F308),ISNUMBER(G308),TRUE),IF(ISNUMBER(F308),G308&gt;=F308,TRUE)),1,0)</x:f>
        <x:v>0</x:v>
      </x:c>
    </x:row>
    <x:row r="309" ht="58" customHeight="1">
      <x:c r="A309" s="2" t="str">
        <x:v>T0265</x:v>
      </x:c>
      <x:c r="B309" s="30" t="n">
        <x:v>46356</x:v>
      </x:c>
      <x:c r="C309" s="2" t="str">
        <x:v>Nova</x:v>
      </x:c>
      <x:c r="D309" s="2" t="str">
        <x:v>Conversion Orchestrator</x:v>
      </x:c>
      <x:c r="E309" s="26" t="str">
        <x:v>Refreshed calendar, callback and SLA roster. Log each unique qualified inquiry with practice type, decision-maker access, case volume, service need and readiness timing.</x:v>
      </x:c>
      <x:c r="F309" s="2" t="n">
        <x:v>1</x:v>
      </x:c>
      <x:c r="G309" s="20"/>
      <x:c r="H309" s="2" t="str">
        <x:v>accepted output</x:v>
      </x:c>
      <x:c r="I309" s="20" t="str">
        <x:v>Ready</x:v>
      </x:c>
      <x:c r="J309" s="2" t="str">
        <x:v>16:45</x:v>
      </x:c>
      <x:c r="K309" s="28" t="str"/>
      <x:c r="L309" s="28" t="str"/>
      <x:c r="M309" s="20" t="str"/>
      <x:c r="N309" s="33"/>
      <x:c r="O309" s="20" t="str"/>
      <x:c r="P309" s="33"/>
      <x:c r="Q309" s="2" t="n">
        <x:f>IF(AND(AE309=1,COUNTIFS($A$7:$A$500,"T0067",$AE$7:$AE$500,1)=1,COUNTIFS($A$7:$A$500,"T0055",$AE$7:$AE$500,1)=1),1,0)</x:f>
        <x:v>0</x:v>
      </x:c>
      <x:c r="R309" s="2" t="str">
        <x:f>IF(AND(Q309=1,P309&lt;='Dashboard'!$B$5),IF(P309&gt;B309,"Accepted late","Accepted"),IF(B309&lt;'Dashboard'!$B$5,"Overdue",IF(I309="Blocked","Blocked",IF(B309='Dashboard'!$B$5,"Due today","Planned"))))</x:f>
        <x:v>Planned</x:v>
      </x:c>
      <x:c r="S309" s="26" t="str">
        <x:f>IF(I309="Accepted",IF(K309="","Add evidence",IF(O309="","Add reviewer",IF(P309="","Add accepted date",IF(AND(ISNUMBER(F309),COUNT(G309)=0),"Add actual quantity",IF(Q309=0,"Review target / date / dependencies","Complete"))))),IF(OR(I309="Blocked",I309="Deferred"),IF(L309="","Record blocker / reason",IF(M309="","Assign rescue owner",IF(N309="","Set recovery date","Recovery assigned"))),IF(B309&lt;'Dashboard'!$B$5,"Escalate and record recovery","Work to acceptance standard")))</x:f>
        <x:v>Work to acceptance standard</x:v>
      </x:c>
      <x:c r="T309" s="26" t="str">
        <x:v>T0067</x:v>
      </x:c>
      <x:c r="U309" s="26" t="str">
        <x:v>Open offices/slots confirmed; inbound priority; stale opportunities have next step. Raw contacts, opens and accepts never count as qualified inquiries; deduplicate across channels.</x:v>
      </x:c>
      <x:c r="V309" s="31" t="n">
        <x:v>4</x:v>
      </x:c>
      <x:c r="W309" s="26" t="str"/>
      <x:c r="X309" s="26" t="str">
        <x:v>DSI Reset PDF: lane responsibilities and dated runbook; dated allocation proposed for this tracker.</x:v>
      </x:c>
      <x:c r="Y309" s="30" t="n">
        <x:f>B309-WEEKDAY(B309,2)+1</x:f>
        <x:v>46356</x:v>
      </x:c>
      <x:c r="Z309" s="2" t="str">
        <x:v>checklist</x:v>
      </x:c>
      <x:c r="AA309" s="2" t="n">
        <x:f>IF(Q309=1,IF(P309&gt;B309,1,0),0)</x:f>
        <x:v>0</x:v>
      </x:c>
      <x:c r="AB309" s="2" t="n">
        <x:f>IF(AND(Q309=1,P309&lt;='Dashboard'!$B$5),0,MAX(0,'Dashboard'!$B$5-B309))</x:f>
        <x:v>0</x:v>
      </x:c>
      <x:c r="AC309" s="28" t="str"/>
      <x:c r="AD309" s="2" t="str">
        <x:f>IF(AND(ISNUMBER(F309),ISNUMBER(G309)),G309-F309,"")</x:f>
      </x:c>
      <x:c r="AE309" s="2" t="n">
        <x:f>IF(AND(I309="Accepted",K309&lt;&gt;"",O309&lt;&gt;"",ISNUMBER(P309),P309&gt;0,P309&lt;='Dashboard'!$B$5,IF(ISNUMBER(F309),ISNUMBER(G309),TRUE),IF(ISNUMBER(F309),G309&gt;=F309,TRUE)),1,0)</x:f>
        <x:v>0</x:v>
      </x:c>
    </x:row>
    <x:row r="310" ht="58" customHeight="1">
      <x:c r="A310" s="2" t="str">
        <x:v>T0266</x:v>
      </x:c>
      <x:c r="B310" s="30" t="n">
        <x:v>46356</x:v>
      </x:c>
      <x:c r="C310" s="2" t="str">
        <x:v>Emman</x:v>
      </x:c>
      <x:c r="D310" s="2" t="str">
        <x:v>AI Build Orchestrator</x:v>
      </x:c>
      <x:c r="E310" s="26" t="str">
        <x:v>Health/retry log; one acceptance-backed build increment; updated change log</x:v>
      </x:c>
      <x:c r="F310" s="2" t="n">
        <x:v>1</x:v>
      </x:c>
      <x:c r="G310" s="20"/>
      <x:c r="H310" s="2" t="str">
        <x:v>accepted output</x:v>
      </x:c>
      <x:c r="I310" s="20" t="str">
        <x:v>Ready</x:v>
      </x:c>
      <x:c r="J310" s="2" t="str">
        <x:v>16:45</x:v>
      </x:c>
      <x:c r="K310" s="28" t="str"/>
      <x:c r="L310" s="28" t="str"/>
      <x:c r="M310" s="20" t="str"/>
      <x:c r="N310" s="33"/>
      <x:c r="O310" s="20" t="str"/>
      <x:c r="P310" s="33"/>
      <x:c r="Q310" s="2" t="n">
        <x:f>IF(AND(AE310=1,COUNTIFS($A$7:$A$500,"T0067",$AE$7:$AE$500,1)=1,COUNTIFS($A$7:$A$500,"T0055",$AE$7:$AE$500,1)=1),1,0)</x:f>
        <x:v>0</x:v>
      </x:c>
      <x:c r="R310" s="2" t="str">
        <x:f>IF(AND(Q310=1,P310&lt;='Dashboard'!$B$5),IF(P310&gt;B310,"Accepted late","Accepted"),IF(B310&lt;'Dashboard'!$B$5,"Overdue",IF(I310="Blocked","Blocked",IF(B310='Dashboard'!$B$5,"Due today","Planned"))))</x:f>
        <x:v>Planned</x:v>
      </x:c>
      <x:c r="S310" s="26" t="str">
        <x:f>IF(I310="Accepted",IF(K310="","Add evidence",IF(O310="","Add reviewer",IF(P310="","Add accepted date",IF(AND(ISNUMBER(F310),COUNT(G310)=0),"Add actual quantity",IF(Q310=0,"Review target / date / dependencies","Complete"))))),IF(OR(I310="Blocked",I310="Deferred"),IF(L310="","Record blocker / reason",IF(M310="","Assign rescue owner",IF(N310="","Set recovery date","Recovery assigned"))),IF(B310&lt;'Dashboard'!$B$5,"Escalate and record recovery","Work to acceptance standard")))</x:f>
        <x:v>Work to acceptance standard</x:v>
      </x:c>
      <x:c r="T310" s="26" t="str">
        <x:v>T0067</x:v>
      </x:c>
      <x:c r="U310" s="26" t="str">
        <x:v>Fix a failing live agent beforestarting the next build. If an agent is still not working 48 hours after its due date, activate the manual SOP. Roll back a live failure within 1 hour. Release build reserve when no approved work remains.</x:v>
      </x:c>
      <x:c r="V310" s="31" t="n">
        <x:v>4</x:v>
      </x:c>
      <x:c r="W310" s="26" t="str"/>
      <x:c r="X310" s="26" t="str">
        <x:v>DSI Reset PDF: lane responsibilities and dated runbook; dated allocation proposed for this tracker.</x:v>
      </x:c>
      <x:c r="Y310" s="30" t="n">
        <x:f>B310-WEEKDAY(B310,2)+1</x:f>
        <x:v>46356</x:v>
      </x:c>
      <x:c r="Z310" s="2" t="str">
        <x:v>checklist</x:v>
      </x:c>
      <x:c r="AA310" s="2" t="n">
        <x:f>IF(Q310=1,IF(P310&gt;B310,1,0),0)</x:f>
        <x:v>0</x:v>
      </x:c>
      <x:c r="AB310" s="2" t="n">
        <x:f>IF(AND(Q310=1,P310&lt;='Dashboard'!$B$5),0,MAX(0,'Dashboard'!$B$5-B310))</x:f>
        <x:v>0</x:v>
      </x:c>
      <x:c r="AC310" s="28" t="str"/>
      <x:c r="AD310" s="2" t="str">
        <x:f>IF(AND(ISNUMBER(F310),ISNUMBER(G310)),G310-F310,"")</x:f>
      </x:c>
      <x:c r="AE310" s="2" t="n">
        <x:f>IF(AND(I310="Accepted",K310&lt;&gt;"",O310&lt;&gt;"",ISNUMBER(P310),P310&gt;0,P310&lt;='Dashboard'!$B$5,IF(ISNUMBER(F310),ISNUMBER(G310),TRUE),IF(ISNUMBER(F310),G310&gt;=F310,TRUE)),1,0)</x:f>
        <x:v>0</x:v>
      </x:c>
    </x:row>
    <x:row r="311" ht="58" customHeight="1">
      <x:c r="A311" s="2" t="str">
        <x:v>T0267</x:v>
      </x:c>
      <x:c r="B311" s="30" t="n">
        <x:v>46356</x:v>
      </x:c>
      <x:c r="C311" s="2" t="str">
        <x:v>Ludwig</x:v>
      </x:c>
      <x:c r="D311" s="2" t="str">
        <x:v>Integration Engineer</x:v>
      </x:c>
      <x:c r="E311" s="26" t="str">
        <x:v>Webhook/error/dead-letter check; top assigned integration ticket or verified no-ticket note</x:v>
      </x:c>
      <x:c r="F311" s="2" t="n">
        <x:v>1</x:v>
      </x:c>
      <x:c r="G311" s="20"/>
      <x:c r="H311" s="2" t="str">
        <x:v>accepted output</x:v>
      </x:c>
      <x:c r="I311" s="20" t="str">
        <x:v>Ready</x:v>
      </x:c>
      <x:c r="J311" s="2" t="str">
        <x:v>16:45</x:v>
      </x:c>
      <x:c r="K311" s="28" t="str"/>
      <x:c r="L311" s="28" t="str"/>
      <x:c r="M311" s="20" t="str"/>
      <x:c r="N311" s="33"/>
      <x:c r="O311" s="20" t="str"/>
      <x:c r="P311" s="33"/>
      <x:c r="Q311" s="2" t="n">
        <x:f>IF(AND(AE311=1,COUNTIFS($A$7:$A$500,"T0067",$AE$7:$AE$500,1)=1,COUNTIFS($A$7:$A$500,"T0055",$AE$7:$AE$500,1)=1),1,0)</x:f>
        <x:v>0</x:v>
      </x:c>
      <x:c r="R311" s="2" t="str">
        <x:f>IF(AND(Q311=1,P311&lt;='Dashboard'!$B$5),IF(P311&gt;B311,"Accepted late","Accepted"),IF(B311&lt;'Dashboard'!$B$5,"Overdue",IF(I311="Blocked","Blocked",IF(B311='Dashboard'!$B$5,"Due today","Planned"))))</x:f>
        <x:v>Planned</x:v>
      </x:c>
      <x:c r="S311" s="26" t="str">
        <x:f>IF(I311="Accepted",IF(K311="","Add evidence",IF(O311="","Add reviewer",IF(P311="","Add accepted date",IF(AND(ISNUMBER(F311),COUNT(G311)=0),"Add actual quantity",IF(Q311=0,"Review target / date / dependencies","Complete"))))),IF(OR(I311="Blocked",I311="Deferred"),IF(L311="","Record blocker / reason",IF(M311="","Assign rescue owner",IF(N311="","Set recovery date","Recovery assigned"))),IF(B311&lt;'Dashboard'!$B$5,"Escalate and record recovery","Work to acceptance standard")))</x:f>
        <x:v>Work to acceptance standard</x:v>
      </x:c>
      <x:c r="T311" s="26" t="str">
        <x:v>T0067</x:v>
      </x:c>
      <x:c r="U311" s="26" t="str">
        <x:v>Only Emman’s priority queue; 100% test capture; runbook/retry/rollback evidence. If no fault/ticket, release reserve; do not invent work.</x:v>
      </x:c>
      <x:c r="V311" s="31" t="n">
        <x:v>1.6</x:v>
      </x:c>
      <x:c r="W311" s="26" t="str"/>
      <x:c r="X311" s="26" t="str">
        <x:v>DSI Reset PDF: lane responsibilities and dated runbook; dated allocation proposed for this tracker.</x:v>
      </x:c>
      <x:c r="Y311" s="30" t="n">
        <x:f>B311-WEEKDAY(B311,2)+1</x:f>
        <x:v>46356</x:v>
      </x:c>
      <x:c r="Z311" s="2" t="str">
        <x:v>checklist</x:v>
      </x:c>
      <x:c r="AA311" s="2" t="n">
        <x:f>IF(Q311=1,IF(P311&gt;B311,1,0),0)</x:f>
        <x:v>0</x:v>
      </x:c>
      <x:c r="AB311" s="2" t="n">
        <x:f>IF(AND(Q311=1,P311&lt;='Dashboard'!$B$5),0,MAX(0,'Dashboard'!$B$5-B311))</x:f>
        <x:v>0</x:v>
      </x:c>
      <x:c r="AC311" s="28" t="str"/>
      <x:c r="AD311" s="2" t="str">
        <x:f>IF(AND(ISNUMBER(F311),ISNUMBER(G311)),G311-F311,"")</x:f>
      </x:c>
      <x:c r="AE311" s="2" t="n">
        <x:f>IF(AND(I311="Accepted",K311&lt;&gt;"",O311&lt;&gt;"",ISNUMBER(P311),P311&gt;0,P311&lt;='Dashboard'!$B$5,IF(ISNUMBER(F311),ISNUMBER(G311),TRUE),IF(ISNUMBER(F311),G311&gt;=F311,TRUE)),1,0)</x:f>
        <x:v>0</x:v>
      </x:c>
    </x:row>
    <x:row r="312" ht="58" customHeight="1">
      <x:c r="A312" s="2" t="str">
        <x:v>T0268</x:v>
      </x:c>
      <x:c r="B312" s="30" t="n">
        <x:v>46356</x:v>
      </x:c>
      <x:c r="C312" s="2" t="str">
        <x:v>Alvin</x:v>
      </x:c>
      <x:c r="D312" s="2" t="str">
        <x:v>CQL/GHL Implementation</x:v>
      </x:c>
      <x:c r="E312" s="26" t="str">
        <x:v>Stage/calendar/reminder QA; due workflow fixes</x:v>
      </x:c>
      <x:c r="F312" s="2" t="n">
        <x:v>1</x:v>
      </x:c>
      <x:c r="G312" s="20"/>
      <x:c r="H312" s="2" t="str">
        <x:v>accepted output</x:v>
      </x:c>
      <x:c r="I312" s="20" t="str">
        <x:v>Ready</x:v>
      </x:c>
      <x:c r="J312" s="2" t="str">
        <x:v>16:45</x:v>
      </x:c>
      <x:c r="K312" s="28" t="str"/>
      <x:c r="L312" s="28" t="str"/>
      <x:c r="M312" s="20" t="str"/>
      <x:c r="N312" s="33"/>
      <x:c r="O312" s="20" t="str"/>
      <x:c r="P312" s="33"/>
      <x:c r="Q312" s="2" t="n">
        <x:f>IF(AND(AE312=1,COUNTIFS($A$7:$A$500,"T0067",$AE$7:$AE$500,1)=1,COUNTIFS($A$7:$A$500,"T0055",$AE$7:$AE$500,1)=1),1,0)</x:f>
        <x:v>0</x:v>
      </x:c>
      <x:c r="R312" s="2" t="str">
        <x:f>IF(AND(Q312=1,P312&lt;='Dashboard'!$B$5),IF(P312&gt;B312,"Accepted late","Accepted"),IF(B312&lt;'Dashboard'!$B$5,"Overdue",IF(I312="Blocked","Blocked",IF(B312='Dashboard'!$B$5,"Due today","Planned"))))</x:f>
        <x:v>Planned</x:v>
      </x:c>
      <x:c r="S312" s="26" t="str">
        <x:f>IF(I312="Accepted",IF(K312="","Add evidence",IF(O312="","Add reviewer",IF(P312="","Add accepted date",IF(AND(ISNUMBER(F312),COUNT(G312)=0),"Add actual quantity",IF(Q312=0,"Review target / date / dependencies","Complete"))))),IF(OR(I312="Blocked",I312="Deferred"),IF(L312="","Record blocker / reason",IF(M312="","Assign rescue owner",IF(N312="","Set recovery date","Recovery assigned"))),IF(B312&lt;'Dashboard'!$B$5,"Escalate and record recovery","Work to acceptance standard")))</x:f>
        <x:v>Work to acceptance standard</x:v>
      </x:c>
      <x:c r="T312" s="26" t="str">
        <x:v>T0067</x:v>
      </x:c>
      <x:c r="U312" s="26" t="str">
        <x:v>No-show task&lt;=10 min; form/source fields correct; finish critical CRM defect same day. Facebook mirrors exact approved post; Instagram requires permissioned image.</x:v>
      </x:c>
      <x:c r="V312" s="31" t="n">
        <x:v>2</x:v>
      </x:c>
      <x:c r="W312" s="26" t="str"/>
      <x:c r="X312" s="26" t="str">
        <x:v>DSI Reset PDF: lane responsibilities and dated runbook; dated allocation proposed for this tracker.</x:v>
      </x:c>
      <x:c r="Y312" s="30" t="n">
        <x:f>B312-WEEKDAY(B312,2)+1</x:f>
        <x:v>46356</x:v>
      </x:c>
      <x:c r="Z312" s="2" t="str">
        <x:v>checklist</x:v>
      </x:c>
      <x:c r="AA312" s="2" t="n">
        <x:f>IF(Q312=1,IF(P312&gt;B312,1,0),0)</x:f>
        <x:v>0</x:v>
      </x:c>
      <x:c r="AB312" s="2" t="n">
        <x:f>IF(AND(Q312=1,P312&lt;='Dashboard'!$B$5),0,MAX(0,'Dashboard'!$B$5-B312))</x:f>
        <x:v>0</x:v>
      </x:c>
      <x:c r="AC312" s="28" t="str"/>
      <x:c r="AD312" s="2" t="str">
        <x:f>IF(AND(ISNUMBER(F312),ISNUMBER(G312)),G312-F312,"")</x:f>
      </x:c>
      <x:c r="AE312" s="2" t="n">
        <x:f>IF(AND(I312="Accepted",K312&lt;&gt;"",O312&lt;&gt;"",ISNUMBER(P312),P312&gt;0,P312&lt;='Dashboard'!$B$5,IF(ISNUMBER(F312),ISNUMBER(G312),TRUE),IF(ISNUMBER(F312),G312&gt;=F312,TRUE)),1,0)</x:f>
        <x:v>0</x:v>
      </x:c>
    </x:row>
    <x:row r="313" ht="58" customHeight="1">
      <x:c r="A313" s="2" t="str">
        <x:v>T0269</x:v>
      </x:c>
      <x:c r="B313" s="30" t="n">
        <x:v>46356</x:v>
      </x:c>
      <x:c r="C313" s="2" t="str">
        <x:v>Brian</x:v>
      </x:c>
      <x:c r="D313" s="2" t="str">
        <x:v>Web and Tracking</x:v>
      </x:c>
      <x:c r="E313" s="26" t="str">
        <x:v>One health-check result; at most one weekly change ticket or no-ticket note</x:v>
      </x:c>
      <x:c r="F313" s="2" t="n">
        <x:v>1</x:v>
      </x:c>
      <x:c r="G313" s="20"/>
      <x:c r="H313" s="2" t="str">
        <x:v>accepted output</x:v>
      </x:c>
      <x:c r="I313" s="20" t="str">
        <x:v>Ready</x:v>
      </x:c>
      <x:c r="J313" s="2" t="str">
        <x:v>16:45</x:v>
      </x:c>
      <x:c r="K313" s="28" t="str"/>
      <x:c r="L313" s="28" t="str"/>
      <x:c r="M313" s="20" t="str"/>
      <x:c r="N313" s="33"/>
      <x:c r="O313" s="20" t="str"/>
      <x:c r="P313" s="33"/>
      <x:c r="Q313" s="2" t="n">
        <x:f>IF(AND(AE313=1,COUNTIFS($A$7:$A$500,"T0067",$AE$7:$AE$500,1)=1,COUNTIFS($A$7:$A$500,"T0055",$AE$7:$AE$500,1)=1),1,0)</x:f>
        <x:v>0</x:v>
      </x:c>
      <x:c r="R313" s="2" t="str">
        <x:f>IF(AND(Q313=1,P313&lt;='Dashboard'!$B$5),IF(P313&gt;B313,"Accepted late","Accepted"),IF(B313&lt;'Dashboard'!$B$5,"Overdue",IF(I313="Blocked","Blocked",IF(B313='Dashboard'!$B$5,"Due today","Planned"))))</x:f>
        <x:v>Planned</x:v>
      </x:c>
      <x:c r="S313" s="26" t="str">
        <x:f>IF(I313="Accepted",IF(K313="","Add evidence",IF(O313="","Add reviewer",IF(P313="","Add accepted date",IF(AND(ISNUMBER(F313),COUNT(G313)=0),"Add actual quantity",IF(Q313=0,"Review target / date / dependencies","Complete"))))),IF(OR(I313="Blocked",I313="Deferred"),IF(L313="","Record blocker / reason",IF(M313="","Assign rescue owner",IF(N313="","Set recovery date","Recovery assigned"))),IF(B313&lt;'Dashboard'!$B$5,"Escalate and record recovery","Work to acceptance standard")))</x:f>
        <x:v>Work to acceptance standard</x:v>
      </x:c>
      <x:c r="T313" s="26" t="str">
        <x:v>T0067</x:v>
      </x:c>
      <x:c r="U313" s="26" t="str">
        <x:v>Form to CQL&lt;1 min; approved copy unchanged; no work manufactured if healthy; ongoing reserve&lt;=2 h/week.</x:v>
      </x:c>
      <x:c r="V313" s="31" t="n">
        <x:v>0.4</x:v>
      </x:c>
      <x:c r="W313" s="26" t="str"/>
      <x:c r="X313" s="26" t="str">
        <x:v>DSI Reset PDF: lane responsibilities and dated runbook; dated allocation proposed for this tracker.</x:v>
      </x:c>
      <x:c r="Y313" s="30" t="n">
        <x:f>B313-WEEKDAY(B313,2)+1</x:f>
        <x:v>46356</x:v>
      </x:c>
      <x:c r="Z313" s="2" t="str">
        <x:v>checklist</x:v>
      </x:c>
      <x:c r="AA313" s="2" t="n">
        <x:f>IF(Q313=1,IF(P313&gt;B313,1,0),0)</x:f>
        <x:v>0</x:v>
      </x:c>
      <x:c r="AB313" s="2" t="n">
        <x:f>IF(AND(Q313=1,P313&lt;='Dashboard'!$B$5),0,MAX(0,'Dashboard'!$B$5-B313))</x:f>
        <x:v>0</x:v>
      </x:c>
      <x:c r="AC313" s="28" t="str"/>
      <x:c r="AD313" s="2" t="str">
        <x:f>IF(AND(ISNUMBER(F313),ISNUMBER(G313)),G313-F313,"")</x:f>
      </x:c>
      <x:c r="AE313" s="2" t="n">
        <x:f>IF(AND(I313="Accepted",K313&lt;&gt;"",O313&lt;&gt;"",ISNUMBER(P313),P313&gt;0,P313&lt;='Dashboard'!$B$5,IF(ISNUMBER(F313),ISNUMBER(G313),TRUE),IF(ISNUMBER(F313),G313&gt;=F313,TRUE)),1,0)</x:f>
        <x:v>0</x:v>
      </x:c>
    </x:row>
    <x:row r="314" ht="58" customHeight="1">
      <x:c r="A314" s="2" t="str">
        <x:v>T0270</x:v>
      </x:c>
      <x:c r="B314" s="30" t="n">
        <x:v>46356</x:v>
      </x:c>
      <x:c r="C314" s="2" t="str">
        <x:v>Dexter</x:v>
      </x:c>
      <x:c r="D314" s="2" t="str">
        <x:v>LinkedIn Execution</x:v>
      </x:c>
      <x:c r="E314" s="26" t="str">
        <x:v>CQL logged DMs/accepts; eligible requests; referred interested replies; approved post evidence</x:v>
      </x:c>
      <x:c r="F314" s="2" t="n">
        <x:v>25</x:v>
      </x:c>
      <x:c r="G314" s="20"/>
      <x:c r="H314" s="2" t="str">
        <x:v>new request working target; eligible pool required</x:v>
      </x:c>
      <x:c r="I314" s="20" t="str">
        <x:v>Ready</x:v>
      </x:c>
      <x:c r="J314" s="2" t="str">
        <x:v>16:45</x:v>
      </x:c>
      <x:c r="K314" s="28" t="str"/>
      <x:c r="L314" s="28" t="str"/>
      <x:c r="M314" s="20" t="str"/>
      <x:c r="N314" s="33"/>
      <x:c r="O314" s="20" t="str"/>
      <x:c r="P314" s="33"/>
      <x:c r="Q314" s="2" t="n">
        <x:f>IF(AND(AE314=1,COUNTIFS($A$7:$A$500,"T0067",$AE$7:$AE$500,1)=1,COUNTIFS($A$7:$A$500,"T0055",$AE$7:$AE$500,1)=1),1,0)</x:f>
        <x:v>0</x:v>
      </x:c>
      <x:c r="R314" s="2" t="str">
        <x:f>IF(AND(Q314=1,P314&lt;='Dashboard'!$B$5),IF(P314&gt;B314,"Accepted late","Accepted"),IF(B314&lt;'Dashboard'!$B$5,"Overdue",IF(I314="Blocked","Blocked",IF(B314='Dashboard'!$B$5,"Due today","Planned"))))</x:f>
        <x:v>Planned</x:v>
      </x:c>
      <x:c r="S314" s="26" t="str">
        <x:f>IF(I314="Accepted",IF(K314="","Add evidence",IF(O314="","Add reviewer",IF(P314="","Add accepted date",IF(AND(ISNUMBER(F314),COUNT(G314)=0),"Add actual quantity",IF(Q314=0,"Review target / date / dependencies","Complete"))))),IF(OR(I314="Blocked",I314="Deferred"),IF(L314="","Record blocker / reason",IF(M314="","Assign rescue owner",IF(N314="","Set recovery date","Recovery assigned"))),IF(B314&lt;'Dashboard'!$B$5,"Escalate and record recovery","Work to acceptance standard")))</x:f>
        <x:v>Work to acceptance standard</x:v>
      </x:c>
      <x:c r="T314" s="26" t="str">
        <x:v>T0067</x:v>
      </x:c>
      <x:c r="U314"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14" s="31" t="n">
        <x:v>3</x:v>
      </x:c>
      <x:c r="W314" s="26" t="str"/>
      <x:c r="X314" s="26" t="str">
        <x:v>DSI Reset PDF: lane responsibilities and dated runbook; dated allocation proposed for this tracker.</x:v>
      </x:c>
      <x:c r="Y314" s="30" t="n">
        <x:f>B314-WEEKDAY(B314,2)+1</x:f>
        <x:v>46356</x:v>
      </x:c>
      <x:c r="Z314" s="2" t="str">
        <x:v>capacity</x:v>
      </x:c>
      <x:c r="AA314" s="2" t="n">
        <x:f>IF(Q314=1,IF(P314&gt;B314,1,0),0)</x:f>
        <x:v>0</x:v>
      </x:c>
      <x:c r="AB314" s="2" t="n">
        <x:f>IF(AND(Q314=1,P314&lt;='Dashboard'!$B$5),0,MAX(0,'Dashboard'!$B$5-B314))</x:f>
        <x:v>0</x:v>
      </x:c>
      <x:c r="AC314" s="28" t="str"/>
      <x:c r="AD314" s="2" t="str">
        <x:f>IF(AND(ISNUMBER(F314),ISNUMBER(G314)),G314-F314,"")</x:f>
      </x:c>
      <x:c r="AE314" s="2" t="n">
        <x:f>IF(AND(I314="Accepted",K314&lt;&gt;"",O314&lt;&gt;"",ISNUMBER(P314),P314&gt;0,P314&lt;='Dashboard'!$B$5,IF(ISNUMBER(F314),ISNUMBER(G314),TRUE),IF(ISNUMBER(F314),OR(G314&gt;=F314,AC314&lt;&gt;""),TRUE)),1,0)</x:f>
        <x:v>0</x:v>
      </x:c>
    </x:row>
    <x:row r="315" ht="58" customHeight="1">
      <x:c r="A315" s="2" t="str">
        <x:v>T0271</x:v>
      </x:c>
      <x:c r="B315" s="30" t="n">
        <x:v>46356</x:v>
      </x:c>
      <x:c r="C315" s="2" t="str">
        <x:v>Setter 1</x:v>
      </x:c>
      <x:c r="D315" s="2" t="str">
        <x:v>Reply and Phone Setter</x:v>
      </x:c>
      <x:c r="E315" s="26" t="str">
        <x:v>SLA/call outcome log; bookings and next steps; handoff to Nova</x:v>
      </x:c>
      <x:c r="F315" s="2" t="n">
        <x:v>50</x:v>
      </x:c>
      <x:c r="G315" s="20"/>
      <x:c r="H315" s="2" t="str">
        <x:v>dial working target; inbound SLA takes priority</x:v>
      </x:c>
      <x:c r="I315" s="20" t="str">
        <x:v>Ready</x:v>
      </x:c>
      <x:c r="J315" s="2" t="str">
        <x:v>16:45</x:v>
      </x:c>
      <x:c r="K315" s="28" t="str"/>
      <x:c r="L315" s="28" t="str"/>
      <x:c r="M315" s="20" t="str"/>
      <x:c r="N315" s="33"/>
      <x:c r="O315" s="20" t="str"/>
      <x:c r="P315" s="33"/>
      <x:c r="Q315" s="2" t="n">
        <x:f>IF(AND(AE315=1,COUNTIFS($A$7:$A$500,"T0013",$AE$7:$AE$500,1)=1,COUNTIFS($A$7:$A$500,"T0055",$AE$7:$AE$500,1)=1),1,0)</x:f>
        <x:v>0</x:v>
      </x:c>
      <x:c r="R315" s="2" t="str">
        <x:f>IF(AND(Q315=1,P315&lt;='Dashboard'!$B$5),IF(P315&gt;B315,"Accepted late","Accepted"),IF(B315&lt;'Dashboard'!$B$5,"Overdue",IF(I315="Blocked","Blocked",IF(B315='Dashboard'!$B$5,"Due today","Planned"))))</x:f>
        <x:v>Planned</x:v>
      </x:c>
      <x:c r="S315" s="26" t="str">
        <x:f>IF(I315="Accepted",IF(K315="","Add evidence",IF(O315="","Add reviewer",IF(P315="","Add accepted date",IF(AND(ISNUMBER(F315),COUNT(G315)=0),"Add actual quantity",IF(Q315=0,"Review target / date / dependencies","Complete"))))),IF(OR(I315="Blocked",I315="Deferred"),IF(L315="","Record blocker / reason",IF(M315="","Assign rescue owner",IF(N315="","Set recovery date","Recovery assigned"))),IF(B315&lt;'Dashboard'!$B$5,"Escalate and record recovery","Work to acceptance standard")))</x:f>
        <x:v>Work to acceptance standard</x:v>
      </x:c>
      <x:c r="T315" s="26" t="str">
        <x:v>T0013; T0055</x:v>
      </x:c>
      <x:c r="U31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15" s="31" t="n">
        <x:v>7.5</x:v>
      </x:c>
      <x:c r="W315" s="26" t="str"/>
      <x:c r="X315" s="26" t="str">
        <x:v>DSI Reset PDF: lane responsibilities and dated runbook; dated allocation proposed for this tracker.</x:v>
      </x:c>
      <x:c r="Y315" s="30" t="n">
        <x:f>B315-WEEKDAY(B315,2)+1</x:f>
        <x:v>46356</x:v>
      </x:c>
      <x:c r="Z315" s="2" t="str">
        <x:v>capacity</x:v>
      </x:c>
      <x:c r="AA315" s="2" t="n">
        <x:f>IF(Q315=1,IF(P315&gt;B315,1,0),0)</x:f>
        <x:v>0</x:v>
      </x:c>
      <x:c r="AB315" s="2" t="n">
        <x:f>IF(AND(Q315=1,P315&lt;='Dashboard'!$B$5),0,MAX(0,'Dashboard'!$B$5-B315))</x:f>
        <x:v>0</x:v>
      </x:c>
      <x:c r="AC315" s="28" t="str"/>
      <x:c r="AD315" s="2" t="str">
        <x:f>IF(AND(ISNUMBER(F315),ISNUMBER(G315)),G315-F315,"")</x:f>
      </x:c>
      <x:c r="AE315" s="2" t="n">
        <x:f>IF(AND(I315="Accepted",K315&lt;&gt;"",O315&lt;&gt;"",ISNUMBER(P315),P315&gt;0,P315&lt;='Dashboard'!$B$5,IF(ISNUMBER(F315),ISNUMBER(G315),TRUE),IF(ISNUMBER(F315),OR(G315&gt;=F315,AC315&lt;&gt;""),TRUE)),1,0)</x:f>
        <x:v>0</x:v>
      </x:c>
    </x:row>
    <x:row r="316" ht="58" customHeight="1">
      <x:c r="A316" s="2" t="str">
        <x:v>T0272</x:v>
      </x:c>
      <x:c r="B316" s="30" t="n">
        <x:v>46356</x:v>
      </x:c>
      <x:c r="C316" s="2" t="str">
        <x:v>Setter 2</x:v>
      </x:c>
      <x:c r="D316" s="2" t="str">
        <x:v>Reply and Phone Setter</x:v>
      </x:c>
      <x:c r="E316" s="26" t="str">
        <x:v>SLA/call outcome log; bookings and next steps; handoff to Nova</x:v>
      </x:c>
      <x:c r="F316" s="2" t="n">
        <x:v>50</x:v>
      </x:c>
      <x:c r="G316" s="20"/>
      <x:c r="H316" s="2" t="str">
        <x:v>dial working target; inbound SLA takes priority</x:v>
      </x:c>
      <x:c r="I316" s="20" t="str">
        <x:v>Ready</x:v>
      </x:c>
      <x:c r="J316" s="2" t="str">
        <x:v>16:45</x:v>
      </x:c>
      <x:c r="K316" s="28" t="str"/>
      <x:c r="L316" s="28" t="str"/>
      <x:c r="M316" s="20" t="str"/>
      <x:c r="N316" s="33"/>
      <x:c r="O316" s="20" t="str"/>
      <x:c r="P316" s="33"/>
      <x:c r="Q316" s="2" t="n">
        <x:f>IF(AND(AE316=1,COUNTIFS($A$7:$A$500,"T0013",$AE$7:$AE$500,1)=1,COUNTIFS($A$7:$A$500,"T0055",$AE$7:$AE$500,1)=1),1,0)</x:f>
        <x:v>0</x:v>
      </x:c>
      <x:c r="R316" s="2" t="str">
        <x:f>IF(AND(Q316=1,P316&lt;='Dashboard'!$B$5),IF(P316&gt;B316,"Accepted late","Accepted"),IF(B316&lt;'Dashboard'!$B$5,"Overdue",IF(I316="Blocked","Blocked",IF(B316='Dashboard'!$B$5,"Due today","Planned"))))</x:f>
        <x:v>Planned</x:v>
      </x:c>
      <x:c r="S316" s="26" t="str">
        <x:f>IF(I316="Accepted",IF(K316="","Add evidence",IF(O316="","Add reviewer",IF(P316="","Add accepted date",IF(AND(ISNUMBER(F316),COUNT(G316)=0),"Add actual quantity",IF(Q316=0,"Review target / date / dependencies","Complete"))))),IF(OR(I316="Blocked",I316="Deferred"),IF(L316="","Record blocker / reason",IF(M316="","Assign rescue owner",IF(N316="","Set recovery date","Recovery assigned"))),IF(B316&lt;'Dashboard'!$B$5,"Escalate and record recovery","Work to acceptance standard")))</x:f>
        <x:v>Work to acceptance standard</x:v>
      </x:c>
      <x:c r="T316" s="26" t="str">
        <x:v>T0013; T0055</x:v>
      </x:c>
      <x:c r="U316"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16" s="31" t="n">
        <x:v>7.5</x:v>
      </x:c>
      <x:c r="W316" s="26" t="str"/>
      <x:c r="X316" s="26" t="str">
        <x:v>DSI Reset PDF: lane responsibilities and dated runbook; dated allocation proposed for this tracker.</x:v>
      </x:c>
      <x:c r="Y316" s="30" t="n">
        <x:f>B316-WEEKDAY(B316,2)+1</x:f>
        <x:v>46356</x:v>
      </x:c>
      <x:c r="Z316" s="2" t="str">
        <x:v>capacity</x:v>
      </x:c>
      <x:c r="AA316" s="2" t="n">
        <x:f>IF(Q316=1,IF(P316&gt;B316,1,0),0)</x:f>
        <x:v>0</x:v>
      </x:c>
      <x:c r="AB316" s="2" t="n">
        <x:f>IF(AND(Q316=1,P316&lt;='Dashboard'!$B$5),0,MAX(0,'Dashboard'!$B$5-B316))</x:f>
        <x:v>0</x:v>
      </x:c>
      <x:c r="AC316" s="28" t="str"/>
      <x:c r="AD316" s="2" t="str">
        <x:f>IF(AND(ISNUMBER(F316),ISNUMBER(G316)),G316-F316,"")</x:f>
      </x:c>
      <x:c r="AE316" s="2" t="n">
        <x:f>IF(AND(I316="Accepted",K316&lt;&gt;"",O316&lt;&gt;"",ISNUMBER(P316),P316&gt;0,P316&lt;='Dashboard'!$B$5,IF(ISNUMBER(F316),ISNUMBER(G316),TRUE),IF(ISNUMBER(F316),OR(G316&gt;=F316,AC316&lt;&gt;""),TRUE)),1,0)</x:f>
        <x:v>0</x:v>
      </x:c>
    </x:row>
    <x:row r="317" ht="58" customHeight="1">
      <x:c r="A317" s="2" t="str">
        <x:v>T0467</x:v>
      </x:c>
      <x:c r="B317" s="30" t="n">
        <x:v>46356</x:v>
      </x:c>
      <x:c r="C317" s="2" t="str">
        <x:v>Nic</x:v>
      </x:c>
      <x:c r="D317" s="2" t="str">
        <x:v>Client dependency</x:v>
      </x:c>
      <x:c r="E317" s="26" t="str">
        <x:v>Call outcome/next step for every appointment due; first-case decisions</x:v>
      </x:c>
      <x:c r="F317" s="2" t="str"/>
      <x:c r="G317" s="20"/>
      <x:c r="H317" s="2" t="str">
        <x:v>all due appointments</x:v>
      </x:c>
      <x:c r="I317" s="20" t="str">
        <x:v>Ready</x:v>
      </x:c>
      <x:c r="J317" s="2" t="str">
        <x:v>16:45</x:v>
      </x:c>
      <x:c r="K317" s="28" t="str"/>
      <x:c r="L317" s="28" t="str"/>
      <x:c r="M317" s="20" t="str"/>
      <x:c r="N317" s="33"/>
      <x:c r="O317" s="20" t="str"/>
      <x:c r="P317" s="33"/>
      <x:c r="Q317" s="2" t="n">
        <x:f>IF(AND(AE317=1,COUNTIFS($A$7:$A$500,"T0028",$AE$7:$AE$500,1)=1),1,0)</x:f>
        <x:v>0</x:v>
      </x:c>
      <x:c r="R317" s="2" t="str">
        <x:f>IF(AND(Q317=1,P317&lt;='Dashboard'!$B$5),IF(P317&gt;B317,"Accepted late","Accepted"),IF(B317&lt;'Dashboard'!$B$5,"Overdue",IF(I317="Blocked","Blocked",IF(B317='Dashboard'!$B$5,"Due today","Planned"))))</x:f>
        <x:v>Planned</x:v>
      </x:c>
      <x:c r="S317" s="26" t="str">
        <x:f>IF(I317="Accepted",IF(K317="","Add evidence",IF(O317="","Add reviewer",IF(P317="","Add accepted date",IF(AND(ISNUMBER(F317),COUNT(G317)=0),"Add actual quantity",IF(Q317=0,"Review target / date / dependencies","Complete"))))),IF(OR(I317="Blocked",I317="Deferred"),IF(L317="","Record blocker / reason",IF(M317="","Assign rescue owner",IF(N317="","Set recovery date","Recovery assigned"))),IF(B317&lt;'Dashboard'!$B$5,"Escalate and record recovery","Work to acceptance standard")))</x:f>
        <x:v>Work to acceptance standard</x:v>
      </x:c>
      <x:c r="T317" s="26" t="str">
        <x:v>T0028</x:v>
      </x:c>
      <x:c r="U317" s="26" t="str">
        <x:v>Demand-linked: work actual approved calendar; setter brief present; outcome logged same day. No calls scheduled is N/A with calendar evidence.</x:v>
      </x:c>
      <x:c r="V317" s="31" t="n">
        <x:v>0.5</x:v>
      </x:c>
      <x:c r="W317" s="26" t="str"/>
      <x:c r="X317" s="26" t="str">
        <x:v>DSI Reset PDF: lane responsibilities and dated runbook; dated allocation proposed for this tracker.</x:v>
      </x:c>
      <x:c r="Y317" s="30" t="n">
        <x:f>B317-WEEKDAY(B317,2)+1</x:f>
        <x:v>46356</x:v>
      </x:c>
      <x:c r="Z317" s="2" t="str">
        <x:v>demand</x:v>
      </x:c>
      <x:c r="AA317" s="2" t="n">
        <x:f>IF(Q317=1,IF(P317&gt;B317,1,0),0)</x:f>
        <x:v>0</x:v>
      </x:c>
      <x:c r="AB317" s="2" t="n">
        <x:f>IF(AND(Q317=1,P317&lt;='Dashboard'!$B$5),0,MAX(0,'Dashboard'!$B$5-B317))</x:f>
        <x:v>0</x:v>
      </x:c>
      <x:c r="AC317" s="28" t="str"/>
      <x:c r="AD317" s="2" t="str">
        <x:f>IF(AND(ISNUMBER(F317),ISNUMBER(G317)),G317-F317,"")</x:f>
      </x:c>
      <x:c r="AE317" s="2" t="n">
        <x:f>IF(AND(I317="Accepted",K317&lt;&gt;"",O317&lt;&gt;"",ISNUMBER(P317),P317&gt;0,P317&lt;='Dashboard'!$B$5,IF(ISNUMBER(F317),ISNUMBER(G317),TRUE)),1,0)</x:f>
        <x:v>0</x:v>
      </x:c>
    </x:row>
    <x:row r="318" ht="58" customHeight="1">
      <x:c r="A318" s="2" t="str">
        <x:v>T0468</x:v>
      </x:c>
      <x:c r="B318" s="30" t="n">
        <x:v>46356</x:v>
      </x:c>
      <x:c r="C318" s="2" t="str">
        <x:v>Maseeha</x:v>
      </x:c>
      <x:c r="D318" s="2" t="str">
        <x:v>Client dependency</x:v>
      </x:c>
      <x:c r="E318" s="26" t="str">
        <x:v>Due intro verification; kit/case handoff; delivery/Day-30 dates; credit trigger log</x:v>
      </x:c>
      <x:c r="F318" s="2" t="str"/>
      <x:c r="G318" s="20"/>
      <x:c r="H318" s="2" t="str">
        <x:v>all due cases</x:v>
      </x:c>
      <x:c r="I318" s="20" t="str">
        <x:v>Ready</x:v>
      </x:c>
      <x:c r="J318" s="2" t="str">
        <x:v>16:45</x:v>
      </x:c>
      <x:c r="K318" s="28" t="str"/>
      <x:c r="L318" s="28" t="str"/>
      <x:c r="M318" s="20" t="str"/>
      <x:c r="N318" s="33"/>
      <x:c r="O318" s="20" t="str"/>
      <x:c r="P318" s="33"/>
      <x:c r="Q318" s="2" t="n">
        <x:f>IF(AND(AE318=1,COUNTIFS($A$7:$A$500,"T0028",$AE$7:$AE$500,1)=1),1,0)</x:f>
        <x:v>0</x:v>
      </x:c>
      <x:c r="R318" s="2" t="str">
        <x:f>IF(AND(Q318=1,P318&lt;='Dashboard'!$B$5),IF(P318&gt;B318,"Accepted late","Accepted"),IF(B318&lt;'Dashboard'!$B$5,"Overdue",IF(I318="Blocked","Blocked",IF(B318='Dashboard'!$B$5,"Due today","Planned"))))</x:f>
        <x:v>Planned</x:v>
      </x:c>
      <x:c r="S318" s="26" t="str">
        <x:f>IF(I318="Accepted",IF(K318="","Add evidence",IF(O318="","Add reviewer",IF(P318="","Add accepted date",IF(AND(ISNUMBER(F318),COUNT(G318)=0),"Add actual quantity",IF(Q318=0,"Review target / date / dependencies","Complete"))))),IF(OR(I318="Blocked",I318="Deferred"),IF(L318="","Record blocker / reason",IF(M318="","Assign rescue owner",IF(N318="","Set recovery date","Recovery assigned"))),IF(B318&lt;'Dashboard'!$B$5,"Escalate and record recovery","Work to acceptance standard")))</x:f>
        <x:v>Work to acceptance standard</x:v>
      </x:c>
      <x:c r="T318" s="26" t="str">
        <x:v>T0028</x:v>
      </x:c>
      <x:c r="U318" s="26" t="str">
        <x:v>Demand-linked: referral verification&lt;=2 business days; trial capacity respected; $200 credit only on eligible invoice paid.</x:v>
      </x:c>
      <x:c r="V318" s="31" t="n">
        <x:v>0.5</x:v>
      </x:c>
      <x:c r="W318" s="26" t="str"/>
      <x:c r="X318" s="26" t="str">
        <x:v>DSI Reset PDF: lane responsibilities and dated runbook; dated allocation proposed for this tracker.</x:v>
      </x:c>
      <x:c r="Y318" s="30" t="n">
        <x:f>B318-WEEKDAY(B318,2)+1</x:f>
        <x:v>46356</x:v>
      </x:c>
      <x:c r="Z318" s="2" t="str">
        <x:v>demand</x:v>
      </x:c>
      <x:c r="AA318" s="2" t="n">
        <x:f>IF(Q318=1,IF(P318&gt;B318,1,0),0)</x:f>
        <x:v>0</x:v>
      </x:c>
      <x:c r="AB318" s="2" t="n">
        <x:f>IF(AND(Q318=1,P318&lt;='Dashboard'!$B$5),0,MAX(0,'Dashboard'!$B$5-B318))</x:f>
        <x:v>0</x:v>
      </x:c>
      <x:c r="AC318" s="28" t="str"/>
      <x:c r="AD318" s="2" t="str">
        <x:f>IF(AND(ISNUMBER(F318),ISNUMBER(G318)),G318-F318,"")</x:f>
      </x:c>
      <x:c r="AE318" s="2" t="n">
        <x:f>IF(AND(I318="Accepted",K318&lt;&gt;"",O318&lt;&gt;"",ISNUMBER(P318),P318&gt;0,P318&lt;='Dashboard'!$B$5,IF(ISNUMBER(F318),ISNUMBER(G318),TRUE)),1,0)</x:f>
        <x:v>0</x:v>
      </x:c>
    </x:row>
    <x:row r="319" ht="58" customHeight="1">
      <x:c r="A319" s="2" t="str">
        <x:v>T0273</x:v>
      </x:c>
      <x:c r="B319" s="30" t="n">
        <x:v>46357</x:v>
      </x:c>
      <x:c r="C319" s="2" t="str">
        <x:v>Wyline</x:v>
      </x:c>
      <x:c r="D319" s="2" t="str">
        <x:v>Program Director</x:v>
      </x:c>
      <x:c r="E319" s="26" t="str">
        <x:v>Accepted-output register; actual-vs-target dashboard; blocker/rescue assignments</x:v>
      </x:c>
      <x:c r="F319" s="2" t="n">
        <x:v>1</x:v>
      </x:c>
      <x:c r="G319" s="20"/>
      <x:c r="H319" s="2" t="str">
        <x:v>accepted output</x:v>
      </x:c>
      <x:c r="I319" s="20" t="str">
        <x:v>Ready</x:v>
      </x:c>
      <x:c r="J319" s="2" t="str">
        <x:v>16:45</x:v>
      </x:c>
      <x:c r="K319" s="28" t="str"/>
      <x:c r="L319" s="28" t="str"/>
      <x:c r="M319" s="20" t="str"/>
      <x:c r="N319" s="33"/>
      <x:c r="O319" s="20" t="str"/>
      <x:c r="P319" s="33"/>
      <x:c r="Q319" s="2" t="n">
        <x:f>IF(AND(AE319=1,COUNTIFS($A$7:$A$500,"T0067",$AE$7:$AE$500,1)=1,COUNTIFS($A$7:$A$500,"T0055",$AE$7:$AE$500,1)=1),1,0)</x:f>
        <x:v>0</x:v>
      </x:c>
      <x:c r="R319" s="2" t="str">
        <x:f>IF(AND(Q319=1,P319&lt;='Dashboard'!$B$5),IF(P319&gt;B319,"Accepted late","Accepted"),IF(B319&lt;'Dashboard'!$B$5,"Overdue",IF(I319="Blocked","Blocked",IF(B319='Dashboard'!$B$5,"Due today","Planned"))))</x:f>
        <x:v>Planned</x:v>
      </x:c>
      <x:c r="S319" s="26" t="str">
        <x:f>IF(I319="Accepted",IF(K319="","Add evidence",IF(O319="","Add reviewer",IF(P319="","Add accepted date",IF(AND(ISNUMBER(F319),COUNT(G319)=0),"Add actual quantity",IF(Q319=0,"Review target / date / dependencies","Complete"))))),IF(OR(I319="Blocked",I319="Deferred"),IF(L319="","Record blocker / reason",IF(M319="","Assign rescue owner",IF(N319="","Set recovery date","Recovery assigned"))),IF(B319&lt;'Dashboard'!$B$5,"Escalate and record recovery","Work to acceptance standard")))</x:f>
        <x:v>Work to acceptance standard</x:v>
      </x:c>
      <x:c r="T319" s="26" t="str">
        <x:v>T0067</x:v>
      </x:c>
      <x:c r="U319" s="26" t="str">
        <x:v>09:00 standup; 13:00/16:30 recovery checks; 17:00 acceptance. Every overdue task keeps original date and named recovery owner.</x:v>
      </x:c>
      <x:c r="V319" s="31" t="n">
        <x:v>3</x:v>
      </x:c>
      <x:c r="W319" s="26" t="str"/>
      <x:c r="X319" s="26" t="str">
        <x:v>DSI Reset PDF: lane responsibilities and dated runbook; dated allocation proposed for this tracker.</x:v>
      </x:c>
      <x:c r="Y319" s="30" t="n">
        <x:f>B319-WEEKDAY(B319,2)+1</x:f>
        <x:v>46356</x:v>
      </x:c>
      <x:c r="Z319" s="2" t="str">
        <x:v>checklist</x:v>
      </x:c>
      <x:c r="AA319" s="2" t="n">
        <x:f>IF(Q319=1,IF(P319&gt;B319,1,0),0)</x:f>
        <x:v>0</x:v>
      </x:c>
      <x:c r="AB319" s="2" t="n">
        <x:f>IF(AND(Q319=1,P319&lt;='Dashboard'!$B$5),0,MAX(0,'Dashboard'!$B$5-B319))</x:f>
        <x:v>0</x:v>
      </x:c>
      <x:c r="AC319" s="28" t="str"/>
      <x:c r="AD319" s="2" t="str">
        <x:f>IF(AND(ISNUMBER(F319),ISNUMBER(G319)),G319-F319,"")</x:f>
      </x:c>
      <x:c r="AE319" s="2" t="n">
        <x:f>IF(AND(I319="Accepted",K319&lt;&gt;"",O319&lt;&gt;"",ISNUMBER(P319),P319&gt;0,P319&lt;='Dashboard'!$B$5,IF(ISNUMBER(F319),ISNUMBER(G319),TRUE),IF(ISNUMBER(F319),G319&gt;=F319,TRUE)),1,0)</x:f>
        <x:v>0</x:v>
      </x:c>
    </x:row>
    <x:row r="320" ht="58" customHeight="1">
      <x:c r="A320" s="2" t="str">
        <x:v>T0274</x:v>
      </x:c>
      <x:c r="B320" s="30" t="n">
        <x:v>46357</x:v>
      </x:c>
      <x:c r="C320" s="2" t="str">
        <x:v>Kenneth</x:v>
      </x:c>
      <x:c r="D320" s="2" t="str">
        <x:v>Message Orchestrator</x:v>
      </x:c>
      <x:c r="E320" s="26" t="str">
        <x:v>Human-reply insights; 5 Inbox draft checks; approved first lines; claim exceptions</x:v>
      </x:c>
      <x:c r="F320" s="2" t="n">
        <x:v>1</x:v>
      </x:c>
      <x:c r="G320" s="20"/>
      <x:c r="H320" s="2" t="str">
        <x:v>accepted output</x:v>
      </x:c>
      <x:c r="I320" s="20" t="str">
        <x:v>Ready</x:v>
      </x:c>
      <x:c r="J320" s="2" t="str">
        <x:v>16:45</x:v>
      </x:c>
      <x:c r="K320" s="28" t="str"/>
      <x:c r="L320" s="28" t="str"/>
      <x:c r="M320" s="20" t="str"/>
      <x:c r="N320" s="33"/>
      <x:c r="O320" s="20" t="str"/>
      <x:c r="P320" s="33"/>
      <x:c r="Q320" s="2" t="n">
        <x:f>IF(AND(AE320=1,COUNTIFS($A$7:$A$500,"T0067",$AE$7:$AE$500,1)=1,COUNTIFS($A$7:$A$500,"T0055",$AE$7:$AE$500,1)=1),1,0)</x:f>
        <x:v>0</x:v>
      </x:c>
      <x:c r="R320" s="2" t="str">
        <x:f>IF(AND(Q320=1,P320&lt;='Dashboard'!$B$5),IF(P320&gt;B320,"Accepted late","Accepted"),IF(B320&lt;'Dashboard'!$B$5,"Overdue",IF(I320="Blocked","Blocked",IF(B320='Dashboard'!$B$5,"Due today","Planned"))))</x:f>
        <x:v>Planned</x:v>
      </x:c>
      <x:c r="S320" s="26" t="str">
        <x:f>IF(I320="Accepted",IF(K320="","Add evidence",IF(O320="","Add reviewer",IF(P320="","Add accepted date",IF(AND(ISNUMBER(F320),COUNT(G320)=0),"Add actual quantity",IF(Q320=0,"Review target / date / dependencies","Complete"))))),IF(OR(I320="Blocked",I320="Deferred"),IF(L320="","Record blocker / reason",IF(M320="","Assign rescue owner",IF(N320="","Set recovery date","Recovery assigned"))),IF(B320&lt;'Dashboard'!$B$5,"Escalate and record recovery","Work to acceptance standard")))</x:f>
        <x:v>Work to acceptance standard</x:v>
      </x:c>
      <x:c r="T320" s="26" t="str">
        <x:v>T0067</x:v>
      </x:c>
      <x:c r="U320" s="26" t="str">
        <x:v>Zero invented claims. If any draft fails facts, stop drafting/retrain; no offer change without approval.</x:v>
      </x:c>
      <x:c r="V320" s="31" t="n">
        <x:v>2.4</x:v>
      </x:c>
      <x:c r="W320" s="26" t="str"/>
      <x:c r="X320" s="26" t="str">
        <x:v>DSI Reset PDF: lane responsibilities and dated runbook; dated allocation proposed for this tracker.</x:v>
      </x:c>
      <x:c r="Y320" s="30" t="n">
        <x:f>B320-WEEKDAY(B320,2)+1</x:f>
        <x:v>46356</x:v>
      </x:c>
      <x:c r="Z320" s="2" t="str">
        <x:v>checklist</x:v>
      </x:c>
      <x:c r="AA320" s="2" t="n">
        <x:f>IF(Q320=1,IF(P320&gt;B320,1,0),0)</x:f>
        <x:v>0</x:v>
      </x:c>
      <x:c r="AB320" s="2" t="n">
        <x:f>IF(AND(Q320=1,P320&lt;='Dashboard'!$B$5),0,MAX(0,'Dashboard'!$B$5-B320))</x:f>
        <x:v>0</x:v>
      </x:c>
      <x:c r="AC320" s="28" t="str"/>
      <x:c r="AD320" s="2" t="str">
        <x:f>IF(AND(ISNUMBER(F320),ISNUMBER(G320)),G320-F320,"")</x:f>
      </x:c>
      <x:c r="AE320" s="2" t="n">
        <x:f>IF(AND(I320="Accepted",K320&lt;&gt;"",O320&lt;&gt;"",ISNUMBER(P320),P320&gt;0,P320&lt;='Dashboard'!$B$5,IF(ISNUMBER(F320),ISNUMBER(G320),TRUE),IF(ISNUMBER(F320),G320&gt;=F320,TRUE)),1,0)</x:f>
        <x:v>0</x:v>
      </x:c>
    </x:row>
    <x:row r="321" ht="58" customHeight="1">
      <x:c r="A321" s="2" t="str">
        <x:v>T0275</x:v>
      </x:c>
      <x:c r="B321" s="30" t="n">
        <x:v>46357</x:v>
      </x:c>
      <x:c r="C321" s="2" t="str">
        <x:v>Joey</x:v>
      </x:c>
      <x:c r="D321" s="2" t="str">
        <x:v>Data Orchestrator</x:v>
      </x:c>
      <x:c r="E321" s="26" t="str">
        <x:v>Mailbox/bounce/suppression log; ready verified records; due-follow up versus new-send capacity plan. Planned list output today: 30 new verified contacts; cumulative ready pool 560.</x:v>
      </x:c>
      <x:c r="F321" s="2" t="n">
        <x:v>30</x:v>
      </x:c>
      <x:c r="G321" s="20"/>
      <x:c r="H321" s="2" t="str">
        <x:v>new verified contacts; proposed daily pace</x:v>
      </x:c>
      <x:c r="I321" s="20" t="str">
        <x:v>Ready</x:v>
      </x:c>
      <x:c r="J321" s="2" t="str">
        <x:v>16:45</x:v>
      </x:c>
      <x:c r="K321" s="28" t="str"/>
      <x:c r="L321" s="28" t="str"/>
      <x:c r="M321" s="20" t="str"/>
      <x:c r="N321" s="33"/>
      <x:c r="O321" s="20" t="str"/>
      <x:c r="P321" s="33"/>
      <x:c r="Q321" s="2" t="n">
        <x:f>IF(AND(AE321=1,COUNTIFS($A$7:$A$500,"T0067",$AE$7:$AE$500,1)=1,COUNTIFS($A$7:$A$500,"T0055",$AE$7:$AE$500,1)=1),1,0)</x:f>
        <x:v>0</x:v>
      </x:c>
      <x:c r="R321" s="2" t="str">
        <x:f>IF(AND(Q321=1,P321&lt;='Dashboard'!$B$5),IF(P321&gt;B321,"Accepted late","Accepted"),IF(B321&lt;'Dashboard'!$B$5,"Overdue",IF(I321="Blocked","Blocked",IF(B321='Dashboard'!$B$5,"Due today","Planned"))))</x:f>
        <x:v>Planned</x:v>
      </x:c>
      <x:c r="S321" s="26" t="str">
        <x:f>IF(I321="Accepted",IF(K321="","Add evidence",IF(O321="","Add reviewer",IF(P321="","Add accepted date",IF(AND(ISNUMBER(F321),COUNT(G321)=0),"Add actual quantity",IF(Q321=0,"Review target / date / dependencies","Complete"))))),IF(OR(I321="Blocked",I321="Deferred"),IF(L321="","Record blocker / reason",IF(M321="","Assign rescue owner",IF(N321="","Set recovery date","Recovery assigned"))),IF(B321&lt;'Dashboard'!$B$5,"Escalate and record recovery","Work to acceptance standard")))</x:f>
        <x:v>Work to acceptance standard</x:v>
      </x:c>
      <x:c r="T321" s="26" t="str">
        <x:v>T0067</x:v>
      </x:c>
      <x:c r="U321" s="26" t="str">
        <x:v>Planning pool addition 30 contacts today; quality gate wins over quota. Total sends&lt;=150/day;&gt;3% bounce affected mailbox held. No new cold enrollments on reduced/buffer days.</x:v>
      </x:c>
      <x:c r="V321" s="31" t="n">
        <x:v>3</x:v>
      </x:c>
      <x:c r="W321" s="26" t="str"/>
      <x:c r="X321" s="26" t="str">
        <x:v>DSI Reset PDF: lane responsibilities and dated runbook; dated allocation proposed for this tracker.</x:v>
      </x:c>
      <x:c r="Y321" s="30" t="n">
        <x:f>B321-WEEKDAY(B321,2)+1</x:f>
        <x:v>46356</x:v>
      </x:c>
      <x:c r="Z321" s="2" t="str">
        <x:v>goal</x:v>
      </x:c>
      <x:c r="AA321" s="2" t="n">
        <x:f>IF(Q321=1,IF(P321&gt;B321,1,0),0)</x:f>
        <x:v>0</x:v>
      </x:c>
      <x:c r="AB321" s="2" t="n">
        <x:f>IF(AND(Q321=1,P321&lt;='Dashboard'!$B$5),0,MAX(0,'Dashboard'!$B$5-B321))</x:f>
        <x:v>0</x:v>
      </x:c>
      <x:c r="AC321" s="28" t="str"/>
      <x:c r="AD321" s="2" t="str">
        <x:f>IF(AND(ISNUMBER(F321),ISNUMBER(G321)),G321-F321,"")</x:f>
      </x:c>
      <x:c r="AE321" s="2" t="n">
        <x:f>IF(AND(I321="Accepted",K321&lt;&gt;"",O321&lt;&gt;"",ISNUMBER(P321),P321&gt;0,P321&lt;='Dashboard'!$B$5,IF(ISNUMBER(F321),ISNUMBER(G321),TRUE),IF(ISNUMBER(F321),G321&gt;=F321,TRUE)),1,0)</x:f>
        <x:v>0</x:v>
      </x:c>
    </x:row>
    <x:row r="322" ht="58" customHeight="1">
      <x:c r="A322" s="2" t="str">
        <x:v>T0276</x:v>
      </x:c>
      <x:c r="B322" s="30" t="n">
        <x:v>46357</x:v>
      </x:c>
      <x:c r="C322" s="2" t="str">
        <x:v>Nova</x:v>
      </x:c>
      <x:c r="D322" s="2" t="str">
        <x:v>Conversion Orchestrator</x:v>
      </x:c>
      <x:c r="E322" s="26" t="str">
        <x:v>Coverage/SLA evidence; 2 call reviews; booked/held updates; next-step and trial handoffs. Log each unique qualified inquiry with practice type, decision-maker access, case volume, service need and readiness timing.</x:v>
      </x:c>
      <x:c r="F322" s="2" t="n">
        <x:v>1</x:v>
      </x:c>
      <x:c r="G322" s="20"/>
      <x:c r="H322" s="2" t="str">
        <x:v>accepted output</x:v>
      </x:c>
      <x:c r="I322" s="20" t="str">
        <x:v>Ready</x:v>
      </x:c>
      <x:c r="J322" s="2" t="str">
        <x:v>16:45</x:v>
      </x:c>
      <x:c r="K322" s="28" t="str"/>
      <x:c r="L322" s="28" t="str"/>
      <x:c r="M322" s="20" t="str"/>
      <x:c r="N322" s="33"/>
      <x:c r="O322" s="20" t="str"/>
      <x:c r="P322" s="33"/>
      <x:c r="Q322" s="2" t="n">
        <x:f>IF(AND(AE322=1,COUNTIFS($A$7:$A$500,"T0067",$AE$7:$AE$500,1)=1,COUNTIFS($A$7:$A$500,"T0055",$AE$7:$AE$500,1)=1),1,0)</x:f>
        <x:v>0</x:v>
      </x:c>
      <x:c r="R322" s="2" t="str">
        <x:f>IF(AND(Q322=1,P322&lt;='Dashboard'!$B$5),IF(P322&gt;B322,"Accepted late","Accepted"),IF(B322&lt;'Dashboard'!$B$5,"Overdue",IF(I322="Blocked","Blocked",IF(B322='Dashboard'!$B$5,"Due today","Planned"))))</x:f>
        <x:v>Planned</x:v>
      </x:c>
      <x:c r="S322" s="26" t="str">
        <x:f>IF(I322="Accepted",IF(K322="","Add evidence",IF(O322="","Add reviewer",IF(P322="","Add accepted date",IF(AND(ISNUMBER(F322),COUNT(G322)=0),"Add actual quantity",IF(Q322=0,"Review target / date / dependencies","Complete"))))),IF(OR(I322="Blocked",I322="Deferred"),IF(L322="","Record blocker / reason",IF(M322="","Assign rescue owner",IF(N322="","Set recovery date","Recovery assigned"))),IF(B322&lt;'Dashboard'!$B$5,"Escalate and record recovery","Work to acceptance standard")))</x:f>
        <x:v>Work to acceptance standard</x:v>
      </x:c>
      <x:c r="T322" s="26" t="str">
        <x:v>T0067</x:v>
      </x:c>
      <x:c r="U322" s="26" t="str">
        <x:v>Every eligible reply&lt;=15 min; positive call&lt;=60 min; no opportunity without next step; booked brief to Nic; trial logistics to Maseeha. Raw contacts, opens and accepts never count as qualified inquiries; deduplicate across channels.</x:v>
      </x:c>
      <x:c r="V322" s="31" t="n">
        <x:v>4</x:v>
      </x:c>
      <x:c r="W322" s="26" t="str"/>
      <x:c r="X322" s="26" t="str">
        <x:v>DSI Reset PDF: lane responsibilities and dated runbook; dated allocation proposed for this tracker.</x:v>
      </x:c>
      <x:c r="Y322" s="30" t="n">
        <x:f>B322-WEEKDAY(B322,2)+1</x:f>
        <x:v>46356</x:v>
      </x:c>
      <x:c r="Z322" s="2" t="str">
        <x:v>checklist</x:v>
      </x:c>
      <x:c r="AA322" s="2" t="n">
        <x:f>IF(Q322=1,IF(P322&gt;B322,1,0),0)</x:f>
        <x:v>0</x:v>
      </x:c>
      <x:c r="AB322" s="2" t="n">
        <x:f>IF(AND(Q322=1,P322&lt;='Dashboard'!$B$5),0,MAX(0,'Dashboard'!$B$5-B322))</x:f>
        <x:v>0</x:v>
      </x:c>
      <x:c r="AC322" s="28" t="str"/>
      <x:c r="AD322" s="2" t="str">
        <x:f>IF(AND(ISNUMBER(F322),ISNUMBER(G322)),G322-F322,"")</x:f>
      </x:c>
      <x:c r="AE322" s="2" t="n">
        <x:f>IF(AND(I322="Accepted",K322&lt;&gt;"",O322&lt;&gt;"",ISNUMBER(P322),P322&gt;0,P322&lt;='Dashboard'!$B$5,IF(ISNUMBER(F322),ISNUMBER(G322),TRUE),IF(ISNUMBER(F322),G322&gt;=F322,TRUE)),1,0)</x:f>
        <x:v>0</x:v>
      </x:c>
    </x:row>
    <x:row r="323" ht="58" customHeight="1">
      <x:c r="A323" s="2" t="str">
        <x:v>T0277</x:v>
      </x:c>
      <x:c r="B323" s="30" t="n">
        <x:v>46357</x:v>
      </x:c>
      <x:c r="C323" s="2" t="str">
        <x:v>Emman</x:v>
      </x:c>
      <x:c r="D323" s="2" t="str">
        <x:v>AI Build Orchestrator</x:v>
      </x:c>
      <x:c r="E323" s="26" t="str">
        <x:v>Health/retry log; one acceptance-backed build increment; updated change log</x:v>
      </x:c>
      <x:c r="F323" s="2" t="n">
        <x:v>1</x:v>
      </x:c>
      <x:c r="G323" s="20"/>
      <x:c r="H323" s="2" t="str">
        <x:v>accepted output</x:v>
      </x:c>
      <x:c r="I323" s="20" t="str">
        <x:v>Ready</x:v>
      </x:c>
      <x:c r="J323" s="2" t="str">
        <x:v>16:45</x:v>
      </x:c>
      <x:c r="K323" s="28" t="str"/>
      <x:c r="L323" s="28" t="str"/>
      <x:c r="M323" s="20" t="str"/>
      <x:c r="N323" s="33"/>
      <x:c r="O323" s="20" t="str"/>
      <x:c r="P323" s="33"/>
      <x:c r="Q323" s="2" t="n">
        <x:f>IF(AND(AE323=1,COUNTIFS($A$7:$A$500,"T0067",$AE$7:$AE$500,1)=1,COUNTIFS($A$7:$A$500,"T0055",$AE$7:$AE$500,1)=1),1,0)</x:f>
        <x:v>0</x:v>
      </x:c>
      <x:c r="R323" s="2" t="str">
        <x:f>IF(AND(Q323=1,P323&lt;='Dashboard'!$B$5),IF(P323&gt;B323,"Accepted late","Accepted"),IF(B323&lt;'Dashboard'!$B$5,"Overdue",IF(I323="Blocked","Blocked",IF(B323='Dashboard'!$B$5,"Due today","Planned"))))</x:f>
        <x:v>Planned</x:v>
      </x:c>
      <x:c r="S323" s="26" t="str">
        <x:f>IF(I323="Accepted",IF(K323="","Add evidence",IF(O323="","Add reviewer",IF(P323="","Add accepted date",IF(AND(ISNUMBER(F323),COUNT(G323)=0),"Add actual quantity",IF(Q323=0,"Review target / date / dependencies","Complete"))))),IF(OR(I323="Blocked",I323="Deferred"),IF(L323="","Record blocker / reason",IF(M323="","Assign rescue owner",IF(N323="","Set recovery date","Recovery assigned"))),IF(B323&lt;'Dashboard'!$B$5,"Escalate and record recovery","Work to acceptance standard")))</x:f>
        <x:v>Work to acceptance standard</x:v>
      </x:c>
      <x:c r="T323" s="26" t="str">
        <x:v>T0067</x:v>
      </x:c>
      <x:c r="U323" s="26" t="str">
        <x:v>Fix a failing live agent beforestarting the next build. If an agent is still not working 48 hours after its due date, activate the manual SOP. Roll back a live failure within 1 hour. Release build reserve when no approved work remains.</x:v>
      </x:c>
      <x:c r="V323" s="31" t="n">
        <x:v>4</x:v>
      </x:c>
      <x:c r="W323" s="26" t="str"/>
      <x:c r="X323" s="26" t="str">
        <x:v>DSI Reset PDF: lane responsibilities and dated runbook; dated allocation proposed for this tracker.</x:v>
      </x:c>
      <x:c r="Y323" s="30" t="n">
        <x:f>B323-WEEKDAY(B323,2)+1</x:f>
        <x:v>46356</x:v>
      </x:c>
      <x:c r="Z323" s="2" t="str">
        <x:v>checklist</x:v>
      </x:c>
      <x:c r="AA323" s="2" t="n">
        <x:f>IF(Q323=1,IF(P323&gt;B323,1,0),0)</x:f>
        <x:v>0</x:v>
      </x:c>
      <x:c r="AB323" s="2" t="n">
        <x:f>IF(AND(Q323=1,P323&lt;='Dashboard'!$B$5),0,MAX(0,'Dashboard'!$B$5-B323))</x:f>
        <x:v>0</x:v>
      </x:c>
      <x:c r="AC323" s="28" t="str"/>
      <x:c r="AD323" s="2" t="str">
        <x:f>IF(AND(ISNUMBER(F323),ISNUMBER(G323)),G323-F323,"")</x:f>
      </x:c>
      <x:c r="AE323" s="2" t="n">
        <x:f>IF(AND(I323="Accepted",K323&lt;&gt;"",O323&lt;&gt;"",ISNUMBER(P323),P323&gt;0,P323&lt;='Dashboard'!$B$5,IF(ISNUMBER(F323),ISNUMBER(G323),TRUE),IF(ISNUMBER(F323),G323&gt;=F323,TRUE)),1,0)</x:f>
        <x:v>0</x:v>
      </x:c>
    </x:row>
    <x:row r="324" ht="58" customHeight="1">
      <x:c r="A324" s="2" t="str">
        <x:v>T0278</x:v>
      </x:c>
      <x:c r="B324" s="30" t="n">
        <x:v>46357</x:v>
      </x:c>
      <x:c r="C324" s="2" t="str">
        <x:v>Ludwig</x:v>
      </x:c>
      <x:c r="D324" s="2" t="str">
        <x:v>Integration Engineer</x:v>
      </x:c>
      <x:c r="E324" s="26" t="str">
        <x:v>Webhook/error/dead-letter check; top assigned integration ticket or verified no-ticket note</x:v>
      </x:c>
      <x:c r="F324" s="2" t="n">
        <x:v>1</x:v>
      </x:c>
      <x:c r="G324" s="20"/>
      <x:c r="H324" s="2" t="str">
        <x:v>accepted output</x:v>
      </x:c>
      <x:c r="I324" s="20" t="str">
        <x:v>Ready</x:v>
      </x:c>
      <x:c r="J324" s="2" t="str">
        <x:v>16:45</x:v>
      </x:c>
      <x:c r="K324" s="28" t="str"/>
      <x:c r="L324" s="28" t="str"/>
      <x:c r="M324" s="20" t="str"/>
      <x:c r="N324" s="33"/>
      <x:c r="O324" s="20" t="str"/>
      <x:c r="P324" s="33"/>
      <x:c r="Q324" s="2" t="n">
        <x:f>IF(AND(AE324=1,COUNTIFS($A$7:$A$500,"T0067",$AE$7:$AE$500,1)=1,COUNTIFS($A$7:$A$500,"T0055",$AE$7:$AE$500,1)=1),1,0)</x:f>
        <x:v>0</x:v>
      </x:c>
      <x:c r="R324" s="2" t="str">
        <x:f>IF(AND(Q324=1,P324&lt;='Dashboard'!$B$5),IF(P324&gt;B324,"Accepted late","Accepted"),IF(B324&lt;'Dashboard'!$B$5,"Overdue",IF(I324="Blocked","Blocked",IF(B324='Dashboard'!$B$5,"Due today","Planned"))))</x:f>
        <x:v>Planned</x:v>
      </x:c>
      <x:c r="S324" s="26" t="str">
        <x:f>IF(I324="Accepted",IF(K324="","Add evidence",IF(O324="","Add reviewer",IF(P324="","Add accepted date",IF(AND(ISNUMBER(F324),COUNT(G324)=0),"Add actual quantity",IF(Q324=0,"Review target / date / dependencies","Complete"))))),IF(OR(I324="Blocked",I324="Deferred"),IF(L324="","Record blocker / reason",IF(M324="","Assign rescue owner",IF(N324="","Set recovery date","Recovery assigned"))),IF(B324&lt;'Dashboard'!$B$5,"Escalate and record recovery","Work to acceptance standard")))</x:f>
        <x:v>Work to acceptance standard</x:v>
      </x:c>
      <x:c r="T324" s="26" t="str">
        <x:v>T0067</x:v>
      </x:c>
      <x:c r="U324" s="26" t="str">
        <x:v>Only Emman’s priority queue; 100% test capture; runbook/retry/rollback evidence. If no fault/ticket, release reserve; do not invent work.</x:v>
      </x:c>
      <x:c r="V324" s="31" t="n">
        <x:v>1.6</x:v>
      </x:c>
      <x:c r="W324" s="26" t="str"/>
      <x:c r="X324" s="26" t="str">
        <x:v>DSI Reset PDF: lane responsibilities and dated runbook; dated allocation proposed for this tracker.</x:v>
      </x:c>
      <x:c r="Y324" s="30" t="n">
        <x:f>B324-WEEKDAY(B324,2)+1</x:f>
        <x:v>46356</x:v>
      </x:c>
      <x:c r="Z324" s="2" t="str">
        <x:v>checklist</x:v>
      </x:c>
      <x:c r="AA324" s="2" t="n">
        <x:f>IF(Q324=1,IF(P324&gt;B324,1,0),0)</x:f>
        <x:v>0</x:v>
      </x:c>
      <x:c r="AB324" s="2" t="n">
        <x:f>IF(AND(Q324=1,P324&lt;='Dashboard'!$B$5),0,MAX(0,'Dashboard'!$B$5-B324))</x:f>
        <x:v>0</x:v>
      </x:c>
      <x:c r="AC324" s="28" t="str"/>
      <x:c r="AD324" s="2" t="str">
        <x:f>IF(AND(ISNUMBER(F324),ISNUMBER(G324)),G324-F324,"")</x:f>
      </x:c>
      <x:c r="AE324" s="2" t="n">
        <x:f>IF(AND(I324="Accepted",K324&lt;&gt;"",O324&lt;&gt;"",ISNUMBER(P324),P324&gt;0,P324&lt;='Dashboard'!$B$5,IF(ISNUMBER(F324),ISNUMBER(G324),TRUE),IF(ISNUMBER(F324),G324&gt;=F324,TRUE)),1,0)</x:f>
        <x:v>0</x:v>
      </x:c>
    </x:row>
    <x:row r="325" ht="58" customHeight="1">
      <x:c r="A325" s="2" t="str">
        <x:v>T0279</x:v>
      </x:c>
      <x:c r="B325" s="30" t="n">
        <x:v>46357</x:v>
      </x:c>
      <x:c r="C325" s="2" t="str">
        <x:v>Alvin</x:v>
      </x:c>
      <x:c r="D325" s="2" t="str">
        <x:v>CQL/GHL Implementation</x:v>
      </x:c>
      <x:c r="E325" s="26" t="str">
        <x:v>Stage/calendar/reminder QA; due workflow fixes; approved post mirrors/evidence Publish approved post SOC12 (Promote); capture the live URL.</x:v>
      </x:c>
      <x:c r="F325" s="2" t="n">
        <x:v>1</x:v>
      </x:c>
      <x:c r="G325" s="20"/>
      <x:c r="H325" s="2" t="str">
        <x:v>accepted output</x:v>
      </x:c>
      <x:c r="I325" s="20" t="str">
        <x:v>Ready</x:v>
      </x:c>
      <x:c r="J325" s="2" t="str">
        <x:v>16:45</x:v>
      </x:c>
      <x:c r="K325" s="28" t="str"/>
      <x:c r="L325" s="28" t="str"/>
      <x:c r="M325" s="20" t="str"/>
      <x:c r="N325" s="33"/>
      <x:c r="O325" s="20" t="str"/>
      <x:c r="P325" s="33"/>
      <x:c r="Q325" s="2" t="n">
        <x:f>IF(AND(AE325=1,COUNTIFS($A$7:$A$500,"T0067",$AE$7:$AE$500,1)=1,COUNTIFS($A$7:$A$500,"T0055",$AE$7:$AE$500,1)=1),1,0)</x:f>
        <x:v>0</x:v>
      </x:c>
      <x:c r="R325" s="2" t="str">
        <x:f>IF(AND(Q325=1,P325&lt;='Dashboard'!$B$5),IF(P325&gt;B325,"Accepted late","Accepted"),IF(B325&lt;'Dashboard'!$B$5,"Overdue",IF(I325="Blocked","Blocked",IF(B325='Dashboard'!$B$5,"Due today","Planned"))))</x:f>
        <x:v>Planned</x:v>
      </x:c>
      <x:c r="S325" s="26" t="str">
        <x:f>IF(I325="Accepted",IF(K325="","Add evidence",IF(O325="","Add reviewer",IF(P325="","Add accepted date",IF(AND(ISNUMBER(F325),COUNT(G325)=0),"Add actual quantity",IF(Q325=0,"Review target / date / dependencies","Complete"))))),IF(OR(I325="Blocked",I325="Deferred"),IF(L325="","Record blocker / reason",IF(M325="","Assign rescue owner",IF(N325="","Set recovery date","Recovery assigned"))),IF(B325&lt;'Dashboard'!$B$5,"Escalate and record recovery","Work to acceptance standard")))</x:f>
        <x:v>Work to acceptance standard</x:v>
      </x:c>
      <x:c r="T325" s="26" t="str">
        <x:v>T0067</x:v>
      </x:c>
      <x:c r="U325" s="26" t="str">
        <x:v>No-show task&lt;=10 min; form/source fields correct; finish critical CRM defect same day. Facebook mirrors exact approved post; Instagram requires permissioned image.</x:v>
      </x:c>
      <x:c r="V325" s="31" t="n">
        <x:v>2</x:v>
      </x:c>
      <x:c r="W325" s="26" t="str"/>
      <x:c r="X325" s="26" t="str">
        <x:v>DSI Reset PDF: lane responsibilities and dated runbook; dated allocation proposed for this tracker.</x:v>
      </x:c>
      <x:c r="Y325" s="30" t="n">
        <x:f>B325-WEEKDAY(B325,2)+1</x:f>
        <x:v>46356</x:v>
      </x:c>
      <x:c r="Z325" s="2" t="str">
        <x:v>checklist</x:v>
      </x:c>
      <x:c r="AA325" s="2" t="n">
        <x:f>IF(Q325=1,IF(P325&gt;B325,1,0),0)</x:f>
        <x:v>0</x:v>
      </x:c>
      <x:c r="AB325" s="2" t="n">
        <x:f>IF(AND(Q325=1,P325&lt;='Dashboard'!$B$5),0,MAX(0,'Dashboard'!$B$5-B325))</x:f>
        <x:v>0</x:v>
      </x:c>
      <x:c r="AC325" s="28" t="str"/>
      <x:c r="AD325" s="2" t="str">
        <x:f>IF(AND(ISNUMBER(F325),ISNUMBER(G325)),G325-F325,"")</x:f>
      </x:c>
      <x:c r="AE325" s="2" t="n">
        <x:f>IF(AND(I325="Accepted",K325&lt;&gt;"",O325&lt;&gt;"",ISNUMBER(P325),P325&gt;0,P325&lt;='Dashboard'!$B$5,IF(ISNUMBER(F325),ISNUMBER(G325),TRUE),IF(ISNUMBER(F325),G325&gt;=F325,TRUE)),1,0)</x:f>
        <x:v>0</x:v>
      </x:c>
    </x:row>
    <x:row r="326" ht="58" customHeight="1">
      <x:c r="A326" s="2" t="str">
        <x:v>T0280</x:v>
      </x:c>
      <x:c r="B326" s="30" t="n">
        <x:v>46357</x:v>
      </x:c>
      <x:c r="C326" s="2" t="str">
        <x:v>Brian</x:v>
      </x:c>
      <x:c r="D326" s="2" t="str">
        <x:v>Web and Tracking</x:v>
      </x:c>
      <x:c r="E326" s="26" t="str">
        <x:v>One health-check result; at most one weekly change ticket or no-ticket note</x:v>
      </x:c>
      <x:c r="F326" s="2" t="n">
        <x:v>1</x:v>
      </x:c>
      <x:c r="G326" s="20"/>
      <x:c r="H326" s="2" t="str">
        <x:v>accepted output</x:v>
      </x:c>
      <x:c r="I326" s="20" t="str">
        <x:v>Ready</x:v>
      </x:c>
      <x:c r="J326" s="2" t="str">
        <x:v>16:45</x:v>
      </x:c>
      <x:c r="K326" s="28" t="str"/>
      <x:c r="L326" s="28" t="str"/>
      <x:c r="M326" s="20" t="str"/>
      <x:c r="N326" s="33"/>
      <x:c r="O326" s="20" t="str"/>
      <x:c r="P326" s="33"/>
      <x:c r="Q326" s="2" t="n">
        <x:f>IF(AND(AE326=1,COUNTIFS($A$7:$A$500,"T0067",$AE$7:$AE$500,1)=1,COUNTIFS($A$7:$A$500,"T0055",$AE$7:$AE$500,1)=1),1,0)</x:f>
        <x:v>0</x:v>
      </x:c>
      <x:c r="R326" s="2" t="str">
        <x:f>IF(AND(Q326=1,P326&lt;='Dashboard'!$B$5),IF(P326&gt;B326,"Accepted late","Accepted"),IF(B326&lt;'Dashboard'!$B$5,"Overdue",IF(I326="Blocked","Blocked",IF(B326='Dashboard'!$B$5,"Due today","Planned"))))</x:f>
        <x:v>Planned</x:v>
      </x:c>
      <x:c r="S326" s="26" t="str">
        <x:f>IF(I326="Accepted",IF(K326="","Add evidence",IF(O326="","Add reviewer",IF(P326="","Add accepted date",IF(AND(ISNUMBER(F326),COUNT(G326)=0),"Add actual quantity",IF(Q326=0,"Review target / date / dependencies","Complete"))))),IF(OR(I326="Blocked",I326="Deferred"),IF(L326="","Record blocker / reason",IF(M326="","Assign rescue owner",IF(N326="","Set recovery date","Recovery assigned"))),IF(B326&lt;'Dashboard'!$B$5,"Escalate and record recovery","Work to acceptance standard")))</x:f>
        <x:v>Work to acceptance standard</x:v>
      </x:c>
      <x:c r="T326" s="26" t="str">
        <x:v>T0067</x:v>
      </x:c>
      <x:c r="U326" s="26" t="str">
        <x:v>Form to CQL&lt;1 min; approved copy unchanged; no work manufactured if healthy; ongoing reserve&lt;=2 h/week.</x:v>
      </x:c>
      <x:c r="V326" s="31" t="n">
        <x:v>0.4</x:v>
      </x:c>
      <x:c r="W326" s="26" t="str"/>
      <x:c r="X326" s="26" t="str">
        <x:v>DSI Reset PDF: lane responsibilities and dated runbook; dated allocation proposed for this tracker.</x:v>
      </x:c>
      <x:c r="Y326" s="30" t="n">
        <x:f>B326-WEEKDAY(B326,2)+1</x:f>
        <x:v>46356</x:v>
      </x:c>
      <x:c r="Z326" s="2" t="str">
        <x:v>checklist</x:v>
      </x:c>
      <x:c r="AA326" s="2" t="n">
        <x:f>IF(Q326=1,IF(P326&gt;B326,1,0),0)</x:f>
        <x:v>0</x:v>
      </x:c>
      <x:c r="AB326" s="2" t="n">
        <x:f>IF(AND(Q326=1,P326&lt;='Dashboard'!$B$5),0,MAX(0,'Dashboard'!$B$5-B326))</x:f>
        <x:v>0</x:v>
      </x:c>
      <x:c r="AC326" s="28" t="str"/>
      <x:c r="AD326" s="2" t="str">
        <x:f>IF(AND(ISNUMBER(F326),ISNUMBER(G326)),G326-F326,"")</x:f>
      </x:c>
      <x:c r="AE326" s="2" t="n">
        <x:f>IF(AND(I326="Accepted",K326&lt;&gt;"",O326&lt;&gt;"",ISNUMBER(P326),P326&gt;0,P326&lt;='Dashboard'!$B$5,IF(ISNUMBER(F326),ISNUMBER(G326),TRUE),IF(ISNUMBER(F326),G326&gt;=F326,TRUE)),1,0)</x:f>
        <x:v>0</x:v>
      </x:c>
    </x:row>
    <x:row r="327" ht="58" customHeight="1">
      <x:c r="A327" s="2" t="str">
        <x:v>T0281</x:v>
      </x:c>
      <x:c r="B327" s="30" t="n">
        <x:v>46357</x:v>
      </x:c>
      <x:c r="C327" s="2" t="str">
        <x:v>Dexter</x:v>
      </x:c>
      <x:c r="D327" s="2" t="str">
        <x:v>LinkedIn Execution</x:v>
      </x:c>
      <x:c r="E327" s="26" t="str">
        <x:v>CQL logged DMs/accepts; eligible requests; referred interested replies; approved post evidence Publish approved post SOC12 (Promote); capture the live URL.</x:v>
      </x:c>
      <x:c r="F327" s="2" t="n">
        <x:v>25</x:v>
      </x:c>
      <x:c r="G327" s="20"/>
      <x:c r="H327" s="2" t="str">
        <x:v>new request working target; eligible pool required</x:v>
      </x:c>
      <x:c r="I327" s="20" t="str">
        <x:v>Ready</x:v>
      </x:c>
      <x:c r="J327" s="2" t="str">
        <x:v>16:45</x:v>
      </x:c>
      <x:c r="K327" s="28" t="str"/>
      <x:c r="L327" s="28" t="str"/>
      <x:c r="M327" s="20" t="str"/>
      <x:c r="N327" s="33"/>
      <x:c r="O327" s="20" t="str"/>
      <x:c r="P327" s="33"/>
      <x:c r="Q327" s="2" t="n">
        <x:f>IF(AND(AE327=1,COUNTIFS($A$7:$A$500,"T0067",$AE$7:$AE$500,1)=1,COUNTIFS($A$7:$A$500,"T0055",$AE$7:$AE$500,1)=1),1,0)</x:f>
        <x:v>0</x:v>
      </x:c>
      <x:c r="R327" s="2" t="str">
        <x:f>IF(AND(Q327=1,P327&lt;='Dashboard'!$B$5),IF(P327&gt;B327,"Accepted late","Accepted"),IF(B327&lt;'Dashboard'!$B$5,"Overdue",IF(I327="Blocked","Blocked",IF(B327='Dashboard'!$B$5,"Due today","Planned"))))</x:f>
        <x:v>Planned</x:v>
      </x:c>
      <x:c r="S327" s="26" t="str">
        <x:f>IF(I327="Accepted",IF(K327="","Add evidence",IF(O327="","Add reviewer",IF(P327="","Add accepted date",IF(AND(ISNUMBER(F327),COUNT(G327)=0),"Add actual quantity",IF(Q327=0,"Review target / date / dependencies","Complete"))))),IF(OR(I327="Blocked",I327="Deferred"),IF(L327="","Record blocker / reason",IF(M327="","Assign rescue owner",IF(N327="","Set recovery date","Recovery assigned"))),IF(B327&lt;'Dashboard'!$B$5,"Escalate and record recovery","Work to acceptance standard")))</x:f>
        <x:v>Work to acceptance standard</x:v>
      </x:c>
      <x:c r="T327" s="26" t="str">
        <x:v>T0067</x:v>
      </x:c>
      <x:c r="U327"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27" s="31" t="n">
        <x:v>3</x:v>
      </x:c>
      <x:c r="W327" s="26" t="str"/>
      <x:c r="X327" s="26" t="str">
        <x:v>DSI Reset PDF: lane responsibilities and dated runbook; dated allocation proposed for this tracker.</x:v>
      </x:c>
      <x:c r="Y327" s="30" t="n">
        <x:f>B327-WEEKDAY(B327,2)+1</x:f>
        <x:v>46356</x:v>
      </x:c>
      <x:c r="Z327" s="2" t="str">
        <x:v>capacity</x:v>
      </x:c>
      <x:c r="AA327" s="2" t="n">
        <x:f>IF(Q327=1,IF(P327&gt;B327,1,0),0)</x:f>
        <x:v>0</x:v>
      </x:c>
      <x:c r="AB327" s="2" t="n">
        <x:f>IF(AND(Q327=1,P327&lt;='Dashboard'!$B$5),0,MAX(0,'Dashboard'!$B$5-B327))</x:f>
        <x:v>0</x:v>
      </x:c>
      <x:c r="AC327" s="28" t="str"/>
      <x:c r="AD327" s="2" t="str">
        <x:f>IF(AND(ISNUMBER(F327),ISNUMBER(G327)),G327-F327,"")</x:f>
      </x:c>
      <x:c r="AE327" s="2" t="n">
        <x:f>IF(AND(I327="Accepted",K327&lt;&gt;"",O327&lt;&gt;"",ISNUMBER(P327),P327&gt;0,P327&lt;='Dashboard'!$B$5,IF(ISNUMBER(F327),ISNUMBER(G327),TRUE),IF(ISNUMBER(F327),OR(G327&gt;=F327,AC327&lt;&gt;""),TRUE)),1,0)</x:f>
        <x:v>0</x:v>
      </x:c>
    </x:row>
    <x:row r="328" ht="58" customHeight="1">
      <x:c r="A328" s="2" t="str">
        <x:v>T0282</x:v>
      </x:c>
      <x:c r="B328" s="30" t="n">
        <x:v>46357</x:v>
      </x:c>
      <x:c r="C328" s="2" t="str">
        <x:v>Setter 1</x:v>
      </x:c>
      <x:c r="D328" s="2" t="str">
        <x:v>Reply and Phone Setter</x:v>
      </x:c>
      <x:c r="E328" s="26" t="str">
        <x:v>SLA/call outcome log; bookings and next steps; handoff to Nova</x:v>
      </x:c>
      <x:c r="F328" s="2" t="n">
        <x:v>50</x:v>
      </x:c>
      <x:c r="G328" s="20"/>
      <x:c r="H328" s="2" t="str">
        <x:v>dial working target; inbound SLA takes priority</x:v>
      </x:c>
      <x:c r="I328" s="20" t="str">
        <x:v>Ready</x:v>
      </x:c>
      <x:c r="J328" s="2" t="str">
        <x:v>16:45</x:v>
      </x:c>
      <x:c r="K328" s="28" t="str"/>
      <x:c r="L328" s="28" t="str"/>
      <x:c r="M328" s="20" t="str"/>
      <x:c r="N328" s="33"/>
      <x:c r="O328" s="20" t="str"/>
      <x:c r="P328" s="33"/>
      <x:c r="Q328" s="2" t="n">
        <x:f>IF(AND(AE328=1,COUNTIFS($A$7:$A$500,"T0013",$AE$7:$AE$500,1)=1,COUNTIFS($A$7:$A$500,"T0055",$AE$7:$AE$500,1)=1),1,0)</x:f>
        <x:v>0</x:v>
      </x:c>
      <x:c r="R328" s="2" t="str">
        <x:f>IF(AND(Q328=1,P328&lt;='Dashboard'!$B$5),IF(P328&gt;B328,"Accepted late","Accepted"),IF(B328&lt;'Dashboard'!$B$5,"Overdue",IF(I328="Blocked","Blocked",IF(B328='Dashboard'!$B$5,"Due today","Planned"))))</x:f>
        <x:v>Planned</x:v>
      </x:c>
      <x:c r="S328" s="26" t="str">
        <x:f>IF(I328="Accepted",IF(K328="","Add evidence",IF(O328="","Add reviewer",IF(P328="","Add accepted date",IF(AND(ISNUMBER(F328),COUNT(G328)=0),"Add actual quantity",IF(Q328=0,"Review target / date / dependencies","Complete"))))),IF(OR(I328="Blocked",I328="Deferred"),IF(L328="","Record blocker / reason",IF(M328="","Assign rescue owner",IF(N328="","Set recovery date","Recovery assigned"))),IF(B328&lt;'Dashboard'!$B$5,"Escalate and record recovery","Work to acceptance standard")))</x:f>
        <x:v>Work to acceptance standard</x:v>
      </x:c>
      <x:c r="T328" s="26" t="str">
        <x:v>T0013; T0055</x:v>
      </x:c>
      <x:c r="U32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28" s="31" t="n">
        <x:v>7.5</x:v>
      </x:c>
      <x:c r="W328" s="26" t="str"/>
      <x:c r="X328" s="26" t="str">
        <x:v>DSI Reset PDF: lane responsibilities and dated runbook; dated allocation proposed for this tracker.</x:v>
      </x:c>
      <x:c r="Y328" s="30" t="n">
        <x:f>B328-WEEKDAY(B328,2)+1</x:f>
        <x:v>46356</x:v>
      </x:c>
      <x:c r="Z328" s="2" t="str">
        <x:v>capacity</x:v>
      </x:c>
      <x:c r="AA328" s="2" t="n">
        <x:f>IF(Q328=1,IF(P328&gt;B328,1,0),0)</x:f>
        <x:v>0</x:v>
      </x:c>
      <x:c r="AB328" s="2" t="n">
        <x:f>IF(AND(Q328=1,P328&lt;='Dashboard'!$B$5),0,MAX(0,'Dashboard'!$B$5-B328))</x:f>
        <x:v>0</x:v>
      </x:c>
      <x:c r="AC328" s="28" t="str"/>
      <x:c r="AD328" s="2" t="str">
        <x:f>IF(AND(ISNUMBER(F328),ISNUMBER(G328)),G328-F328,"")</x:f>
      </x:c>
      <x:c r="AE328" s="2" t="n">
        <x:f>IF(AND(I328="Accepted",K328&lt;&gt;"",O328&lt;&gt;"",ISNUMBER(P328),P328&gt;0,P328&lt;='Dashboard'!$B$5,IF(ISNUMBER(F328),ISNUMBER(G328),TRUE),IF(ISNUMBER(F328),OR(G328&gt;=F328,AC328&lt;&gt;""),TRUE)),1,0)</x:f>
        <x:v>0</x:v>
      </x:c>
    </x:row>
    <x:row r="329" ht="58" customHeight="1">
      <x:c r="A329" s="2" t="str">
        <x:v>T0283</x:v>
      </x:c>
      <x:c r="B329" s="30" t="n">
        <x:v>46357</x:v>
      </x:c>
      <x:c r="C329" s="2" t="str">
        <x:v>Setter 2</x:v>
      </x:c>
      <x:c r="D329" s="2" t="str">
        <x:v>Reply and Phone Setter</x:v>
      </x:c>
      <x:c r="E329" s="26" t="str">
        <x:v>SLA/call outcome log; bookings and next steps; handoff to Nova</x:v>
      </x:c>
      <x:c r="F329" s="2" t="n">
        <x:v>50</x:v>
      </x:c>
      <x:c r="G329" s="20"/>
      <x:c r="H329" s="2" t="str">
        <x:v>dial working target; inbound SLA takes priority</x:v>
      </x:c>
      <x:c r="I329" s="20" t="str">
        <x:v>Ready</x:v>
      </x:c>
      <x:c r="J329" s="2" t="str">
        <x:v>16:45</x:v>
      </x:c>
      <x:c r="K329" s="28" t="str"/>
      <x:c r="L329" s="28" t="str"/>
      <x:c r="M329" s="20" t="str"/>
      <x:c r="N329" s="33"/>
      <x:c r="O329" s="20" t="str"/>
      <x:c r="P329" s="33"/>
      <x:c r="Q329" s="2" t="n">
        <x:f>IF(AND(AE329=1,COUNTIFS($A$7:$A$500,"T0013",$AE$7:$AE$500,1)=1,COUNTIFS($A$7:$A$500,"T0055",$AE$7:$AE$500,1)=1),1,0)</x:f>
        <x:v>0</x:v>
      </x:c>
      <x:c r="R329" s="2" t="str">
        <x:f>IF(AND(Q329=1,P329&lt;='Dashboard'!$B$5),IF(P329&gt;B329,"Accepted late","Accepted"),IF(B329&lt;'Dashboard'!$B$5,"Overdue",IF(I329="Blocked","Blocked",IF(B329='Dashboard'!$B$5,"Due today","Planned"))))</x:f>
        <x:v>Planned</x:v>
      </x:c>
      <x:c r="S329" s="26" t="str">
        <x:f>IF(I329="Accepted",IF(K329="","Add evidence",IF(O329="","Add reviewer",IF(P329="","Add accepted date",IF(AND(ISNUMBER(F329),COUNT(G329)=0),"Add actual quantity",IF(Q329=0,"Review target / date / dependencies","Complete"))))),IF(OR(I329="Blocked",I329="Deferred"),IF(L329="","Record blocker / reason",IF(M329="","Assign rescue owner",IF(N329="","Set recovery date","Recovery assigned"))),IF(B329&lt;'Dashboard'!$B$5,"Escalate and record recovery","Work to acceptance standard")))</x:f>
        <x:v>Work to acceptance standard</x:v>
      </x:c>
      <x:c r="T329" s="26" t="str">
        <x:v>T0013; T0055</x:v>
      </x:c>
      <x:c r="U329"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29" s="31" t="n">
        <x:v>7.5</x:v>
      </x:c>
      <x:c r="W329" s="26" t="str"/>
      <x:c r="X329" s="26" t="str">
        <x:v>DSI Reset PDF: lane responsibilities and dated runbook; dated allocation proposed for this tracker.</x:v>
      </x:c>
      <x:c r="Y329" s="30" t="n">
        <x:f>B329-WEEKDAY(B329,2)+1</x:f>
        <x:v>46356</x:v>
      </x:c>
      <x:c r="Z329" s="2" t="str">
        <x:v>capacity</x:v>
      </x:c>
      <x:c r="AA329" s="2" t="n">
        <x:f>IF(Q329=1,IF(P329&gt;B329,1,0),0)</x:f>
        <x:v>0</x:v>
      </x:c>
      <x:c r="AB329" s="2" t="n">
        <x:f>IF(AND(Q329=1,P329&lt;='Dashboard'!$B$5),0,MAX(0,'Dashboard'!$B$5-B329))</x:f>
        <x:v>0</x:v>
      </x:c>
      <x:c r="AC329" s="28" t="str"/>
      <x:c r="AD329" s="2" t="str">
        <x:f>IF(AND(ISNUMBER(F329),ISNUMBER(G329)),G329-F329,"")</x:f>
      </x:c>
      <x:c r="AE329" s="2" t="n">
        <x:f>IF(AND(I329="Accepted",K329&lt;&gt;"",O329&lt;&gt;"",ISNUMBER(P329),P329&gt;0,P329&lt;='Dashboard'!$B$5,IF(ISNUMBER(F329),ISNUMBER(G329),TRUE),IF(ISNUMBER(F329),OR(G329&gt;=F329,AC329&lt;&gt;""),TRUE)),1,0)</x:f>
        <x:v>0</x:v>
      </x:c>
    </x:row>
    <x:row r="330" ht="58" customHeight="1">
      <x:c r="A330" s="2" t="str">
        <x:v>T0469</x:v>
      </x:c>
      <x:c r="B330" s="30" t="n">
        <x:v>46357</x:v>
      </x:c>
      <x:c r="C330" s="2" t="str">
        <x:v>Nic</x:v>
      </x:c>
      <x:c r="D330" s="2" t="str">
        <x:v>Client dependency</x:v>
      </x:c>
      <x:c r="E330" s="26" t="str">
        <x:v>Call outcome/next step for every appointment due; first-case decisions</x:v>
      </x:c>
      <x:c r="F330" s="2" t="str"/>
      <x:c r="G330" s="20"/>
      <x:c r="H330" s="2" t="str">
        <x:v>all due appointments</x:v>
      </x:c>
      <x:c r="I330" s="20" t="str">
        <x:v>Ready</x:v>
      </x:c>
      <x:c r="J330" s="2" t="str">
        <x:v>16:45</x:v>
      </x:c>
      <x:c r="K330" s="28" t="str"/>
      <x:c r="L330" s="28" t="str"/>
      <x:c r="M330" s="20" t="str"/>
      <x:c r="N330" s="33"/>
      <x:c r="O330" s="20" t="str"/>
      <x:c r="P330" s="33"/>
      <x:c r="Q330" s="2" t="n">
        <x:f>IF(AND(AE330=1,COUNTIFS($A$7:$A$500,"T0028",$AE$7:$AE$500,1)=1),1,0)</x:f>
        <x:v>0</x:v>
      </x:c>
      <x:c r="R330" s="2" t="str">
        <x:f>IF(AND(Q330=1,P330&lt;='Dashboard'!$B$5),IF(P330&gt;B330,"Accepted late","Accepted"),IF(B330&lt;'Dashboard'!$B$5,"Overdue",IF(I330="Blocked","Blocked",IF(B330='Dashboard'!$B$5,"Due today","Planned"))))</x:f>
        <x:v>Planned</x:v>
      </x:c>
      <x:c r="S330" s="26" t="str">
        <x:f>IF(I330="Accepted",IF(K330="","Add evidence",IF(O330="","Add reviewer",IF(P330="","Add accepted date",IF(AND(ISNUMBER(F330),COUNT(G330)=0),"Add actual quantity",IF(Q330=0,"Review target / date / dependencies","Complete"))))),IF(OR(I330="Blocked",I330="Deferred"),IF(L330="","Record blocker / reason",IF(M330="","Assign rescue owner",IF(N330="","Set recovery date","Recovery assigned"))),IF(B330&lt;'Dashboard'!$B$5,"Escalate and record recovery","Work to acceptance standard")))</x:f>
        <x:v>Work to acceptance standard</x:v>
      </x:c>
      <x:c r="T330" s="26" t="str">
        <x:v>T0028</x:v>
      </x:c>
      <x:c r="U330" s="26" t="str">
        <x:v>Demand-linked: work actual approved calendar; setter brief present; outcome logged same day. No calls scheduled is N/A with calendar evidence.</x:v>
      </x:c>
      <x:c r="V330" s="31" t="n">
        <x:v>0.5</x:v>
      </x:c>
      <x:c r="W330" s="26" t="str"/>
      <x:c r="X330" s="26" t="str">
        <x:v>DSI Reset PDF: lane responsibilities and dated runbook; dated allocation proposed for this tracker.</x:v>
      </x:c>
      <x:c r="Y330" s="30" t="n">
        <x:f>B330-WEEKDAY(B330,2)+1</x:f>
        <x:v>46356</x:v>
      </x:c>
      <x:c r="Z330" s="2" t="str">
        <x:v>demand</x:v>
      </x:c>
      <x:c r="AA330" s="2" t="n">
        <x:f>IF(Q330=1,IF(P330&gt;B330,1,0),0)</x:f>
        <x:v>0</x:v>
      </x:c>
      <x:c r="AB330" s="2" t="n">
        <x:f>IF(AND(Q330=1,P330&lt;='Dashboard'!$B$5),0,MAX(0,'Dashboard'!$B$5-B330))</x:f>
        <x:v>0</x:v>
      </x:c>
      <x:c r="AC330" s="28" t="str"/>
      <x:c r="AD330" s="2" t="str">
        <x:f>IF(AND(ISNUMBER(F330),ISNUMBER(G330)),G330-F330,"")</x:f>
      </x:c>
      <x:c r="AE330" s="2" t="n">
        <x:f>IF(AND(I330="Accepted",K330&lt;&gt;"",O330&lt;&gt;"",ISNUMBER(P330),P330&gt;0,P330&lt;='Dashboard'!$B$5,IF(ISNUMBER(F330),ISNUMBER(G330),TRUE)),1,0)</x:f>
        <x:v>0</x:v>
      </x:c>
    </x:row>
    <x:row r="331" ht="58" customHeight="1">
      <x:c r="A331" s="2" t="str">
        <x:v>T0470</x:v>
      </x:c>
      <x:c r="B331" s="30" t="n">
        <x:v>46357</x:v>
      </x:c>
      <x:c r="C331" s="2" t="str">
        <x:v>Maseeha</x:v>
      </x:c>
      <x:c r="D331" s="2" t="str">
        <x:v>Client dependency</x:v>
      </x:c>
      <x:c r="E331" s="26" t="str">
        <x:v>Due intro verification; kit/case handoff; delivery/Day-30 dates; credit trigger log</x:v>
      </x:c>
      <x:c r="F331" s="2" t="str"/>
      <x:c r="G331" s="20"/>
      <x:c r="H331" s="2" t="str">
        <x:v>all due cases</x:v>
      </x:c>
      <x:c r="I331" s="20" t="str">
        <x:v>Ready</x:v>
      </x:c>
      <x:c r="J331" s="2" t="str">
        <x:v>16:45</x:v>
      </x:c>
      <x:c r="K331" s="28" t="str"/>
      <x:c r="L331" s="28" t="str"/>
      <x:c r="M331" s="20" t="str"/>
      <x:c r="N331" s="33"/>
      <x:c r="O331" s="20" t="str"/>
      <x:c r="P331" s="33"/>
      <x:c r="Q331" s="2" t="n">
        <x:f>IF(AND(AE331=1,COUNTIFS($A$7:$A$500,"T0028",$AE$7:$AE$500,1)=1),1,0)</x:f>
        <x:v>0</x:v>
      </x:c>
      <x:c r="R331" s="2" t="str">
        <x:f>IF(AND(Q331=1,P331&lt;='Dashboard'!$B$5),IF(P331&gt;B331,"Accepted late","Accepted"),IF(B331&lt;'Dashboard'!$B$5,"Overdue",IF(I331="Blocked","Blocked",IF(B331='Dashboard'!$B$5,"Due today","Planned"))))</x:f>
        <x:v>Planned</x:v>
      </x:c>
      <x:c r="S331" s="26" t="str">
        <x:f>IF(I331="Accepted",IF(K331="","Add evidence",IF(O331="","Add reviewer",IF(P331="","Add accepted date",IF(AND(ISNUMBER(F331),COUNT(G331)=0),"Add actual quantity",IF(Q331=0,"Review target / date / dependencies","Complete"))))),IF(OR(I331="Blocked",I331="Deferred"),IF(L331="","Record blocker / reason",IF(M331="","Assign rescue owner",IF(N331="","Set recovery date","Recovery assigned"))),IF(B331&lt;'Dashboard'!$B$5,"Escalate and record recovery","Work to acceptance standard")))</x:f>
        <x:v>Work to acceptance standard</x:v>
      </x:c>
      <x:c r="T331" s="26" t="str">
        <x:v>T0028</x:v>
      </x:c>
      <x:c r="U331" s="26" t="str">
        <x:v>Demand-linked: referral verification&lt;=2 business days; trial capacity respected; $200 credit only on eligible invoice paid.</x:v>
      </x:c>
      <x:c r="V331" s="31" t="n">
        <x:v>0.5</x:v>
      </x:c>
      <x:c r="W331" s="26" t="str"/>
      <x:c r="X331" s="26" t="str">
        <x:v>DSI Reset PDF: lane responsibilities and dated runbook; dated allocation proposed for this tracker.</x:v>
      </x:c>
      <x:c r="Y331" s="30" t="n">
        <x:f>B331-WEEKDAY(B331,2)+1</x:f>
        <x:v>46356</x:v>
      </x:c>
      <x:c r="Z331" s="2" t="str">
        <x:v>demand</x:v>
      </x:c>
      <x:c r="AA331" s="2" t="n">
        <x:f>IF(Q331=1,IF(P331&gt;B331,1,0),0)</x:f>
        <x:v>0</x:v>
      </x:c>
      <x:c r="AB331" s="2" t="n">
        <x:f>IF(AND(Q331=1,P331&lt;='Dashboard'!$B$5),0,MAX(0,'Dashboard'!$B$5-B331))</x:f>
        <x:v>0</x:v>
      </x:c>
      <x:c r="AC331" s="28" t="str"/>
      <x:c r="AD331" s="2" t="str">
        <x:f>IF(AND(ISNUMBER(F331),ISNUMBER(G331)),G331-F331,"")</x:f>
      </x:c>
      <x:c r="AE331" s="2" t="n">
        <x:f>IF(AND(I331="Accepted",K331&lt;&gt;"",O331&lt;&gt;"",ISNUMBER(P331),P331&gt;0,P331&lt;='Dashboard'!$B$5,IF(ISNUMBER(F331),ISNUMBER(G331),TRUE)),1,0)</x:f>
        <x:v>0</x:v>
      </x:c>
    </x:row>
    <x:row r="332" ht="58" customHeight="1">
      <x:c r="A332" s="2" t="str">
        <x:v>T0284</x:v>
      </x:c>
      <x:c r="B332" s="30" t="n">
        <x:v>46358</x:v>
      </x:c>
      <x:c r="C332" s="2" t="str">
        <x:v>Wyline</x:v>
      </x:c>
      <x:c r="D332" s="2" t="str">
        <x:v>Program Director</x:v>
      </x:c>
      <x:c r="E332" s="26" t="str">
        <x:v>Accepted-output register; actual-vs-target dashboard; blocker/rescue assignments</x:v>
      </x:c>
      <x:c r="F332" s="2" t="n">
        <x:v>1</x:v>
      </x:c>
      <x:c r="G332" s="20"/>
      <x:c r="H332" s="2" t="str">
        <x:v>accepted output</x:v>
      </x:c>
      <x:c r="I332" s="20" t="str">
        <x:v>Ready</x:v>
      </x:c>
      <x:c r="J332" s="2" t="str">
        <x:v>16:45</x:v>
      </x:c>
      <x:c r="K332" s="28" t="str"/>
      <x:c r="L332" s="28" t="str"/>
      <x:c r="M332" s="20" t="str"/>
      <x:c r="N332" s="33"/>
      <x:c r="O332" s="20" t="str"/>
      <x:c r="P332" s="33"/>
      <x:c r="Q332" s="2" t="n">
        <x:f>IF(AND(AE332=1,COUNTIFS($A$7:$A$500,"T0067",$AE$7:$AE$500,1)=1,COUNTIFS($A$7:$A$500,"T0055",$AE$7:$AE$500,1)=1),1,0)</x:f>
        <x:v>0</x:v>
      </x:c>
      <x:c r="R332" s="2" t="str">
        <x:f>IF(AND(Q332=1,P332&lt;='Dashboard'!$B$5),IF(P332&gt;B332,"Accepted late","Accepted"),IF(B332&lt;'Dashboard'!$B$5,"Overdue",IF(I332="Blocked","Blocked",IF(B332='Dashboard'!$B$5,"Due today","Planned"))))</x:f>
        <x:v>Planned</x:v>
      </x:c>
      <x:c r="S332" s="26" t="str">
        <x:f>IF(I332="Accepted",IF(K332="","Add evidence",IF(O332="","Add reviewer",IF(P332="","Add accepted date",IF(AND(ISNUMBER(F332),COUNT(G332)=0),"Add actual quantity",IF(Q332=0,"Review target / date / dependencies","Complete"))))),IF(OR(I332="Blocked",I332="Deferred"),IF(L332="","Record blocker / reason",IF(M332="","Assign rescue owner",IF(N332="","Set recovery date","Recovery assigned"))),IF(B332&lt;'Dashboard'!$B$5,"Escalate and record recovery","Work to acceptance standard")))</x:f>
        <x:v>Work to acceptance standard</x:v>
      </x:c>
      <x:c r="T332" s="26" t="str">
        <x:v>T0067</x:v>
      </x:c>
      <x:c r="U332" s="26" t="str">
        <x:v>09:00 standup; 13:00/16:30 recovery checks; 17:00 acceptance. Every overdue task keeps original date and named recovery owner.</x:v>
      </x:c>
      <x:c r="V332" s="31" t="n">
        <x:v>3</x:v>
      </x:c>
      <x:c r="W332" s="26" t="str"/>
      <x:c r="X332" s="26" t="str">
        <x:v>DSI Reset PDF: lane responsibilities and dated runbook; dated allocation proposed for this tracker.</x:v>
      </x:c>
      <x:c r="Y332" s="30" t="n">
        <x:f>B332-WEEKDAY(B332,2)+1</x:f>
        <x:v>46356</x:v>
      </x:c>
      <x:c r="Z332" s="2" t="str">
        <x:v>checklist</x:v>
      </x:c>
      <x:c r="AA332" s="2" t="n">
        <x:f>IF(Q332=1,IF(P332&gt;B332,1,0),0)</x:f>
        <x:v>0</x:v>
      </x:c>
      <x:c r="AB332" s="2" t="n">
        <x:f>IF(AND(Q332=1,P332&lt;='Dashboard'!$B$5),0,MAX(0,'Dashboard'!$B$5-B332))</x:f>
        <x:v>0</x:v>
      </x:c>
      <x:c r="AC332" s="28" t="str"/>
      <x:c r="AD332" s="2" t="str">
        <x:f>IF(AND(ISNUMBER(F332),ISNUMBER(G332)),G332-F332,"")</x:f>
      </x:c>
      <x:c r="AE332" s="2" t="n">
        <x:f>IF(AND(I332="Accepted",K332&lt;&gt;"",O332&lt;&gt;"",ISNUMBER(P332),P332&gt;0,P332&lt;='Dashboard'!$B$5,IF(ISNUMBER(F332),ISNUMBER(G332),TRUE),IF(ISNUMBER(F332),G332&gt;=F332,TRUE)),1,0)</x:f>
        <x:v>0</x:v>
      </x:c>
    </x:row>
    <x:row r="333" ht="58" customHeight="1">
      <x:c r="A333" s="2" t="str">
        <x:v>T0285</x:v>
      </x:c>
      <x:c r="B333" s="30" t="n">
        <x:v>46358</x:v>
      </x:c>
      <x:c r="C333" s="2" t="str">
        <x:v>Kenneth</x:v>
      </x:c>
      <x:c r="D333" s="2" t="str">
        <x:v>Message Orchestrator</x:v>
      </x:c>
      <x:c r="E333" s="26" t="str">
        <x:v>Human-reply insights; 5 Inbox draft checks; approved first lines; claim exceptions</x:v>
      </x:c>
      <x:c r="F333" s="2" t="n">
        <x:v>1</x:v>
      </x:c>
      <x:c r="G333" s="20"/>
      <x:c r="H333" s="2" t="str">
        <x:v>accepted output</x:v>
      </x:c>
      <x:c r="I333" s="20" t="str">
        <x:v>Ready</x:v>
      </x:c>
      <x:c r="J333" s="2" t="str">
        <x:v>16:45</x:v>
      </x:c>
      <x:c r="K333" s="28" t="str"/>
      <x:c r="L333" s="28" t="str"/>
      <x:c r="M333" s="20" t="str"/>
      <x:c r="N333" s="33"/>
      <x:c r="O333" s="20" t="str"/>
      <x:c r="P333" s="33"/>
      <x:c r="Q333" s="2" t="n">
        <x:f>IF(AND(AE333=1,COUNTIFS($A$7:$A$500,"T0067",$AE$7:$AE$500,1)=1,COUNTIFS($A$7:$A$500,"T0055",$AE$7:$AE$500,1)=1),1,0)</x:f>
        <x:v>0</x:v>
      </x:c>
      <x:c r="R333" s="2" t="str">
        <x:f>IF(AND(Q333=1,P333&lt;='Dashboard'!$B$5),IF(P333&gt;B333,"Accepted late","Accepted"),IF(B333&lt;'Dashboard'!$B$5,"Overdue",IF(I333="Blocked","Blocked",IF(B333='Dashboard'!$B$5,"Due today","Planned"))))</x:f>
        <x:v>Planned</x:v>
      </x:c>
      <x:c r="S333" s="26" t="str">
        <x:f>IF(I333="Accepted",IF(K333="","Add evidence",IF(O333="","Add reviewer",IF(P333="","Add accepted date",IF(AND(ISNUMBER(F333),COUNT(G333)=0),"Add actual quantity",IF(Q333=0,"Review target / date / dependencies","Complete"))))),IF(OR(I333="Blocked",I333="Deferred"),IF(L333="","Record blocker / reason",IF(M333="","Assign rescue owner",IF(N333="","Set recovery date","Recovery assigned"))),IF(B333&lt;'Dashboard'!$B$5,"Escalate and record recovery","Work to acceptance standard")))</x:f>
        <x:v>Work to acceptance standard</x:v>
      </x:c>
      <x:c r="T333" s="26" t="str">
        <x:v>T0067</x:v>
      </x:c>
      <x:c r="U333" s="26" t="str">
        <x:v>Zero invented claims. If any draft fails facts, stop drafting/retrain; no offer change without approval.</x:v>
      </x:c>
      <x:c r="V333" s="31" t="n">
        <x:v>2.4</x:v>
      </x:c>
      <x:c r="W333" s="26" t="str"/>
      <x:c r="X333" s="26" t="str">
        <x:v>DSI Reset PDF: lane responsibilities and dated runbook; dated allocation proposed for this tracker.</x:v>
      </x:c>
      <x:c r="Y333" s="30" t="n">
        <x:f>B333-WEEKDAY(B333,2)+1</x:f>
        <x:v>46356</x:v>
      </x:c>
      <x:c r="Z333" s="2" t="str">
        <x:v>checklist</x:v>
      </x:c>
      <x:c r="AA333" s="2" t="n">
        <x:f>IF(Q333=1,IF(P333&gt;B333,1,0),0)</x:f>
        <x:v>0</x:v>
      </x:c>
      <x:c r="AB333" s="2" t="n">
        <x:f>IF(AND(Q333=1,P333&lt;='Dashboard'!$B$5),0,MAX(0,'Dashboard'!$B$5-B333))</x:f>
        <x:v>0</x:v>
      </x:c>
      <x:c r="AC333" s="28" t="str"/>
      <x:c r="AD333" s="2" t="str">
        <x:f>IF(AND(ISNUMBER(F333),ISNUMBER(G333)),G333-F333,"")</x:f>
      </x:c>
      <x:c r="AE333" s="2" t="n">
        <x:f>IF(AND(I333="Accepted",K333&lt;&gt;"",O333&lt;&gt;"",ISNUMBER(P333),P333&gt;0,P333&lt;='Dashboard'!$B$5,IF(ISNUMBER(F333),ISNUMBER(G333),TRUE),IF(ISNUMBER(F333),G333&gt;=F333,TRUE)),1,0)</x:f>
        <x:v>0</x:v>
      </x:c>
    </x:row>
    <x:row r="334" ht="58" customHeight="1">
      <x:c r="A334" s="2" t="str">
        <x:v>T0286</x:v>
      </x:c>
      <x:c r="B334" s="30" t="n">
        <x:v>46358</x:v>
      </x:c>
      <x:c r="C334" s="2" t="str">
        <x:v>Joey</x:v>
      </x:c>
      <x:c r="D334" s="2" t="str">
        <x:v>Data Orchestrator</x:v>
      </x:c>
      <x:c r="E334" s="26" t="str">
        <x:v>Mailbox/bounce/suppression log; ready verified records; due-follow up versus new-send capacity plan. Planned list output today: 30 new verified contacts; cumulative ready pool 590.</x:v>
      </x:c>
      <x:c r="F334" s="2" t="n">
        <x:v>30</x:v>
      </x:c>
      <x:c r="G334" s="20"/>
      <x:c r="H334" s="2" t="str">
        <x:v>new verified contacts; proposed daily pace</x:v>
      </x:c>
      <x:c r="I334" s="20" t="str">
        <x:v>Ready</x:v>
      </x:c>
      <x:c r="J334" s="2" t="str">
        <x:v>16:45</x:v>
      </x:c>
      <x:c r="K334" s="28" t="str"/>
      <x:c r="L334" s="28" t="str"/>
      <x:c r="M334" s="20" t="str"/>
      <x:c r="N334" s="33"/>
      <x:c r="O334" s="20" t="str"/>
      <x:c r="P334" s="33"/>
      <x:c r="Q334" s="2" t="n">
        <x:f>IF(AND(AE334=1,COUNTIFS($A$7:$A$500,"T0067",$AE$7:$AE$500,1)=1,COUNTIFS($A$7:$A$500,"T0055",$AE$7:$AE$500,1)=1),1,0)</x:f>
        <x:v>0</x:v>
      </x:c>
      <x:c r="R334" s="2" t="str">
        <x:f>IF(AND(Q334=1,P334&lt;='Dashboard'!$B$5),IF(P334&gt;B334,"Accepted late","Accepted"),IF(B334&lt;'Dashboard'!$B$5,"Overdue",IF(I334="Blocked","Blocked",IF(B334='Dashboard'!$B$5,"Due today","Planned"))))</x:f>
        <x:v>Planned</x:v>
      </x:c>
      <x:c r="S334" s="26" t="str">
        <x:f>IF(I334="Accepted",IF(K334="","Add evidence",IF(O334="","Add reviewer",IF(P334="","Add accepted date",IF(AND(ISNUMBER(F334),COUNT(G334)=0),"Add actual quantity",IF(Q334=0,"Review target / date / dependencies","Complete"))))),IF(OR(I334="Blocked",I334="Deferred"),IF(L334="","Record blocker / reason",IF(M334="","Assign rescue owner",IF(N334="","Set recovery date","Recovery assigned"))),IF(B334&lt;'Dashboard'!$B$5,"Escalate and record recovery","Work to acceptance standard")))</x:f>
        <x:v>Work to acceptance standard</x:v>
      </x:c>
      <x:c r="T334" s="26" t="str">
        <x:v>T0067</x:v>
      </x:c>
      <x:c r="U334" s="26" t="str">
        <x:v>Planning pool addition 30 contacts today; quality gate wins over quota. Total sends&lt;=150/day;&gt;3% bounce affected mailbox held. No new cold enrollments on reduced/buffer days.</x:v>
      </x:c>
      <x:c r="V334" s="31" t="n">
        <x:v>3</x:v>
      </x:c>
      <x:c r="W334" s="26" t="str"/>
      <x:c r="X334" s="26" t="str">
        <x:v>DSI Reset PDF: lane responsibilities and dated runbook; dated allocation proposed for this tracker.</x:v>
      </x:c>
      <x:c r="Y334" s="30" t="n">
        <x:f>B334-WEEKDAY(B334,2)+1</x:f>
        <x:v>46356</x:v>
      </x:c>
      <x:c r="Z334" s="2" t="str">
        <x:v>goal</x:v>
      </x:c>
      <x:c r="AA334" s="2" t="n">
        <x:f>IF(Q334=1,IF(P334&gt;B334,1,0),0)</x:f>
        <x:v>0</x:v>
      </x:c>
      <x:c r="AB334" s="2" t="n">
        <x:f>IF(AND(Q334=1,P334&lt;='Dashboard'!$B$5),0,MAX(0,'Dashboard'!$B$5-B334))</x:f>
        <x:v>0</x:v>
      </x:c>
      <x:c r="AC334" s="28" t="str"/>
      <x:c r="AD334" s="2" t="str">
        <x:f>IF(AND(ISNUMBER(F334),ISNUMBER(G334)),G334-F334,"")</x:f>
      </x:c>
      <x:c r="AE334" s="2" t="n">
        <x:f>IF(AND(I334="Accepted",K334&lt;&gt;"",O334&lt;&gt;"",ISNUMBER(P334),P334&gt;0,P334&lt;='Dashboard'!$B$5,IF(ISNUMBER(F334),ISNUMBER(G334),TRUE),IF(ISNUMBER(F334),G334&gt;=F334,TRUE)),1,0)</x:f>
        <x:v>0</x:v>
      </x:c>
    </x:row>
    <x:row r="335" ht="58" customHeight="1">
      <x:c r="A335" s="2" t="str">
        <x:v>T0287</x:v>
      </x:c>
      <x:c r="B335" s="30" t="n">
        <x:v>46358</x:v>
      </x:c>
      <x:c r="C335" s="2" t="str">
        <x:v>Nova</x:v>
      </x:c>
      <x:c r="D335" s="2" t="str">
        <x:v>Conversion Orchestrator</x:v>
      </x:c>
      <x:c r="E335" s="26" t="str">
        <x:v>Coverage/SLA evidence; 2 call reviews; booked/held updates; next-step and trial handoffs. Log each unique qualified inquiry with practice type, decision-maker access, case volume, service need and readiness timing.</x:v>
      </x:c>
      <x:c r="F335" s="2" t="n">
        <x:v>1</x:v>
      </x:c>
      <x:c r="G335" s="20"/>
      <x:c r="H335" s="2" t="str">
        <x:v>accepted output</x:v>
      </x:c>
      <x:c r="I335" s="20" t="str">
        <x:v>Ready</x:v>
      </x:c>
      <x:c r="J335" s="2" t="str">
        <x:v>16:45</x:v>
      </x:c>
      <x:c r="K335" s="28" t="str"/>
      <x:c r="L335" s="28" t="str"/>
      <x:c r="M335" s="20" t="str"/>
      <x:c r="N335" s="33"/>
      <x:c r="O335" s="20" t="str"/>
      <x:c r="P335" s="33"/>
      <x:c r="Q335" s="2" t="n">
        <x:f>IF(AND(AE335=1,COUNTIFS($A$7:$A$500,"T0067",$AE$7:$AE$500,1)=1,COUNTIFS($A$7:$A$500,"T0055",$AE$7:$AE$500,1)=1),1,0)</x:f>
        <x:v>0</x:v>
      </x:c>
      <x:c r="R335" s="2" t="str">
        <x:f>IF(AND(Q335=1,P335&lt;='Dashboard'!$B$5),IF(P335&gt;B335,"Accepted late","Accepted"),IF(B335&lt;'Dashboard'!$B$5,"Overdue",IF(I335="Blocked","Blocked",IF(B335='Dashboard'!$B$5,"Due today","Planned"))))</x:f>
        <x:v>Planned</x:v>
      </x:c>
      <x:c r="S335" s="26" t="str">
        <x:f>IF(I335="Accepted",IF(K335="","Add evidence",IF(O335="","Add reviewer",IF(P335="","Add accepted date",IF(AND(ISNUMBER(F335),COUNT(G335)=0),"Add actual quantity",IF(Q335=0,"Review target / date / dependencies","Complete"))))),IF(OR(I335="Blocked",I335="Deferred"),IF(L335="","Record blocker / reason",IF(M335="","Assign rescue owner",IF(N335="","Set recovery date","Recovery assigned"))),IF(B335&lt;'Dashboard'!$B$5,"Escalate and record recovery","Work to acceptance standard")))</x:f>
        <x:v>Work to acceptance standard</x:v>
      </x:c>
      <x:c r="T335" s="26" t="str">
        <x:v>T0067</x:v>
      </x:c>
      <x:c r="U335" s="26" t="str">
        <x:v>Every eligible reply&lt;=15 min; positive call&lt;=60 min; no opportunity without next step; booked brief to Nic; trial logistics to Maseeha. Raw contacts, opens and accepts never count as qualified inquiries; deduplicate across channels.</x:v>
      </x:c>
      <x:c r="V335" s="31" t="n">
        <x:v>4</x:v>
      </x:c>
      <x:c r="W335" s="26" t="str"/>
      <x:c r="X335" s="26" t="str">
        <x:v>DSI Reset PDF: lane responsibilities and dated runbook; dated allocation proposed for this tracker.</x:v>
      </x:c>
      <x:c r="Y335" s="30" t="n">
        <x:f>B335-WEEKDAY(B335,2)+1</x:f>
        <x:v>46356</x:v>
      </x:c>
      <x:c r="Z335" s="2" t="str">
        <x:v>checklist</x:v>
      </x:c>
      <x:c r="AA335" s="2" t="n">
        <x:f>IF(Q335=1,IF(P335&gt;B335,1,0),0)</x:f>
        <x:v>0</x:v>
      </x:c>
      <x:c r="AB335" s="2" t="n">
        <x:f>IF(AND(Q335=1,P335&lt;='Dashboard'!$B$5),0,MAX(0,'Dashboard'!$B$5-B335))</x:f>
        <x:v>0</x:v>
      </x:c>
      <x:c r="AC335" s="28" t="str"/>
      <x:c r="AD335" s="2" t="str">
        <x:f>IF(AND(ISNUMBER(F335),ISNUMBER(G335)),G335-F335,"")</x:f>
      </x:c>
      <x:c r="AE335" s="2" t="n">
        <x:f>IF(AND(I335="Accepted",K335&lt;&gt;"",O335&lt;&gt;"",ISNUMBER(P335),P335&gt;0,P335&lt;='Dashboard'!$B$5,IF(ISNUMBER(F335),ISNUMBER(G335),TRUE),IF(ISNUMBER(F335),G335&gt;=F335,TRUE)),1,0)</x:f>
        <x:v>0</x:v>
      </x:c>
    </x:row>
    <x:row r="336" ht="58" customHeight="1">
      <x:c r="A336" s="2" t="str">
        <x:v>T0288</x:v>
      </x:c>
      <x:c r="B336" s="30" t="n">
        <x:v>46358</x:v>
      </x:c>
      <x:c r="C336" s="2" t="str">
        <x:v>Emman</x:v>
      </x:c>
      <x:c r="D336" s="2" t="str">
        <x:v>AI Build Orchestrator</x:v>
      </x:c>
      <x:c r="E336" s="26" t="str">
        <x:v>Health/retry log; one acceptance-backed build increment; updated change log</x:v>
      </x:c>
      <x:c r="F336" s="2" t="n">
        <x:v>1</x:v>
      </x:c>
      <x:c r="G336" s="20"/>
      <x:c r="H336" s="2" t="str">
        <x:v>accepted output</x:v>
      </x:c>
      <x:c r="I336" s="20" t="str">
        <x:v>Ready</x:v>
      </x:c>
      <x:c r="J336" s="2" t="str">
        <x:v>16:45</x:v>
      </x:c>
      <x:c r="K336" s="28" t="str"/>
      <x:c r="L336" s="28" t="str"/>
      <x:c r="M336" s="20" t="str"/>
      <x:c r="N336" s="33"/>
      <x:c r="O336" s="20" t="str"/>
      <x:c r="P336" s="33"/>
      <x:c r="Q336" s="2" t="n">
        <x:f>IF(AND(AE336=1,COUNTIFS($A$7:$A$500,"T0067",$AE$7:$AE$500,1)=1,COUNTIFS($A$7:$A$500,"T0055",$AE$7:$AE$500,1)=1),1,0)</x:f>
        <x:v>0</x:v>
      </x:c>
      <x:c r="R336" s="2" t="str">
        <x:f>IF(AND(Q336=1,P336&lt;='Dashboard'!$B$5),IF(P336&gt;B336,"Accepted late","Accepted"),IF(B336&lt;'Dashboard'!$B$5,"Overdue",IF(I336="Blocked","Blocked",IF(B336='Dashboard'!$B$5,"Due today","Planned"))))</x:f>
        <x:v>Planned</x:v>
      </x:c>
      <x:c r="S336" s="26" t="str">
        <x:f>IF(I336="Accepted",IF(K336="","Add evidence",IF(O336="","Add reviewer",IF(P336="","Add accepted date",IF(AND(ISNUMBER(F336),COUNT(G336)=0),"Add actual quantity",IF(Q336=0,"Review target / date / dependencies","Complete"))))),IF(OR(I336="Blocked",I336="Deferred"),IF(L336="","Record blocker / reason",IF(M336="","Assign rescue owner",IF(N336="","Set recovery date","Recovery assigned"))),IF(B336&lt;'Dashboard'!$B$5,"Escalate and record recovery","Work to acceptance standard")))</x:f>
        <x:v>Work to acceptance standard</x:v>
      </x:c>
      <x:c r="T336" s="26" t="str">
        <x:v>T0067</x:v>
      </x:c>
      <x:c r="U336" s="26" t="str">
        <x:v>Fix a failing live agent beforestarting the next build. If an agent is still not working 48 hours after its due date, activate the manual SOP. Roll back a live failure within 1 hour. Release build reserve when no approved work remains.</x:v>
      </x:c>
      <x:c r="V336" s="31" t="n">
        <x:v>4</x:v>
      </x:c>
      <x:c r="W336" s="26" t="str"/>
      <x:c r="X336" s="26" t="str">
        <x:v>DSI Reset PDF: lane responsibilities and dated runbook; dated allocation proposed for this tracker.</x:v>
      </x:c>
      <x:c r="Y336" s="30" t="n">
        <x:f>B336-WEEKDAY(B336,2)+1</x:f>
        <x:v>46356</x:v>
      </x:c>
      <x:c r="Z336" s="2" t="str">
        <x:v>checklist</x:v>
      </x:c>
      <x:c r="AA336" s="2" t="n">
        <x:f>IF(Q336=1,IF(P336&gt;B336,1,0),0)</x:f>
        <x:v>0</x:v>
      </x:c>
      <x:c r="AB336" s="2" t="n">
        <x:f>IF(AND(Q336=1,P336&lt;='Dashboard'!$B$5),0,MAX(0,'Dashboard'!$B$5-B336))</x:f>
        <x:v>0</x:v>
      </x:c>
      <x:c r="AC336" s="28" t="str"/>
      <x:c r="AD336" s="2" t="str">
        <x:f>IF(AND(ISNUMBER(F336),ISNUMBER(G336)),G336-F336,"")</x:f>
      </x:c>
      <x:c r="AE336" s="2" t="n">
        <x:f>IF(AND(I336="Accepted",K336&lt;&gt;"",O336&lt;&gt;"",ISNUMBER(P336),P336&gt;0,P336&lt;='Dashboard'!$B$5,IF(ISNUMBER(F336),ISNUMBER(G336),TRUE),IF(ISNUMBER(F336),G336&gt;=F336,TRUE)),1,0)</x:f>
        <x:v>0</x:v>
      </x:c>
    </x:row>
    <x:row r="337" ht="58" customHeight="1">
      <x:c r="A337" s="2" t="str">
        <x:v>T0289</x:v>
      </x:c>
      <x:c r="B337" s="30" t="n">
        <x:v>46358</x:v>
      </x:c>
      <x:c r="C337" s="2" t="str">
        <x:v>Ludwig</x:v>
      </x:c>
      <x:c r="D337" s="2" t="str">
        <x:v>Integration Engineer</x:v>
      </x:c>
      <x:c r="E337" s="26" t="str">
        <x:v>Webhook/error/dead-letter check; top assigned integration ticket or verified no-ticket note</x:v>
      </x:c>
      <x:c r="F337" s="2" t="n">
        <x:v>1</x:v>
      </x:c>
      <x:c r="G337" s="20"/>
      <x:c r="H337" s="2" t="str">
        <x:v>accepted output</x:v>
      </x:c>
      <x:c r="I337" s="20" t="str">
        <x:v>Ready</x:v>
      </x:c>
      <x:c r="J337" s="2" t="str">
        <x:v>16:45</x:v>
      </x:c>
      <x:c r="K337" s="28" t="str"/>
      <x:c r="L337" s="28" t="str"/>
      <x:c r="M337" s="20" t="str"/>
      <x:c r="N337" s="33"/>
      <x:c r="O337" s="20" t="str"/>
      <x:c r="P337" s="33"/>
      <x:c r="Q337" s="2" t="n">
        <x:f>IF(AND(AE337=1,COUNTIFS($A$7:$A$500,"T0067",$AE$7:$AE$500,1)=1,COUNTIFS($A$7:$A$500,"T0055",$AE$7:$AE$500,1)=1),1,0)</x:f>
        <x:v>0</x:v>
      </x:c>
      <x:c r="R337" s="2" t="str">
        <x:f>IF(AND(Q337=1,P337&lt;='Dashboard'!$B$5),IF(P337&gt;B337,"Accepted late","Accepted"),IF(B337&lt;'Dashboard'!$B$5,"Overdue",IF(I337="Blocked","Blocked",IF(B337='Dashboard'!$B$5,"Due today","Planned"))))</x:f>
        <x:v>Planned</x:v>
      </x:c>
      <x:c r="S337" s="26" t="str">
        <x:f>IF(I337="Accepted",IF(K337="","Add evidence",IF(O337="","Add reviewer",IF(P337="","Add accepted date",IF(AND(ISNUMBER(F337),COUNT(G337)=0),"Add actual quantity",IF(Q337=0,"Review target / date / dependencies","Complete"))))),IF(OR(I337="Blocked",I337="Deferred"),IF(L337="","Record blocker / reason",IF(M337="","Assign rescue owner",IF(N337="","Set recovery date","Recovery assigned"))),IF(B337&lt;'Dashboard'!$B$5,"Escalate and record recovery","Work to acceptance standard")))</x:f>
        <x:v>Work to acceptance standard</x:v>
      </x:c>
      <x:c r="T337" s="26" t="str">
        <x:v>T0067</x:v>
      </x:c>
      <x:c r="U337" s="26" t="str">
        <x:v>Only Emman’s priority queue; 100% test capture; runbook/retry/rollback evidence. If no fault/ticket, release reserve; do not invent work.</x:v>
      </x:c>
      <x:c r="V337" s="31" t="n">
        <x:v>1.6</x:v>
      </x:c>
      <x:c r="W337" s="26" t="str"/>
      <x:c r="X337" s="26" t="str">
        <x:v>DSI Reset PDF: lane responsibilities and dated runbook; dated allocation proposed for this tracker.</x:v>
      </x:c>
      <x:c r="Y337" s="30" t="n">
        <x:f>B337-WEEKDAY(B337,2)+1</x:f>
        <x:v>46356</x:v>
      </x:c>
      <x:c r="Z337" s="2" t="str">
        <x:v>checklist</x:v>
      </x:c>
      <x:c r="AA337" s="2" t="n">
        <x:f>IF(Q337=1,IF(P337&gt;B337,1,0),0)</x:f>
        <x:v>0</x:v>
      </x:c>
      <x:c r="AB337" s="2" t="n">
        <x:f>IF(AND(Q337=1,P337&lt;='Dashboard'!$B$5),0,MAX(0,'Dashboard'!$B$5-B337))</x:f>
        <x:v>0</x:v>
      </x:c>
      <x:c r="AC337" s="28" t="str"/>
      <x:c r="AD337" s="2" t="str">
        <x:f>IF(AND(ISNUMBER(F337),ISNUMBER(G337)),G337-F337,"")</x:f>
      </x:c>
      <x:c r="AE337" s="2" t="n">
        <x:f>IF(AND(I337="Accepted",K337&lt;&gt;"",O337&lt;&gt;"",ISNUMBER(P337),P337&gt;0,P337&lt;='Dashboard'!$B$5,IF(ISNUMBER(F337),ISNUMBER(G337),TRUE),IF(ISNUMBER(F337),G337&gt;=F337,TRUE)),1,0)</x:f>
        <x:v>0</x:v>
      </x:c>
    </x:row>
    <x:row r="338" ht="58" customHeight="1">
      <x:c r="A338" s="2" t="str">
        <x:v>T0290</x:v>
      </x:c>
      <x:c r="B338" s="30" t="n">
        <x:v>46358</x:v>
      </x:c>
      <x:c r="C338" s="2" t="str">
        <x:v>Alvin</x:v>
      </x:c>
      <x:c r="D338" s="2" t="str">
        <x:v>CQL/GHL Implementation</x:v>
      </x:c>
      <x:c r="E338" s="26" t="str">
        <x:v>Stage/calendar/reminder QA; due workflow fixes; approved post mirrors/evidence Publish approved post SOC13 (Engage); capture the live URL.</x:v>
      </x:c>
      <x:c r="F338" s="2" t="n">
        <x:v>1</x:v>
      </x:c>
      <x:c r="G338" s="20"/>
      <x:c r="H338" s="2" t="str">
        <x:v>accepted output</x:v>
      </x:c>
      <x:c r="I338" s="20" t="str">
        <x:v>Ready</x:v>
      </x:c>
      <x:c r="J338" s="2" t="str">
        <x:v>16:45</x:v>
      </x:c>
      <x:c r="K338" s="28" t="str"/>
      <x:c r="L338" s="28" t="str"/>
      <x:c r="M338" s="20" t="str"/>
      <x:c r="N338" s="33"/>
      <x:c r="O338" s="20" t="str"/>
      <x:c r="P338" s="33"/>
      <x:c r="Q338" s="2" t="n">
        <x:f>IF(AND(AE338=1,COUNTIFS($A$7:$A$500,"T0067",$AE$7:$AE$500,1)=1,COUNTIFS($A$7:$A$500,"T0055",$AE$7:$AE$500,1)=1),1,0)</x:f>
        <x:v>0</x:v>
      </x:c>
      <x:c r="R338" s="2" t="str">
        <x:f>IF(AND(Q338=1,P338&lt;='Dashboard'!$B$5),IF(P338&gt;B338,"Accepted late","Accepted"),IF(B338&lt;'Dashboard'!$B$5,"Overdue",IF(I338="Blocked","Blocked",IF(B338='Dashboard'!$B$5,"Due today","Planned"))))</x:f>
        <x:v>Planned</x:v>
      </x:c>
      <x:c r="S338" s="26" t="str">
        <x:f>IF(I338="Accepted",IF(K338="","Add evidence",IF(O338="","Add reviewer",IF(P338="","Add accepted date",IF(AND(ISNUMBER(F338),COUNT(G338)=0),"Add actual quantity",IF(Q338=0,"Review target / date / dependencies","Complete"))))),IF(OR(I338="Blocked",I338="Deferred"),IF(L338="","Record blocker / reason",IF(M338="","Assign rescue owner",IF(N338="","Set recovery date","Recovery assigned"))),IF(B338&lt;'Dashboard'!$B$5,"Escalate and record recovery","Work to acceptance standard")))</x:f>
        <x:v>Work to acceptance standard</x:v>
      </x:c>
      <x:c r="T338" s="26" t="str">
        <x:v>T0067</x:v>
      </x:c>
      <x:c r="U338" s="26" t="str">
        <x:v>No-show task&lt;=10 min; form/source fields correct; finish critical CRM defect same day. Facebook mirrors exact approved post; Instagram requires permissioned image.</x:v>
      </x:c>
      <x:c r="V338" s="31" t="n">
        <x:v>2</x:v>
      </x:c>
      <x:c r="W338" s="26" t="str"/>
      <x:c r="X338" s="26" t="str">
        <x:v>DSI Reset PDF: lane responsibilities and dated runbook; dated allocation proposed for this tracker.</x:v>
      </x:c>
      <x:c r="Y338" s="30" t="n">
        <x:f>B338-WEEKDAY(B338,2)+1</x:f>
        <x:v>46356</x:v>
      </x:c>
      <x:c r="Z338" s="2" t="str">
        <x:v>checklist</x:v>
      </x:c>
      <x:c r="AA338" s="2" t="n">
        <x:f>IF(Q338=1,IF(P338&gt;B338,1,0),0)</x:f>
        <x:v>0</x:v>
      </x:c>
      <x:c r="AB338" s="2" t="n">
        <x:f>IF(AND(Q338=1,P338&lt;='Dashboard'!$B$5),0,MAX(0,'Dashboard'!$B$5-B338))</x:f>
        <x:v>0</x:v>
      </x:c>
      <x:c r="AC338" s="28" t="str"/>
      <x:c r="AD338" s="2" t="str">
        <x:f>IF(AND(ISNUMBER(F338),ISNUMBER(G338)),G338-F338,"")</x:f>
      </x:c>
      <x:c r="AE338" s="2" t="n">
        <x:f>IF(AND(I338="Accepted",K338&lt;&gt;"",O338&lt;&gt;"",ISNUMBER(P338),P338&gt;0,P338&lt;='Dashboard'!$B$5,IF(ISNUMBER(F338),ISNUMBER(G338),TRUE),IF(ISNUMBER(F338),G338&gt;=F338,TRUE)),1,0)</x:f>
        <x:v>0</x:v>
      </x:c>
    </x:row>
    <x:row r="339" ht="58" customHeight="1">
      <x:c r="A339" s="2" t="str">
        <x:v>T0291</x:v>
      </x:c>
      <x:c r="B339" s="30" t="n">
        <x:v>46358</x:v>
      </x:c>
      <x:c r="C339" s="2" t="str">
        <x:v>Brian</x:v>
      </x:c>
      <x:c r="D339" s="2" t="str">
        <x:v>Web and Tracking</x:v>
      </x:c>
      <x:c r="E339" s="26" t="str">
        <x:v>One health-check result; at most one weekly change ticket or no-ticket note</x:v>
      </x:c>
      <x:c r="F339" s="2" t="n">
        <x:v>1</x:v>
      </x:c>
      <x:c r="G339" s="20"/>
      <x:c r="H339" s="2" t="str">
        <x:v>accepted output</x:v>
      </x:c>
      <x:c r="I339" s="20" t="str">
        <x:v>Ready</x:v>
      </x:c>
      <x:c r="J339" s="2" t="str">
        <x:v>16:45</x:v>
      </x:c>
      <x:c r="K339" s="28" t="str"/>
      <x:c r="L339" s="28" t="str"/>
      <x:c r="M339" s="20" t="str"/>
      <x:c r="N339" s="33"/>
      <x:c r="O339" s="20" t="str"/>
      <x:c r="P339" s="33"/>
      <x:c r="Q339" s="2" t="n">
        <x:f>IF(AND(AE339=1,COUNTIFS($A$7:$A$500,"T0067",$AE$7:$AE$500,1)=1,COUNTIFS($A$7:$A$500,"T0055",$AE$7:$AE$500,1)=1),1,0)</x:f>
        <x:v>0</x:v>
      </x:c>
      <x:c r="R339" s="2" t="str">
        <x:f>IF(AND(Q339=1,P339&lt;='Dashboard'!$B$5),IF(P339&gt;B339,"Accepted late","Accepted"),IF(B339&lt;'Dashboard'!$B$5,"Overdue",IF(I339="Blocked","Blocked",IF(B339='Dashboard'!$B$5,"Due today","Planned"))))</x:f>
        <x:v>Planned</x:v>
      </x:c>
      <x:c r="S339" s="26" t="str">
        <x:f>IF(I339="Accepted",IF(K339="","Add evidence",IF(O339="","Add reviewer",IF(P339="","Add accepted date",IF(AND(ISNUMBER(F339),COUNT(G339)=0),"Add actual quantity",IF(Q339=0,"Review target / date / dependencies","Complete"))))),IF(OR(I339="Blocked",I339="Deferred"),IF(L339="","Record blocker / reason",IF(M339="","Assign rescue owner",IF(N339="","Set recovery date","Recovery assigned"))),IF(B339&lt;'Dashboard'!$B$5,"Escalate and record recovery","Work to acceptance standard")))</x:f>
        <x:v>Work to acceptance standard</x:v>
      </x:c>
      <x:c r="T339" s="26" t="str">
        <x:v>T0067</x:v>
      </x:c>
      <x:c r="U339" s="26" t="str">
        <x:v>Form to CQL&lt;1 min; approved copy unchanged; no work manufactured if healthy; ongoing reserve&lt;=2 h/week.</x:v>
      </x:c>
      <x:c r="V339" s="31" t="n">
        <x:v>0.4</x:v>
      </x:c>
      <x:c r="W339" s="26" t="str"/>
      <x:c r="X339" s="26" t="str">
        <x:v>DSI Reset PDF: lane responsibilities and dated runbook; dated allocation proposed for this tracker.</x:v>
      </x:c>
      <x:c r="Y339" s="30" t="n">
        <x:f>B339-WEEKDAY(B339,2)+1</x:f>
        <x:v>46356</x:v>
      </x:c>
      <x:c r="Z339" s="2" t="str">
        <x:v>checklist</x:v>
      </x:c>
      <x:c r="AA339" s="2" t="n">
        <x:f>IF(Q339=1,IF(P339&gt;B339,1,0),0)</x:f>
        <x:v>0</x:v>
      </x:c>
      <x:c r="AB339" s="2" t="n">
        <x:f>IF(AND(Q339=1,P339&lt;='Dashboard'!$B$5),0,MAX(0,'Dashboard'!$B$5-B339))</x:f>
        <x:v>0</x:v>
      </x:c>
      <x:c r="AC339" s="28" t="str"/>
      <x:c r="AD339" s="2" t="str">
        <x:f>IF(AND(ISNUMBER(F339),ISNUMBER(G339)),G339-F339,"")</x:f>
      </x:c>
      <x:c r="AE339" s="2" t="n">
        <x:f>IF(AND(I339="Accepted",K339&lt;&gt;"",O339&lt;&gt;"",ISNUMBER(P339),P339&gt;0,P339&lt;='Dashboard'!$B$5,IF(ISNUMBER(F339),ISNUMBER(G339),TRUE),IF(ISNUMBER(F339),G339&gt;=F339,TRUE)),1,0)</x:f>
        <x:v>0</x:v>
      </x:c>
    </x:row>
    <x:row r="340" ht="58" customHeight="1">
      <x:c r="A340" s="2" t="str">
        <x:v>T0292</x:v>
      </x:c>
      <x:c r="B340" s="30" t="n">
        <x:v>46358</x:v>
      </x:c>
      <x:c r="C340" s="2" t="str">
        <x:v>Dexter</x:v>
      </x:c>
      <x:c r="D340" s="2" t="str">
        <x:v>LinkedIn Execution</x:v>
      </x:c>
      <x:c r="E340" s="26" t="str">
        <x:v>CQL logged DMs/accepts; eligible requests; referred interested replies; approved post evidence Publish approved post SOC13 (Engage); capture the live URL.</x:v>
      </x:c>
      <x:c r="F340" s="2" t="n">
        <x:v>25</x:v>
      </x:c>
      <x:c r="G340" s="20"/>
      <x:c r="H340" s="2" t="str">
        <x:v>new request working target; eligible pool required</x:v>
      </x:c>
      <x:c r="I340" s="20" t="str">
        <x:v>Ready</x:v>
      </x:c>
      <x:c r="J340" s="2" t="str">
        <x:v>16:45</x:v>
      </x:c>
      <x:c r="K340" s="28" t="str"/>
      <x:c r="L340" s="28" t="str"/>
      <x:c r="M340" s="20" t="str"/>
      <x:c r="N340" s="33"/>
      <x:c r="O340" s="20" t="str"/>
      <x:c r="P340" s="33"/>
      <x:c r="Q340" s="2" t="n">
        <x:f>IF(AND(AE340=1,COUNTIFS($A$7:$A$500,"T0067",$AE$7:$AE$500,1)=1,COUNTIFS($A$7:$A$500,"T0055",$AE$7:$AE$500,1)=1),1,0)</x:f>
        <x:v>0</x:v>
      </x:c>
      <x:c r="R340" s="2" t="str">
        <x:f>IF(AND(Q340=1,P340&lt;='Dashboard'!$B$5),IF(P340&gt;B340,"Accepted late","Accepted"),IF(B340&lt;'Dashboard'!$B$5,"Overdue",IF(I340="Blocked","Blocked",IF(B340='Dashboard'!$B$5,"Due today","Planned"))))</x:f>
        <x:v>Planned</x:v>
      </x:c>
      <x:c r="S340" s="26" t="str">
        <x:f>IF(I340="Accepted",IF(K340="","Add evidence",IF(O340="","Add reviewer",IF(P340="","Add accepted date",IF(AND(ISNUMBER(F340),COUNT(G340)=0),"Add actual quantity",IF(Q340=0,"Review target / date / dependencies","Complete"))))),IF(OR(I340="Blocked",I340="Deferred"),IF(L340="","Record blocker / reason",IF(M340="","Assign rescue owner",IF(N340="","Set recovery date","Recovery assigned"))),IF(B340&lt;'Dashboard'!$B$5,"Escalate and record recovery","Work to acceptance standard")))</x:f>
        <x:v>Work to acceptance standard</x:v>
      </x:c>
      <x:c r="T340" s="26" t="str">
        <x:v>T0067</x:v>
      </x:c>
      <x:c r="U340"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40" s="31" t="n">
        <x:v>3</x:v>
      </x:c>
      <x:c r="W340" s="26" t="str"/>
      <x:c r="X340" s="26" t="str">
        <x:v>DSI Reset PDF: lane responsibilities and dated runbook; dated allocation proposed for this tracker.</x:v>
      </x:c>
      <x:c r="Y340" s="30" t="n">
        <x:f>B340-WEEKDAY(B340,2)+1</x:f>
        <x:v>46356</x:v>
      </x:c>
      <x:c r="Z340" s="2" t="str">
        <x:v>capacity</x:v>
      </x:c>
      <x:c r="AA340" s="2" t="n">
        <x:f>IF(Q340=1,IF(P340&gt;B340,1,0),0)</x:f>
        <x:v>0</x:v>
      </x:c>
      <x:c r="AB340" s="2" t="n">
        <x:f>IF(AND(Q340=1,P340&lt;='Dashboard'!$B$5),0,MAX(0,'Dashboard'!$B$5-B340))</x:f>
        <x:v>0</x:v>
      </x:c>
      <x:c r="AC340" s="28" t="str"/>
      <x:c r="AD340" s="2" t="str">
        <x:f>IF(AND(ISNUMBER(F340),ISNUMBER(G340)),G340-F340,"")</x:f>
      </x:c>
      <x:c r="AE340" s="2" t="n">
        <x:f>IF(AND(I340="Accepted",K340&lt;&gt;"",O340&lt;&gt;"",ISNUMBER(P340),P340&gt;0,P340&lt;='Dashboard'!$B$5,IF(ISNUMBER(F340),ISNUMBER(G340),TRUE),IF(ISNUMBER(F340),OR(G340&gt;=F340,AC340&lt;&gt;""),TRUE)),1,0)</x:f>
        <x:v>0</x:v>
      </x:c>
    </x:row>
    <x:row r="341" ht="58" customHeight="1">
      <x:c r="A341" s="2" t="str">
        <x:v>T0293</x:v>
      </x:c>
      <x:c r="B341" s="30" t="n">
        <x:v>46358</x:v>
      </x:c>
      <x:c r="C341" s="2" t="str">
        <x:v>Setter 1</x:v>
      </x:c>
      <x:c r="D341" s="2" t="str">
        <x:v>Reply and Phone Setter</x:v>
      </x:c>
      <x:c r="E341" s="26" t="str">
        <x:v>SLA/call outcome log; bookings and next steps; handoff to Nova</x:v>
      </x:c>
      <x:c r="F341" s="2" t="n">
        <x:v>50</x:v>
      </x:c>
      <x:c r="G341" s="20"/>
      <x:c r="H341" s="2" t="str">
        <x:v>dial working target; inbound SLA takes priority</x:v>
      </x:c>
      <x:c r="I341" s="20" t="str">
        <x:v>Ready</x:v>
      </x:c>
      <x:c r="J341" s="2" t="str">
        <x:v>16:45</x:v>
      </x:c>
      <x:c r="K341" s="28" t="str"/>
      <x:c r="L341" s="28" t="str"/>
      <x:c r="M341" s="20" t="str"/>
      <x:c r="N341" s="33"/>
      <x:c r="O341" s="20" t="str"/>
      <x:c r="P341" s="33"/>
      <x:c r="Q341" s="2" t="n">
        <x:f>IF(AND(AE341=1,COUNTIFS($A$7:$A$500,"T0013",$AE$7:$AE$500,1)=1,COUNTIFS($A$7:$A$500,"T0055",$AE$7:$AE$500,1)=1),1,0)</x:f>
        <x:v>0</x:v>
      </x:c>
      <x:c r="R341" s="2" t="str">
        <x:f>IF(AND(Q341=1,P341&lt;='Dashboard'!$B$5),IF(P341&gt;B341,"Accepted late","Accepted"),IF(B341&lt;'Dashboard'!$B$5,"Overdue",IF(I341="Blocked","Blocked",IF(B341='Dashboard'!$B$5,"Due today","Planned"))))</x:f>
        <x:v>Planned</x:v>
      </x:c>
      <x:c r="S341" s="26" t="str">
        <x:f>IF(I341="Accepted",IF(K341="","Add evidence",IF(O341="","Add reviewer",IF(P341="","Add accepted date",IF(AND(ISNUMBER(F341),COUNT(G341)=0),"Add actual quantity",IF(Q341=0,"Review target / date / dependencies","Complete"))))),IF(OR(I341="Blocked",I341="Deferred"),IF(L341="","Record blocker / reason",IF(M341="","Assign rescue owner",IF(N341="","Set recovery date","Recovery assigned"))),IF(B341&lt;'Dashboard'!$B$5,"Escalate and record recovery","Work to acceptance standard")))</x:f>
        <x:v>Work to acceptance standard</x:v>
      </x:c>
      <x:c r="T341" s="26" t="str">
        <x:v>T0013; T0055</x:v>
      </x:c>
      <x:c r="U341"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41" s="31" t="n">
        <x:v>7.5</x:v>
      </x:c>
      <x:c r="W341" s="26" t="str"/>
      <x:c r="X341" s="26" t="str">
        <x:v>DSI Reset PDF: lane responsibilities and dated runbook; dated allocation proposed for this tracker.</x:v>
      </x:c>
      <x:c r="Y341" s="30" t="n">
        <x:f>B341-WEEKDAY(B341,2)+1</x:f>
        <x:v>46356</x:v>
      </x:c>
      <x:c r="Z341" s="2" t="str">
        <x:v>capacity</x:v>
      </x:c>
      <x:c r="AA341" s="2" t="n">
        <x:f>IF(Q341=1,IF(P341&gt;B341,1,0),0)</x:f>
        <x:v>0</x:v>
      </x:c>
      <x:c r="AB341" s="2" t="n">
        <x:f>IF(AND(Q341=1,P341&lt;='Dashboard'!$B$5),0,MAX(0,'Dashboard'!$B$5-B341))</x:f>
        <x:v>0</x:v>
      </x:c>
      <x:c r="AC341" s="28" t="str"/>
      <x:c r="AD341" s="2" t="str">
        <x:f>IF(AND(ISNUMBER(F341),ISNUMBER(G341)),G341-F341,"")</x:f>
      </x:c>
      <x:c r="AE341" s="2" t="n">
        <x:f>IF(AND(I341="Accepted",K341&lt;&gt;"",O341&lt;&gt;"",ISNUMBER(P341),P341&gt;0,P341&lt;='Dashboard'!$B$5,IF(ISNUMBER(F341),ISNUMBER(G341),TRUE),IF(ISNUMBER(F341),OR(G341&gt;=F341,AC341&lt;&gt;""),TRUE)),1,0)</x:f>
        <x:v>0</x:v>
      </x:c>
    </x:row>
    <x:row r="342" ht="58" customHeight="1">
      <x:c r="A342" s="2" t="str">
        <x:v>T0294</x:v>
      </x:c>
      <x:c r="B342" s="30" t="n">
        <x:v>46358</x:v>
      </x:c>
      <x:c r="C342" s="2" t="str">
        <x:v>Setter 2</x:v>
      </x:c>
      <x:c r="D342" s="2" t="str">
        <x:v>Reply and Phone Setter</x:v>
      </x:c>
      <x:c r="E342" s="26" t="str">
        <x:v>SLA/call outcome log; bookings and next steps; handoff to Nova</x:v>
      </x:c>
      <x:c r="F342" s="2" t="n">
        <x:v>50</x:v>
      </x:c>
      <x:c r="G342" s="20"/>
      <x:c r="H342" s="2" t="str">
        <x:v>dial working target; inbound SLA takes priority</x:v>
      </x:c>
      <x:c r="I342" s="20" t="str">
        <x:v>Ready</x:v>
      </x:c>
      <x:c r="J342" s="2" t="str">
        <x:v>16:45</x:v>
      </x:c>
      <x:c r="K342" s="28" t="str"/>
      <x:c r="L342" s="28" t="str"/>
      <x:c r="M342" s="20" t="str"/>
      <x:c r="N342" s="33"/>
      <x:c r="O342" s="20" t="str"/>
      <x:c r="P342" s="33"/>
      <x:c r="Q342" s="2" t="n">
        <x:f>IF(AND(AE342=1,COUNTIFS($A$7:$A$500,"T0013",$AE$7:$AE$500,1)=1,COUNTIFS($A$7:$A$500,"T0055",$AE$7:$AE$500,1)=1),1,0)</x:f>
        <x:v>0</x:v>
      </x:c>
      <x:c r="R342" s="2" t="str">
        <x:f>IF(AND(Q342=1,P342&lt;='Dashboard'!$B$5),IF(P342&gt;B342,"Accepted late","Accepted"),IF(B342&lt;'Dashboard'!$B$5,"Overdue",IF(I342="Blocked","Blocked",IF(B342='Dashboard'!$B$5,"Due today","Planned"))))</x:f>
        <x:v>Planned</x:v>
      </x:c>
      <x:c r="S342" s="26" t="str">
        <x:f>IF(I342="Accepted",IF(K342="","Add evidence",IF(O342="","Add reviewer",IF(P342="","Add accepted date",IF(AND(ISNUMBER(F342),COUNT(G342)=0),"Add actual quantity",IF(Q342=0,"Review target / date / dependencies","Complete"))))),IF(OR(I342="Blocked",I342="Deferred"),IF(L342="","Record blocker / reason",IF(M342="","Assign rescue owner",IF(N342="","Set recovery date","Recovery assigned"))),IF(B342&lt;'Dashboard'!$B$5,"Escalate and record recovery","Work to acceptance standard")))</x:f>
        <x:v>Work to acceptance standard</x:v>
      </x:c>
      <x:c r="T342" s="26" t="str">
        <x:v>T0013; T0055</x:v>
      </x:c>
      <x:c r="U342"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42" s="31" t="n">
        <x:v>7.5</x:v>
      </x:c>
      <x:c r="W342" s="26" t="str"/>
      <x:c r="X342" s="26" t="str">
        <x:v>DSI Reset PDF: lane responsibilities and dated runbook; dated allocation proposed for this tracker.</x:v>
      </x:c>
      <x:c r="Y342" s="30" t="n">
        <x:f>B342-WEEKDAY(B342,2)+1</x:f>
        <x:v>46356</x:v>
      </x:c>
      <x:c r="Z342" s="2" t="str">
        <x:v>capacity</x:v>
      </x:c>
      <x:c r="AA342" s="2" t="n">
        <x:f>IF(Q342=1,IF(P342&gt;B342,1,0),0)</x:f>
        <x:v>0</x:v>
      </x:c>
      <x:c r="AB342" s="2" t="n">
        <x:f>IF(AND(Q342=1,P342&lt;='Dashboard'!$B$5),0,MAX(0,'Dashboard'!$B$5-B342))</x:f>
        <x:v>0</x:v>
      </x:c>
      <x:c r="AC342" s="28" t="str"/>
      <x:c r="AD342" s="2" t="str">
        <x:f>IF(AND(ISNUMBER(F342),ISNUMBER(G342)),G342-F342,"")</x:f>
      </x:c>
      <x:c r="AE342" s="2" t="n">
        <x:f>IF(AND(I342="Accepted",K342&lt;&gt;"",O342&lt;&gt;"",ISNUMBER(P342),P342&gt;0,P342&lt;='Dashboard'!$B$5,IF(ISNUMBER(F342),ISNUMBER(G342),TRUE),IF(ISNUMBER(F342),OR(G342&gt;=F342,AC342&lt;&gt;""),TRUE)),1,0)</x:f>
        <x:v>0</x:v>
      </x:c>
    </x:row>
    <x:row r="343" ht="58" customHeight="1">
      <x:c r="A343" s="2" t="str">
        <x:v>T0471</x:v>
      </x:c>
      <x:c r="B343" s="30" t="n">
        <x:v>46358</x:v>
      </x:c>
      <x:c r="C343" s="2" t="str">
        <x:v>Nic</x:v>
      </x:c>
      <x:c r="D343" s="2" t="str">
        <x:v>Client dependency</x:v>
      </x:c>
      <x:c r="E343" s="26" t="str">
        <x:v>Call outcome/next step for every appointment due; first-case decisions</x:v>
      </x:c>
      <x:c r="F343" s="2" t="str"/>
      <x:c r="G343" s="20"/>
      <x:c r="H343" s="2" t="str">
        <x:v>all due appointments</x:v>
      </x:c>
      <x:c r="I343" s="20" t="str">
        <x:v>Ready</x:v>
      </x:c>
      <x:c r="J343" s="2" t="str">
        <x:v>16:45</x:v>
      </x:c>
      <x:c r="K343" s="28" t="str"/>
      <x:c r="L343" s="28" t="str"/>
      <x:c r="M343" s="20" t="str"/>
      <x:c r="N343" s="33"/>
      <x:c r="O343" s="20" t="str"/>
      <x:c r="P343" s="33"/>
      <x:c r="Q343" s="2" t="n">
        <x:f>IF(AND(AE343=1,COUNTIFS($A$7:$A$500,"T0028",$AE$7:$AE$500,1)=1),1,0)</x:f>
        <x:v>0</x:v>
      </x:c>
      <x:c r="R343" s="2" t="str">
        <x:f>IF(AND(Q343=1,P343&lt;='Dashboard'!$B$5),IF(P343&gt;B343,"Accepted late","Accepted"),IF(B343&lt;'Dashboard'!$B$5,"Overdue",IF(I343="Blocked","Blocked",IF(B343='Dashboard'!$B$5,"Due today","Planned"))))</x:f>
        <x:v>Planned</x:v>
      </x:c>
      <x:c r="S343" s="26" t="str">
        <x:f>IF(I343="Accepted",IF(K343="","Add evidence",IF(O343="","Add reviewer",IF(P343="","Add accepted date",IF(AND(ISNUMBER(F343),COUNT(G343)=0),"Add actual quantity",IF(Q343=0,"Review target / date / dependencies","Complete"))))),IF(OR(I343="Blocked",I343="Deferred"),IF(L343="","Record blocker / reason",IF(M343="","Assign rescue owner",IF(N343="","Set recovery date","Recovery assigned"))),IF(B343&lt;'Dashboard'!$B$5,"Escalate and record recovery","Work to acceptance standard")))</x:f>
        <x:v>Work to acceptance standard</x:v>
      </x:c>
      <x:c r="T343" s="26" t="str">
        <x:v>T0028</x:v>
      </x:c>
      <x:c r="U343" s="26" t="str">
        <x:v>Demand-linked: work actual approved calendar; setter brief present; outcome logged same day. No calls scheduled is N/A with calendar evidence.</x:v>
      </x:c>
      <x:c r="V343" s="31" t="n">
        <x:v>0.5</x:v>
      </x:c>
      <x:c r="W343" s="26" t="str"/>
      <x:c r="X343" s="26" t="str">
        <x:v>DSI Reset PDF: lane responsibilities and dated runbook; dated allocation proposed for this tracker.</x:v>
      </x:c>
      <x:c r="Y343" s="30" t="n">
        <x:f>B343-WEEKDAY(B343,2)+1</x:f>
        <x:v>46356</x:v>
      </x:c>
      <x:c r="Z343" s="2" t="str">
        <x:v>demand</x:v>
      </x:c>
      <x:c r="AA343" s="2" t="n">
        <x:f>IF(Q343=1,IF(P343&gt;B343,1,0),0)</x:f>
        <x:v>0</x:v>
      </x:c>
      <x:c r="AB343" s="2" t="n">
        <x:f>IF(AND(Q343=1,P343&lt;='Dashboard'!$B$5),0,MAX(0,'Dashboard'!$B$5-B343))</x:f>
        <x:v>0</x:v>
      </x:c>
      <x:c r="AC343" s="28" t="str"/>
      <x:c r="AD343" s="2" t="str">
        <x:f>IF(AND(ISNUMBER(F343),ISNUMBER(G343)),G343-F343,"")</x:f>
      </x:c>
      <x:c r="AE343" s="2" t="n">
        <x:f>IF(AND(I343="Accepted",K343&lt;&gt;"",O343&lt;&gt;"",ISNUMBER(P343),P343&gt;0,P343&lt;='Dashboard'!$B$5,IF(ISNUMBER(F343),ISNUMBER(G343),TRUE)),1,0)</x:f>
        <x:v>0</x:v>
      </x:c>
    </x:row>
    <x:row r="344" ht="58" customHeight="1">
      <x:c r="A344" s="2" t="str">
        <x:v>T0472</x:v>
      </x:c>
      <x:c r="B344" s="30" t="n">
        <x:v>46358</x:v>
      </x:c>
      <x:c r="C344" s="2" t="str">
        <x:v>Maseeha</x:v>
      </x:c>
      <x:c r="D344" s="2" t="str">
        <x:v>Client dependency</x:v>
      </x:c>
      <x:c r="E344" s="26" t="str">
        <x:v>Due intro verification; kit/case handoff; delivery/Day-30 dates; credit trigger log</x:v>
      </x:c>
      <x:c r="F344" s="2" t="str"/>
      <x:c r="G344" s="20"/>
      <x:c r="H344" s="2" t="str">
        <x:v>all due cases</x:v>
      </x:c>
      <x:c r="I344" s="20" t="str">
        <x:v>Ready</x:v>
      </x:c>
      <x:c r="J344" s="2" t="str">
        <x:v>16:45</x:v>
      </x:c>
      <x:c r="K344" s="28" t="str"/>
      <x:c r="L344" s="28" t="str"/>
      <x:c r="M344" s="20" t="str"/>
      <x:c r="N344" s="33"/>
      <x:c r="O344" s="20" t="str"/>
      <x:c r="P344" s="33"/>
      <x:c r="Q344" s="2" t="n">
        <x:f>IF(AND(AE344=1,COUNTIFS($A$7:$A$500,"T0028",$AE$7:$AE$500,1)=1),1,0)</x:f>
        <x:v>0</x:v>
      </x:c>
      <x:c r="R344" s="2" t="str">
        <x:f>IF(AND(Q344=1,P344&lt;='Dashboard'!$B$5),IF(P344&gt;B344,"Accepted late","Accepted"),IF(B344&lt;'Dashboard'!$B$5,"Overdue",IF(I344="Blocked","Blocked",IF(B344='Dashboard'!$B$5,"Due today","Planned"))))</x:f>
        <x:v>Planned</x:v>
      </x:c>
      <x:c r="S344" s="26" t="str">
        <x:f>IF(I344="Accepted",IF(K344="","Add evidence",IF(O344="","Add reviewer",IF(P344="","Add accepted date",IF(AND(ISNUMBER(F344),COUNT(G344)=0),"Add actual quantity",IF(Q344=0,"Review target / date / dependencies","Complete"))))),IF(OR(I344="Blocked",I344="Deferred"),IF(L344="","Record blocker / reason",IF(M344="","Assign rescue owner",IF(N344="","Set recovery date","Recovery assigned"))),IF(B344&lt;'Dashboard'!$B$5,"Escalate and record recovery","Work to acceptance standard")))</x:f>
        <x:v>Work to acceptance standard</x:v>
      </x:c>
      <x:c r="T344" s="26" t="str">
        <x:v>T0028</x:v>
      </x:c>
      <x:c r="U344" s="26" t="str">
        <x:v>Demand-linked: referral verification&lt;=2 business days; trial capacity respected; $200 credit only on eligible invoice paid.</x:v>
      </x:c>
      <x:c r="V344" s="31" t="n">
        <x:v>0.5</x:v>
      </x:c>
      <x:c r="W344" s="26" t="str"/>
      <x:c r="X344" s="26" t="str">
        <x:v>DSI Reset PDF: lane responsibilities and dated runbook; dated allocation proposed for this tracker.</x:v>
      </x:c>
      <x:c r="Y344" s="30" t="n">
        <x:f>B344-WEEKDAY(B344,2)+1</x:f>
        <x:v>46356</x:v>
      </x:c>
      <x:c r="Z344" s="2" t="str">
        <x:v>demand</x:v>
      </x:c>
      <x:c r="AA344" s="2" t="n">
        <x:f>IF(Q344=1,IF(P344&gt;B344,1,0),0)</x:f>
        <x:v>0</x:v>
      </x:c>
      <x:c r="AB344" s="2" t="n">
        <x:f>IF(AND(Q344=1,P344&lt;='Dashboard'!$B$5),0,MAX(0,'Dashboard'!$B$5-B344))</x:f>
        <x:v>0</x:v>
      </x:c>
      <x:c r="AC344" s="28" t="str"/>
      <x:c r="AD344" s="2" t="str">
        <x:f>IF(AND(ISNUMBER(F344),ISNUMBER(G344)),G344-F344,"")</x:f>
      </x:c>
      <x:c r="AE344" s="2" t="n">
        <x:f>IF(AND(I344="Accepted",K344&lt;&gt;"",O344&lt;&gt;"",ISNUMBER(P344),P344&gt;0,P344&lt;='Dashboard'!$B$5,IF(ISNUMBER(F344),ISNUMBER(G344),TRUE)),1,0)</x:f>
        <x:v>0</x:v>
      </x:c>
    </x:row>
    <x:row r="345" ht="58" customHeight="1">
      <x:c r="A345" s="2" t="str">
        <x:v>T0295</x:v>
      </x:c>
      <x:c r="B345" s="30" t="n">
        <x:v>46359</x:v>
      </x:c>
      <x:c r="C345" s="2" t="str">
        <x:v>Wyline</x:v>
      </x:c>
      <x:c r="D345" s="2" t="str">
        <x:v>Program Director</x:v>
      </x:c>
      <x:c r="E345" s="26" t="str">
        <x:v>Accepted-output register; actual-vs-target dashboard; blocker/rescue assignments</x:v>
      </x:c>
      <x:c r="F345" s="2" t="n">
        <x:v>1</x:v>
      </x:c>
      <x:c r="G345" s="20"/>
      <x:c r="H345" s="2" t="str">
        <x:v>accepted output</x:v>
      </x:c>
      <x:c r="I345" s="20" t="str">
        <x:v>Ready</x:v>
      </x:c>
      <x:c r="J345" s="2" t="str">
        <x:v>16:45</x:v>
      </x:c>
      <x:c r="K345" s="28" t="str"/>
      <x:c r="L345" s="28" t="str"/>
      <x:c r="M345" s="20" t="str"/>
      <x:c r="N345" s="33"/>
      <x:c r="O345" s="20" t="str"/>
      <x:c r="P345" s="33"/>
      <x:c r="Q345" s="2" t="n">
        <x:f>IF(AND(AE345=1,COUNTIFS($A$7:$A$500,"T0067",$AE$7:$AE$500,1)=1,COUNTIFS($A$7:$A$500,"T0055",$AE$7:$AE$500,1)=1),1,0)</x:f>
        <x:v>0</x:v>
      </x:c>
      <x:c r="R345" s="2" t="str">
        <x:f>IF(AND(Q345=1,P345&lt;='Dashboard'!$B$5),IF(P345&gt;B345,"Accepted late","Accepted"),IF(B345&lt;'Dashboard'!$B$5,"Overdue",IF(I345="Blocked","Blocked",IF(B345='Dashboard'!$B$5,"Due today","Planned"))))</x:f>
        <x:v>Planned</x:v>
      </x:c>
      <x:c r="S345" s="26" t="str">
        <x:f>IF(I345="Accepted",IF(K345="","Add evidence",IF(O345="","Add reviewer",IF(P345="","Add accepted date",IF(AND(ISNUMBER(F345),COUNT(G345)=0),"Add actual quantity",IF(Q345=0,"Review target / date / dependencies","Complete"))))),IF(OR(I345="Blocked",I345="Deferred"),IF(L345="","Record blocker / reason",IF(M345="","Assign rescue owner",IF(N345="","Set recovery date","Recovery assigned"))),IF(B345&lt;'Dashboard'!$B$5,"Escalate and record recovery","Work to acceptance standard")))</x:f>
        <x:v>Work to acceptance standard</x:v>
      </x:c>
      <x:c r="T345" s="26" t="str">
        <x:v>T0067</x:v>
      </x:c>
      <x:c r="U345" s="26" t="str">
        <x:v>09:00 standup; 13:00/16:30 recovery checks; 17:00 acceptance. Every overdue task keeps original date and named recovery owner.</x:v>
      </x:c>
      <x:c r="V345" s="31" t="n">
        <x:v>3</x:v>
      </x:c>
      <x:c r="W345" s="26" t="str"/>
      <x:c r="X345" s="26" t="str">
        <x:v>DSI Reset PDF: lane responsibilities and dated runbook; dated allocation proposed for this tracker.</x:v>
      </x:c>
      <x:c r="Y345" s="30" t="n">
        <x:f>B345-WEEKDAY(B345,2)+1</x:f>
        <x:v>46356</x:v>
      </x:c>
      <x:c r="Z345" s="2" t="str">
        <x:v>checklist</x:v>
      </x:c>
      <x:c r="AA345" s="2" t="n">
        <x:f>IF(Q345=1,IF(P345&gt;B345,1,0),0)</x:f>
        <x:v>0</x:v>
      </x:c>
      <x:c r="AB345" s="2" t="n">
        <x:f>IF(AND(Q345=1,P345&lt;='Dashboard'!$B$5),0,MAX(0,'Dashboard'!$B$5-B345))</x:f>
        <x:v>0</x:v>
      </x:c>
      <x:c r="AC345" s="28" t="str"/>
      <x:c r="AD345" s="2" t="str">
        <x:f>IF(AND(ISNUMBER(F345),ISNUMBER(G345)),G345-F345,"")</x:f>
      </x:c>
      <x:c r="AE345" s="2" t="n">
        <x:f>IF(AND(I345="Accepted",K345&lt;&gt;"",O345&lt;&gt;"",ISNUMBER(P345),P345&gt;0,P345&lt;='Dashboard'!$B$5,IF(ISNUMBER(F345),ISNUMBER(G345),TRUE),IF(ISNUMBER(F345),G345&gt;=F345,TRUE)),1,0)</x:f>
        <x:v>0</x:v>
      </x:c>
    </x:row>
    <x:row r="346" ht="58" customHeight="1">
      <x:c r="A346" s="2" t="str">
        <x:v>T0296</x:v>
      </x:c>
      <x:c r="B346" s="30" t="n">
        <x:v>46359</x:v>
      </x:c>
      <x:c r="C346" s="2" t="str">
        <x:v>Kenneth</x:v>
      </x:c>
      <x:c r="D346" s="2" t="str">
        <x:v>Message Orchestrator</x:v>
      </x:c>
      <x:c r="E346" s="26" t="str">
        <x:v>Human-reply insights; 5 Inbox draft checks; approved first lines; claim exceptions</x:v>
      </x:c>
      <x:c r="F346" s="2" t="n">
        <x:v>1</x:v>
      </x:c>
      <x:c r="G346" s="20"/>
      <x:c r="H346" s="2" t="str">
        <x:v>accepted output</x:v>
      </x:c>
      <x:c r="I346" s="20" t="str">
        <x:v>Ready</x:v>
      </x:c>
      <x:c r="J346" s="2" t="str">
        <x:v>16:45</x:v>
      </x:c>
      <x:c r="K346" s="28" t="str"/>
      <x:c r="L346" s="28" t="str"/>
      <x:c r="M346" s="20" t="str"/>
      <x:c r="N346" s="33"/>
      <x:c r="O346" s="20" t="str"/>
      <x:c r="P346" s="33"/>
      <x:c r="Q346" s="2" t="n">
        <x:f>IF(AND(AE346=1,COUNTIFS($A$7:$A$500,"T0067",$AE$7:$AE$500,1)=1,COUNTIFS($A$7:$A$500,"T0055",$AE$7:$AE$500,1)=1),1,0)</x:f>
        <x:v>0</x:v>
      </x:c>
      <x:c r="R346" s="2" t="str">
        <x:f>IF(AND(Q346=1,P346&lt;='Dashboard'!$B$5),IF(P346&gt;B346,"Accepted late","Accepted"),IF(B346&lt;'Dashboard'!$B$5,"Overdue",IF(I346="Blocked","Blocked",IF(B346='Dashboard'!$B$5,"Due today","Planned"))))</x:f>
        <x:v>Planned</x:v>
      </x:c>
      <x:c r="S346" s="26" t="str">
        <x:f>IF(I346="Accepted",IF(K346="","Add evidence",IF(O346="","Add reviewer",IF(P346="","Add accepted date",IF(AND(ISNUMBER(F346),COUNT(G346)=0),"Add actual quantity",IF(Q346=0,"Review target / date / dependencies","Complete"))))),IF(OR(I346="Blocked",I346="Deferred"),IF(L346="","Record blocker / reason",IF(M346="","Assign rescue owner",IF(N346="","Set recovery date","Recovery assigned"))),IF(B346&lt;'Dashboard'!$B$5,"Escalate and record recovery","Work to acceptance standard")))</x:f>
        <x:v>Work to acceptance standard</x:v>
      </x:c>
      <x:c r="T346" s="26" t="str">
        <x:v>T0067</x:v>
      </x:c>
      <x:c r="U346" s="26" t="str">
        <x:v>Zero invented claims. If any draft fails facts, stop drafting/retrain; no offer change without approval.</x:v>
      </x:c>
      <x:c r="V346" s="31" t="n">
        <x:v>2.4</x:v>
      </x:c>
      <x:c r="W346" s="26" t="str"/>
      <x:c r="X346" s="26" t="str">
        <x:v>DSI Reset PDF: lane responsibilities and dated runbook; dated allocation proposed for this tracker.</x:v>
      </x:c>
      <x:c r="Y346" s="30" t="n">
        <x:f>B346-WEEKDAY(B346,2)+1</x:f>
        <x:v>46356</x:v>
      </x:c>
      <x:c r="Z346" s="2" t="str">
        <x:v>checklist</x:v>
      </x:c>
      <x:c r="AA346" s="2" t="n">
        <x:f>IF(Q346=1,IF(P346&gt;B346,1,0),0)</x:f>
        <x:v>0</x:v>
      </x:c>
      <x:c r="AB346" s="2" t="n">
        <x:f>IF(AND(Q346=1,P346&lt;='Dashboard'!$B$5),0,MAX(0,'Dashboard'!$B$5-B346))</x:f>
        <x:v>0</x:v>
      </x:c>
      <x:c r="AC346" s="28" t="str"/>
      <x:c r="AD346" s="2" t="str">
        <x:f>IF(AND(ISNUMBER(F346),ISNUMBER(G346)),G346-F346,"")</x:f>
      </x:c>
      <x:c r="AE346" s="2" t="n">
        <x:f>IF(AND(I346="Accepted",K346&lt;&gt;"",O346&lt;&gt;"",ISNUMBER(P346),P346&gt;0,P346&lt;='Dashboard'!$B$5,IF(ISNUMBER(F346),ISNUMBER(G346),TRUE),IF(ISNUMBER(F346),G346&gt;=F346,TRUE)),1,0)</x:f>
        <x:v>0</x:v>
      </x:c>
    </x:row>
    <x:row r="347" ht="58" customHeight="1">
      <x:c r="A347" s="2" t="str">
        <x:v>T0297</x:v>
      </x:c>
      <x:c r="B347" s="30" t="n">
        <x:v>46359</x:v>
      </x:c>
      <x:c r="C347" s="2" t="str">
        <x:v>Joey</x:v>
      </x:c>
      <x:c r="D347" s="2" t="str">
        <x:v>Data Orchestrator</x:v>
      </x:c>
      <x:c r="E347" s="26" t="str">
        <x:v>Mailbox/bounce/suppression log; ready verified records; due-follow up versus new-send capacity plan. Planned list output today: 30 new verified contacts; cumulative ready pool 620.</x:v>
      </x:c>
      <x:c r="F347" s="2" t="n">
        <x:v>30</x:v>
      </x:c>
      <x:c r="G347" s="20"/>
      <x:c r="H347" s="2" t="str">
        <x:v>new verified contacts; proposed daily pace</x:v>
      </x:c>
      <x:c r="I347" s="20" t="str">
        <x:v>Ready</x:v>
      </x:c>
      <x:c r="J347" s="2" t="str">
        <x:v>16:45</x:v>
      </x:c>
      <x:c r="K347" s="28" t="str"/>
      <x:c r="L347" s="28" t="str"/>
      <x:c r="M347" s="20" t="str"/>
      <x:c r="N347" s="33"/>
      <x:c r="O347" s="20" t="str"/>
      <x:c r="P347" s="33"/>
      <x:c r="Q347" s="2" t="n">
        <x:f>IF(AND(AE347=1,COUNTIFS($A$7:$A$500,"T0067",$AE$7:$AE$500,1)=1,COUNTIFS($A$7:$A$500,"T0055",$AE$7:$AE$500,1)=1),1,0)</x:f>
        <x:v>0</x:v>
      </x:c>
      <x:c r="R347" s="2" t="str">
        <x:f>IF(AND(Q347=1,P347&lt;='Dashboard'!$B$5),IF(P347&gt;B347,"Accepted late","Accepted"),IF(B347&lt;'Dashboard'!$B$5,"Overdue",IF(I347="Blocked","Blocked",IF(B347='Dashboard'!$B$5,"Due today","Planned"))))</x:f>
        <x:v>Planned</x:v>
      </x:c>
      <x:c r="S347" s="26" t="str">
        <x:f>IF(I347="Accepted",IF(K347="","Add evidence",IF(O347="","Add reviewer",IF(P347="","Add accepted date",IF(AND(ISNUMBER(F347),COUNT(G347)=0),"Add actual quantity",IF(Q347=0,"Review target / date / dependencies","Complete"))))),IF(OR(I347="Blocked",I347="Deferred"),IF(L347="","Record blocker / reason",IF(M347="","Assign rescue owner",IF(N347="","Set recovery date","Recovery assigned"))),IF(B347&lt;'Dashboard'!$B$5,"Escalate and record recovery","Work to acceptance standard")))</x:f>
        <x:v>Work to acceptance standard</x:v>
      </x:c>
      <x:c r="T347" s="26" t="str">
        <x:v>T0067</x:v>
      </x:c>
      <x:c r="U347" s="26" t="str">
        <x:v>Planning pool addition 30 contacts today; quality gate wins over quota. Total sends&lt;=150/day;&gt;3% bounce affected mailbox held. No new cold enrollments on reduced/buffer days.</x:v>
      </x:c>
      <x:c r="V347" s="31" t="n">
        <x:v>3</x:v>
      </x:c>
      <x:c r="W347" s="26" t="str"/>
      <x:c r="X347" s="26" t="str">
        <x:v>DSI Reset PDF: lane responsibilities and dated runbook; dated allocation proposed for this tracker.</x:v>
      </x:c>
      <x:c r="Y347" s="30" t="n">
        <x:f>B347-WEEKDAY(B347,2)+1</x:f>
        <x:v>46356</x:v>
      </x:c>
      <x:c r="Z347" s="2" t="str">
        <x:v>goal</x:v>
      </x:c>
      <x:c r="AA347" s="2" t="n">
        <x:f>IF(Q347=1,IF(P347&gt;B347,1,0),0)</x:f>
        <x:v>0</x:v>
      </x:c>
      <x:c r="AB347" s="2" t="n">
        <x:f>IF(AND(Q347=1,P347&lt;='Dashboard'!$B$5),0,MAX(0,'Dashboard'!$B$5-B347))</x:f>
        <x:v>0</x:v>
      </x:c>
      <x:c r="AC347" s="28" t="str"/>
      <x:c r="AD347" s="2" t="str">
        <x:f>IF(AND(ISNUMBER(F347),ISNUMBER(G347)),G347-F347,"")</x:f>
      </x:c>
      <x:c r="AE347" s="2" t="n">
        <x:f>IF(AND(I347="Accepted",K347&lt;&gt;"",O347&lt;&gt;"",ISNUMBER(P347),P347&gt;0,P347&lt;='Dashboard'!$B$5,IF(ISNUMBER(F347),ISNUMBER(G347),TRUE),IF(ISNUMBER(F347),G347&gt;=F347,TRUE)),1,0)</x:f>
        <x:v>0</x:v>
      </x:c>
    </x:row>
    <x:row r="348" ht="58" customHeight="1">
      <x:c r="A348" s="2" t="str">
        <x:v>T0298</x:v>
      </x:c>
      <x:c r="B348" s="30" t="n">
        <x:v>46359</x:v>
      </x:c>
      <x:c r="C348" s="2" t="str">
        <x:v>Nova</x:v>
      </x:c>
      <x:c r="D348" s="2" t="str">
        <x:v>Conversion Orchestrator</x:v>
      </x:c>
      <x:c r="E348" s="26" t="str">
        <x:v>Coverage/SLA evidence; 2 call reviews; booked/held updates; next-step and trial handoffs. Log each unique qualified inquiry with practice type, decision-maker access, case volume, service need and readiness timing.</x:v>
      </x:c>
      <x:c r="F348" s="2" t="n">
        <x:v>1</x:v>
      </x:c>
      <x:c r="G348" s="20"/>
      <x:c r="H348" s="2" t="str">
        <x:v>accepted output</x:v>
      </x:c>
      <x:c r="I348" s="20" t="str">
        <x:v>Ready</x:v>
      </x:c>
      <x:c r="J348" s="2" t="str">
        <x:v>16:45</x:v>
      </x:c>
      <x:c r="K348" s="28" t="str"/>
      <x:c r="L348" s="28" t="str"/>
      <x:c r="M348" s="20" t="str"/>
      <x:c r="N348" s="33"/>
      <x:c r="O348" s="20" t="str"/>
      <x:c r="P348" s="33"/>
      <x:c r="Q348" s="2" t="n">
        <x:f>IF(AND(AE348=1,COUNTIFS($A$7:$A$500,"T0067",$AE$7:$AE$500,1)=1,COUNTIFS($A$7:$A$500,"T0055",$AE$7:$AE$500,1)=1),1,0)</x:f>
        <x:v>0</x:v>
      </x:c>
      <x:c r="R348" s="2" t="str">
        <x:f>IF(AND(Q348=1,P348&lt;='Dashboard'!$B$5),IF(P348&gt;B348,"Accepted late","Accepted"),IF(B348&lt;'Dashboard'!$B$5,"Overdue",IF(I348="Blocked","Blocked",IF(B348='Dashboard'!$B$5,"Due today","Planned"))))</x:f>
        <x:v>Planned</x:v>
      </x:c>
      <x:c r="S348" s="26" t="str">
        <x:f>IF(I348="Accepted",IF(K348="","Add evidence",IF(O348="","Add reviewer",IF(P348="","Add accepted date",IF(AND(ISNUMBER(F348),COUNT(G348)=0),"Add actual quantity",IF(Q348=0,"Review target / date / dependencies","Complete"))))),IF(OR(I348="Blocked",I348="Deferred"),IF(L348="","Record blocker / reason",IF(M348="","Assign rescue owner",IF(N348="","Set recovery date","Recovery assigned"))),IF(B348&lt;'Dashboard'!$B$5,"Escalate and record recovery","Work to acceptance standard")))</x:f>
        <x:v>Work to acceptance standard</x:v>
      </x:c>
      <x:c r="T348" s="26" t="str">
        <x:v>T0067</x:v>
      </x:c>
      <x:c r="U348" s="26" t="str">
        <x:v>Every eligible reply&lt;=15 min; positive call&lt;=60 min; no opportunity without next step; booked brief to Nic; trial logistics to Maseeha. Raw contacts, opens and accepts never count as qualified inquiries; deduplicate across channels.</x:v>
      </x:c>
      <x:c r="V348" s="31" t="n">
        <x:v>4</x:v>
      </x:c>
      <x:c r="W348" s="26" t="str"/>
      <x:c r="X348" s="26" t="str">
        <x:v>DSI Reset PDF: lane responsibilities and dated runbook; dated allocation proposed for this tracker.</x:v>
      </x:c>
      <x:c r="Y348" s="30" t="n">
        <x:f>B348-WEEKDAY(B348,2)+1</x:f>
        <x:v>46356</x:v>
      </x:c>
      <x:c r="Z348" s="2" t="str">
        <x:v>checklist</x:v>
      </x:c>
      <x:c r="AA348" s="2" t="n">
        <x:f>IF(Q348=1,IF(P348&gt;B348,1,0),0)</x:f>
        <x:v>0</x:v>
      </x:c>
      <x:c r="AB348" s="2" t="n">
        <x:f>IF(AND(Q348=1,P348&lt;='Dashboard'!$B$5),0,MAX(0,'Dashboard'!$B$5-B348))</x:f>
        <x:v>0</x:v>
      </x:c>
      <x:c r="AC348" s="28" t="str"/>
      <x:c r="AD348" s="2" t="str">
        <x:f>IF(AND(ISNUMBER(F348),ISNUMBER(G348)),G348-F348,"")</x:f>
      </x:c>
      <x:c r="AE348" s="2" t="n">
        <x:f>IF(AND(I348="Accepted",K348&lt;&gt;"",O348&lt;&gt;"",ISNUMBER(P348),P348&gt;0,P348&lt;='Dashboard'!$B$5,IF(ISNUMBER(F348),ISNUMBER(G348),TRUE),IF(ISNUMBER(F348),G348&gt;=F348,TRUE)),1,0)</x:f>
        <x:v>0</x:v>
      </x:c>
    </x:row>
    <x:row r="349" ht="58" customHeight="1">
      <x:c r="A349" s="2" t="str">
        <x:v>T0299</x:v>
      </x:c>
      <x:c r="B349" s="30" t="n">
        <x:v>46359</x:v>
      </x:c>
      <x:c r="C349" s="2" t="str">
        <x:v>Emman</x:v>
      </x:c>
      <x:c r="D349" s="2" t="str">
        <x:v>AI Build Orchestrator</x:v>
      </x:c>
      <x:c r="E349" s="26" t="str">
        <x:v>Health/retry log; one acceptance-backed build increment; updated change log</x:v>
      </x:c>
      <x:c r="F349" s="2" t="n">
        <x:v>1</x:v>
      </x:c>
      <x:c r="G349" s="20"/>
      <x:c r="H349" s="2" t="str">
        <x:v>accepted output</x:v>
      </x:c>
      <x:c r="I349" s="20" t="str">
        <x:v>Ready</x:v>
      </x:c>
      <x:c r="J349" s="2" t="str">
        <x:v>16:45</x:v>
      </x:c>
      <x:c r="K349" s="28" t="str"/>
      <x:c r="L349" s="28" t="str"/>
      <x:c r="M349" s="20" t="str"/>
      <x:c r="N349" s="33"/>
      <x:c r="O349" s="20" t="str"/>
      <x:c r="P349" s="33"/>
      <x:c r="Q349" s="2" t="n">
        <x:f>IF(AND(AE349=1,COUNTIFS($A$7:$A$500,"T0067",$AE$7:$AE$500,1)=1,COUNTIFS($A$7:$A$500,"T0055",$AE$7:$AE$500,1)=1),1,0)</x:f>
        <x:v>0</x:v>
      </x:c>
      <x:c r="R349" s="2" t="str">
        <x:f>IF(AND(Q349=1,P349&lt;='Dashboard'!$B$5),IF(P349&gt;B349,"Accepted late","Accepted"),IF(B349&lt;'Dashboard'!$B$5,"Overdue",IF(I349="Blocked","Blocked",IF(B349='Dashboard'!$B$5,"Due today","Planned"))))</x:f>
        <x:v>Planned</x:v>
      </x:c>
      <x:c r="S349" s="26" t="str">
        <x:f>IF(I349="Accepted",IF(K349="","Add evidence",IF(O349="","Add reviewer",IF(P349="","Add accepted date",IF(AND(ISNUMBER(F349),COUNT(G349)=0),"Add actual quantity",IF(Q349=0,"Review target / date / dependencies","Complete"))))),IF(OR(I349="Blocked",I349="Deferred"),IF(L349="","Record blocker / reason",IF(M349="","Assign rescue owner",IF(N349="","Set recovery date","Recovery assigned"))),IF(B349&lt;'Dashboard'!$B$5,"Escalate and record recovery","Work to acceptance standard")))</x:f>
        <x:v>Work to acceptance standard</x:v>
      </x:c>
      <x:c r="T349" s="26" t="str">
        <x:v>T0067</x:v>
      </x:c>
      <x:c r="U349" s="26" t="str">
        <x:v>Fix a failing live agent beforestarting the next build. If an agent is still not working 48 hours after its due date, activate the manual SOP. Roll back a live failure within 1 hour. Release build reserve when no approved work remains.</x:v>
      </x:c>
      <x:c r="V349" s="31" t="n">
        <x:v>4</x:v>
      </x:c>
      <x:c r="W349" s="26" t="str"/>
      <x:c r="X349" s="26" t="str">
        <x:v>DSI Reset PDF: lane responsibilities and dated runbook; dated allocation proposed for this tracker.</x:v>
      </x:c>
      <x:c r="Y349" s="30" t="n">
        <x:f>B349-WEEKDAY(B349,2)+1</x:f>
        <x:v>46356</x:v>
      </x:c>
      <x:c r="Z349" s="2" t="str">
        <x:v>checklist</x:v>
      </x:c>
      <x:c r="AA349" s="2" t="n">
        <x:f>IF(Q349=1,IF(P349&gt;B349,1,0),0)</x:f>
        <x:v>0</x:v>
      </x:c>
      <x:c r="AB349" s="2" t="n">
        <x:f>IF(AND(Q349=1,P349&lt;='Dashboard'!$B$5),0,MAX(0,'Dashboard'!$B$5-B349))</x:f>
        <x:v>0</x:v>
      </x:c>
      <x:c r="AC349" s="28" t="str"/>
      <x:c r="AD349" s="2" t="str">
        <x:f>IF(AND(ISNUMBER(F349),ISNUMBER(G349)),G349-F349,"")</x:f>
      </x:c>
      <x:c r="AE349" s="2" t="n">
        <x:f>IF(AND(I349="Accepted",K349&lt;&gt;"",O349&lt;&gt;"",ISNUMBER(P349),P349&gt;0,P349&lt;='Dashboard'!$B$5,IF(ISNUMBER(F349),ISNUMBER(G349),TRUE),IF(ISNUMBER(F349),G349&gt;=F349,TRUE)),1,0)</x:f>
        <x:v>0</x:v>
      </x:c>
    </x:row>
    <x:row r="350" ht="58" customHeight="1">
      <x:c r="A350" s="2" t="str">
        <x:v>T0300</x:v>
      </x:c>
      <x:c r="B350" s="30" t="n">
        <x:v>46359</x:v>
      </x:c>
      <x:c r="C350" s="2" t="str">
        <x:v>Ludwig</x:v>
      </x:c>
      <x:c r="D350" s="2" t="str">
        <x:v>Integration Engineer</x:v>
      </x:c>
      <x:c r="E350" s="26" t="str">
        <x:v>Webhook/error/dead-letter check; top assigned integration ticket or verified no-ticket note</x:v>
      </x:c>
      <x:c r="F350" s="2" t="n">
        <x:v>1</x:v>
      </x:c>
      <x:c r="G350" s="20"/>
      <x:c r="H350" s="2" t="str">
        <x:v>accepted output</x:v>
      </x:c>
      <x:c r="I350" s="20" t="str">
        <x:v>Ready</x:v>
      </x:c>
      <x:c r="J350" s="2" t="str">
        <x:v>16:45</x:v>
      </x:c>
      <x:c r="K350" s="28" t="str"/>
      <x:c r="L350" s="28" t="str"/>
      <x:c r="M350" s="20" t="str"/>
      <x:c r="N350" s="33"/>
      <x:c r="O350" s="20" t="str"/>
      <x:c r="P350" s="33"/>
      <x:c r="Q350" s="2" t="n">
        <x:f>IF(AND(AE350=1,COUNTIFS($A$7:$A$500,"T0067",$AE$7:$AE$500,1)=1,COUNTIFS($A$7:$A$500,"T0055",$AE$7:$AE$500,1)=1),1,0)</x:f>
        <x:v>0</x:v>
      </x:c>
      <x:c r="R350" s="2" t="str">
        <x:f>IF(AND(Q350=1,P350&lt;='Dashboard'!$B$5),IF(P350&gt;B350,"Accepted late","Accepted"),IF(B350&lt;'Dashboard'!$B$5,"Overdue",IF(I350="Blocked","Blocked",IF(B350='Dashboard'!$B$5,"Due today","Planned"))))</x:f>
        <x:v>Planned</x:v>
      </x:c>
      <x:c r="S350" s="26" t="str">
        <x:f>IF(I350="Accepted",IF(K350="","Add evidence",IF(O350="","Add reviewer",IF(P350="","Add accepted date",IF(AND(ISNUMBER(F350),COUNT(G350)=0),"Add actual quantity",IF(Q350=0,"Review target / date / dependencies","Complete"))))),IF(OR(I350="Blocked",I350="Deferred"),IF(L350="","Record blocker / reason",IF(M350="","Assign rescue owner",IF(N350="","Set recovery date","Recovery assigned"))),IF(B350&lt;'Dashboard'!$B$5,"Escalate and record recovery","Work to acceptance standard")))</x:f>
        <x:v>Work to acceptance standard</x:v>
      </x:c>
      <x:c r="T350" s="26" t="str">
        <x:v>T0067</x:v>
      </x:c>
      <x:c r="U350" s="26" t="str">
        <x:v>Only Emman’s priority queue; 100% test capture; runbook/retry/rollback evidence. If no fault/ticket, release reserve; do not invent work.</x:v>
      </x:c>
      <x:c r="V350" s="31" t="n">
        <x:v>1.6</x:v>
      </x:c>
      <x:c r="W350" s="26" t="str"/>
      <x:c r="X350" s="26" t="str">
        <x:v>DSI Reset PDF: lane responsibilities and dated runbook; dated allocation proposed for this tracker.</x:v>
      </x:c>
      <x:c r="Y350" s="30" t="n">
        <x:f>B350-WEEKDAY(B350,2)+1</x:f>
        <x:v>46356</x:v>
      </x:c>
      <x:c r="Z350" s="2" t="str">
        <x:v>checklist</x:v>
      </x:c>
      <x:c r="AA350" s="2" t="n">
        <x:f>IF(Q350=1,IF(P350&gt;B350,1,0),0)</x:f>
        <x:v>0</x:v>
      </x:c>
      <x:c r="AB350" s="2" t="n">
        <x:f>IF(AND(Q350=1,P350&lt;='Dashboard'!$B$5),0,MAX(0,'Dashboard'!$B$5-B350))</x:f>
        <x:v>0</x:v>
      </x:c>
      <x:c r="AC350" s="28" t="str"/>
      <x:c r="AD350" s="2" t="str">
        <x:f>IF(AND(ISNUMBER(F350),ISNUMBER(G350)),G350-F350,"")</x:f>
      </x:c>
      <x:c r="AE350" s="2" t="n">
        <x:f>IF(AND(I350="Accepted",K350&lt;&gt;"",O350&lt;&gt;"",ISNUMBER(P350),P350&gt;0,P350&lt;='Dashboard'!$B$5,IF(ISNUMBER(F350),ISNUMBER(G350),TRUE),IF(ISNUMBER(F350),G350&gt;=F350,TRUE)),1,0)</x:f>
        <x:v>0</x:v>
      </x:c>
    </x:row>
    <x:row r="351" ht="58" customHeight="1">
      <x:c r="A351" s="2" t="str">
        <x:v>T0301</x:v>
      </x:c>
      <x:c r="B351" s="30" t="n">
        <x:v>46359</x:v>
      </x:c>
      <x:c r="C351" s="2" t="str">
        <x:v>Alvin</x:v>
      </x:c>
      <x:c r="D351" s="2" t="str">
        <x:v>CQL/GHL Implementation</x:v>
      </x:c>
      <x:c r="E351" s="26" t="str">
        <x:v>Stage/calendar/reminder QA; due workflow fixes; approved post mirrors/evidence Publish approved post SOC14 (Educate); capture the live URL.</x:v>
      </x:c>
      <x:c r="F351" s="2" t="n">
        <x:v>1</x:v>
      </x:c>
      <x:c r="G351" s="20"/>
      <x:c r="H351" s="2" t="str">
        <x:v>accepted output</x:v>
      </x:c>
      <x:c r="I351" s="20" t="str">
        <x:v>Ready</x:v>
      </x:c>
      <x:c r="J351" s="2" t="str">
        <x:v>16:45</x:v>
      </x:c>
      <x:c r="K351" s="28" t="str"/>
      <x:c r="L351" s="28" t="str"/>
      <x:c r="M351" s="20" t="str"/>
      <x:c r="N351" s="33"/>
      <x:c r="O351" s="20" t="str"/>
      <x:c r="P351" s="33"/>
      <x:c r="Q351" s="2" t="n">
        <x:f>IF(AND(AE351=1,COUNTIFS($A$7:$A$500,"T0067",$AE$7:$AE$500,1)=1,COUNTIFS($A$7:$A$500,"T0055",$AE$7:$AE$500,1)=1),1,0)</x:f>
        <x:v>0</x:v>
      </x:c>
      <x:c r="R351" s="2" t="str">
        <x:f>IF(AND(Q351=1,P351&lt;='Dashboard'!$B$5),IF(P351&gt;B351,"Accepted late","Accepted"),IF(B351&lt;'Dashboard'!$B$5,"Overdue",IF(I351="Blocked","Blocked",IF(B351='Dashboard'!$B$5,"Due today","Planned"))))</x:f>
        <x:v>Planned</x:v>
      </x:c>
      <x:c r="S351" s="26" t="str">
        <x:f>IF(I351="Accepted",IF(K351="","Add evidence",IF(O351="","Add reviewer",IF(P351="","Add accepted date",IF(AND(ISNUMBER(F351),COUNT(G351)=0),"Add actual quantity",IF(Q351=0,"Review target / date / dependencies","Complete"))))),IF(OR(I351="Blocked",I351="Deferred"),IF(L351="","Record blocker / reason",IF(M351="","Assign rescue owner",IF(N351="","Set recovery date","Recovery assigned"))),IF(B351&lt;'Dashboard'!$B$5,"Escalate and record recovery","Work to acceptance standard")))</x:f>
        <x:v>Work to acceptance standard</x:v>
      </x:c>
      <x:c r="T351" s="26" t="str">
        <x:v>T0067</x:v>
      </x:c>
      <x:c r="U351" s="26" t="str">
        <x:v>No-show task&lt;=10 min; form/source fields correct; finish critical CRM defect same day. Facebook mirrors exact approved post; Instagram requires permissioned image.</x:v>
      </x:c>
      <x:c r="V351" s="31" t="n">
        <x:v>2</x:v>
      </x:c>
      <x:c r="W351" s="26" t="str"/>
      <x:c r="X351" s="26" t="str">
        <x:v>DSI Reset PDF: lane responsibilities and dated runbook; dated allocation proposed for this tracker.</x:v>
      </x:c>
      <x:c r="Y351" s="30" t="n">
        <x:f>B351-WEEKDAY(B351,2)+1</x:f>
        <x:v>46356</x:v>
      </x:c>
      <x:c r="Z351" s="2" t="str">
        <x:v>checklist</x:v>
      </x:c>
      <x:c r="AA351" s="2" t="n">
        <x:f>IF(Q351=1,IF(P351&gt;B351,1,0),0)</x:f>
        <x:v>0</x:v>
      </x:c>
      <x:c r="AB351" s="2" t="n">
        <x:f>IF(AND(Q351=1,P351&lt;='Dashboard'!$B$5),0,MAX(0,'Dashboard'!$B$5-B351))</x:f>
        <x:v>0</x:v>
      </x:c>
      <x:c r="AC351" s="28" t="str"/>
      <x:c r="AD351" s="2" t="str">
        <x:f>IF(AND(ISNUMBER(F351),ISNUMBER(G351)),G351-F351,"")</x:f>
      </x:c>
      <x:c r="AE351" s="2" t="n">
        <x:f>IF(AND(I351="Accepted",K351&lt;&gt;"",O351&lt;&gt;"",ISNUMBER(P351),P351&gt;0,P351&lt;='Dashboard'!$B$5,IF(ISNUMBER(F351),ISNUMBER(G351),TRUE),IF(ISNUMBER(F351),G351&gt;=F351,TRUE)),1,0)</x:f>
        <x:v>0</x:v>
      </x:c>
    </x:row>
    <x:row r="352" ht="58" customHeight="1">
      <x:c r="A352" s="2" t="str">
        <x:v>T0302</x:v>
      </x:c>
      <x:c r="B352" s="30" t="n">
        <x:v>46359</x:v>
      </x:c>
      <x:c r="C352" s="2" t="str">
        <x:v>Brian</x:v>
      </x:c>
      <x:c r="D352" s="2" t="str">
        <x:v>Web and Tracking</x:v>
      </x:c>
      <x:c r="E352" s="26" t="str">
        <x:v>One health-check result; at most one weekly change ticket or no-ticket note</x:v>
      </x:c>
      <x:c r="F352" s="2" t="n">
        <x:v>1</x:v>
      </x:c>
      <x:c r="G352" s="20"/>
      <x:c r="H352" s="2" t="str">
        <x:v>accepted output</x:v>
      </x:c>
      <x:c r="I352" s="20" t="str">
        <x:v>Ready</x:v>
      </x:c>
      <x:c r="J352" s="2" t="str">
        <x:v>16:45</x:v>
      </x:c>
      <x:c r="K352" s="28" t="str"/>
      <x:c r="L352" s="28" t="str"/>
      <x:c r="M352" s="20" t="str"/>
      <x:c r="N352" s="33"/>
      <x:c r="O352" s="20" t="str"/>
      <x:c r="P352" s="33"/>
      <x:c r="Q352" s="2" t="n">
        <x:f>IF(AND(AE352=1,COUNTIFS($A$7:$A$500,"T0067",$AE$7:$AE$500,1)=1,COUNTIFS($A$7:$A$500,"T0055",$AE$7:$AE$500,1)=1),1,0)</x:f>
        <x:v>0</x:v>
      </x:c>
      <x:c r="R352" s="2" t="str">
        <x:f>IF(AND(Q352=1,P352&lt;='Dashboard'!$B$5),IF(P352&gt;B352,"Accepted late","Accepted"),IF(B352&lt;'Dashboard'!$B$5,"Overdue",IF(I352="Blocked","Blocked",IF(B352='Dashboard'!$B$5,"Due today","Planned"))))</x:f>
        <x:v>Planned</x:v>
      </x:c>
      <x:c r="S352" s="26" t="str">
        <x:f>IF(I352="Accepted",IF(K352="","Add evidence",IF(O352="","Add reviewer",IF(P352="","Add accepted date",IF(AND(ISNUMBER(F352),COUNT(G352)=0),"Add actual quantity",IF(Q352=0,"Review target / date / dependencies","Complete"))))),IF(OR(I352="Blocked",I352="Deferred"),IF(L352="","Record blocker / reason",IF(M352="","Assign rescue owner",IF(N352="","Set recovery date","Recovery assigned"))),IF(B352&lt;'Dashboard'!$B$5,"Escalate and record recovery","Work to acceptance standard")))</x:f>
        <x:v>Work to acceptance standard</x:v>
      </x:c>
      <x:c r="T352" s="26" t="str">
        <x:v>T0067</x:v>
      </x:c>
      <x:c r="U352" s="26" t="str">
        <x:v>Form to CQL&lt;1 min; approved copy unchanged; no work manufactured if healthy; ongoing reserve&lt;=2 h/week.</x:v>
      </x:c>
      <x:c r="V352" s="31" t="n">
        <x:v>0.4</x:v>
      </x:c>
      <x:c r="W352" s="26" t="str"/>
      <x:c r="X352" s="26" t="str">
        <x:v>DSI Reset PDF: lane responsibilities and dated runbook; dated allocation proposed for this tracker.</x:v>
      </x:c>
      <x:c r="Y352" s="30" t="n">
        <x:f>B352-WEEKDAY(B352,2)+1</x:f>
        <x:v>46356</x:v>
      </x:c>
      <x:c r="Z352" s="2" t="str">
        <x:v>checklist</x:v>
      </x:c>
      <x:c r="AA352" s="2" t="n">
        <x:f>IF(Q352=1,IF(P352&gt;B352,1,0),0)</x:f>
        <x:v>0</x:v>
      </x:c>
      <x:c r="AB352" s="2" t="n">
        <x:f>IF(AND(Q352=1,P352&lt;='Dashboard'!$B$5),0,MAX(0,'Dashboard'!$B$5-B352))</x:f>
        <x:v>0</x:v>
      </x:c>
      <x:c r="AC352" s="28" t="str"/>
      <x:c r="AD352" s="2" t="str">
        <x:f>IF(AND(ISNUMBER(F352),ISNUMBER(G352)),G352-F352,"")</x:f>
      </x:c>
      <x:c r="AE352" s="2" t="n">
        <x:f>IF(AND(I352="Accepted",K352&lt;&gt;"",O352&lt;&gt;"",ISNUMBER(P352),P352&gt;0,P352&lt;='Dashboard'!$B$5,IF(ISNUMBER(F352),ISNUMBER(G352),TRUE),IF(ISNUMBER(F352),G352&gt;=F352,TRUE)),1,0)</x:f>
        <x:v>0</x:v>
      </x:c>
    </x:row>
    <x:row r="353" ht="58" customHeight="1">
      <x:c r="A353" s="2" t="str">
        <x:v>T0303</x:v>
      </x:c>
      <x:c r="B353" s="30" t="n">
        <x:v>46359</x:v>
      </x:c>
      <x:c r="C353" s="2" t="str">
        <x:v>Dexter</x:v>
      </x:c>
      <x:c r="D353" s="2" t="str">
        <x:v>LinkedIn Execution</x:v>
      </x:c>
      <x:c r="E353" s="26" t="str">
        <x:v>CQL logged DMs/accepts; eligible requests; referred interested replies; approved post evidence Publish approved post SOC14 (Educate); capture the live URL.</x:v>
      </x:c>
      <x:c r="F353" s="2" t="n">
        <x:v>25</x:v>
      </x:c>
      <x:c r="G353" s="20"/>
      <x:c r="H353" s="2" t="str">
        <x:v>new request working target; eligible pool required</x:v>
      </x:c>
      <x:c r="I353" s="20" t="str">
        <x:v>Ready</x:v>
      </x:c>
      <x:c r="J353" s="2" t="str">
        <x:v>16:45</x:v>
      </x:c>
      <x:c r="K353" s="28" t="str"/>
      <x:c r="L353" s="28" t="str"/>
      <x:c r="M353" s="20" t="str"/>
      <x:c r="N353" s="33"/>
      <x:c r="O353" s="20" t="str"/>
      <x:c r="P353" s="33"/>
      <x:c r="Q353" s="2" t="n">
        <x:f>IF(AND(AE353=1,COUNTIFS($A$7:$A$500,"T0067",$AE$7:$AE$500,1)=1,COUNTIFS($A$7:$A$500,"T0055",$AE$7:$AE$500,1)=1),1,0)</x:f>
        <x:v>0</x:v>
      </x:c>
      <x:c r="R353" s="2" t="str">
        <x:f>IF(AND(Q353=1,P353&lt;='Dashboard'!$B$5),IF(P353&gt;B353,"Accepted late","Accepted"),IF(B353&lt;'Dashboard'!$B$5,"Overdue",IF(I353="Blocked","Blocked",IF(B353='Dashboard'!$B$5,"Due today","Planned"))))</x:f>
        <x:v>Planned</x:v>
      </x:c>
      <x:c r="S353" s="26" t="str">
        <x:f>IF(I353="Accepted",IF(K353="","Add evidence",IF(O353="","Add reviewer",IF(P353="","Add accepted date",IF(AND(ISNUMBER(F353),COUNT(G353)=0),"Add actual quantity",IF(Q353=0,"Review target / date / dependencies","Complete"))))),IF(OR(I353="Blocked",I353="Deferred"),IF(L353="","Record blocker / reason",IF(M353="","Assign rescue owner",IF(N353="","Set recovery date","Recovery assigned"))),IF(B353&lt;'Dashboard'!$B$5,"Escalate and record recovery","Work to acceptance standard")))</x:f>
        <x:v>Work to acceptance standard</x:v>
      </x:c>
      <x:c r="T353" s="26" t="str">
        <x:v>T0067</x:v>
      </x:c>
      <x:c r="U353"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53" s="31" t="n">
        <x:v>3</x:v>
      </x:c>
      <x:c r="W353" s="26" t="str"/>
      <x:c r="X353" s="26" t="str">
        <x:v>DSI Reset PDF: lane responsibilities and dated runbook; dated allocation proposed for this tracker.</x:v>
      </x:c>
      <x:c r="Y353" s="30" t="n">
        <x:f>B353-WEEKDAY(B353,2)+1</x:f>
        <x:v>46356</x:v>
      </x:c>
      <x:c r="Z353" s="2" t="str">
        <x:v>capacity</x:v>
      </x:c>
      <x:c r="AA353" s="2" t="n">
        <x:f>IF(Q353=1,IF(P353&gt;B353,1,0),0)</x:f>
        <x:v>0</x:v>
      </x:c>
      <x:c r="AB353" s="2" t="n">
        <x:f>IF(AND(Q353=1,P353&lt;='Dashboard'!$B$5),0,MAX(0,'Dashboard'!$B$5-B353))</x:f>
        <x:v>0</x:v>
      </x:c>
      <x:c r="AC353" s="28" t="str"/>
      <x:c r="AD353" s="2" t="str">
        <x:f>IF(AND(ISNUMBER(F353),ISNUMBER(G353)),G353-F353,"")</x:f>
      </x:c>
      <x:c r="AE353" s="2" t="n">
        <x:f>IF(AND(I353="Accepted",K353&lt;&gt;"",O353&lt;&gt;"",ISNUMBER(P353),P353&gt;0,P353&lt;='Dashboard'!$B$5,IF(ISNUMBER(F353),ISNUMBER(G353),TRUE),IF(ISNUMBER(F353),OR(G353&gt;=F353,AC353&lt;&gt;""),TRUE)),1,0)</x:f>
        <x:v>0</x:v>
      </x:c>
    </x:row>
    <x:row r="354" ht="58" customHeight="1">
      <x:c r="A354" s="2" t="str">
        <x:v>T0304</x:v>
      </x:c>
      <x:c r="B354" s="30" t="n">
        <x:v>46359</x:v>
      </x:c>
      <x:c r="C354" s="2" t="str">
        <x:v>Setter 1</x:v>
      </x:c>
      <x:c r="D354" s="2" t="str">
        <x:v>Reply and Phone Setter</x:v>
      </x:c>
      <x:c r="E354" s="26" t="str">
        <x:v>SLA/call outcome log; bookings and next steps; handoff to Nova</x:v>
      </x:c>
      <x:c r="F354" s="2" t="n">
        <x:v>50</x:v>
      </x:c>
      <x:c r="G354" s="20"/>
      <x:c r="H354" s="2" t="str">
        <x:v>dial working target; inbound SLA takes priority</x:v>
      </x:c>
      <x:c r="I354" s="20" t="str">
        <x:v>Ready</x:v>
      </x:c>
      <x:c r="J354" s="2" t="str">
        <x:v>16:45</x:v>
      </x:c>
      <x:c r="K354" s="28" t="str"/>
      <x:c r="L354" s="28" t="str"/>
      <x:c r="M354" s="20" t="str"/>
      <x:c r="N354" s="33"/>
      <x:c r="O354" s="20" t="str"/>
      <x:c r="P354" s="33"/>
      <x:c r="Q354" s="2" t="n">
        <x:f>IF(AND(AE354=1,COUNTIFS($A$7:$A$500,"T0013",$AE$7:$AE$500,1)=1,COUNTIFS($A$7:$A$500,"T0055",$AE$7:$AE$500,1)=1),1,0)</x:f>
        <x:v>0</x:v>
      </x:c>
      <x:c r="R354" s="2" t="str">
        <x:f>IF(AND(Q354=1,P354&lt;='Dashboard'!$B$5),IF(P354&gt;B354,"Accepted late","Accepted"),IF(B354&lt;'Dashboard'!$B$5,"Overdue",IF(I354="Blocked","Blocked",IF(B354='Dashboard'!$B$5,"Due today","Planned"))))</x:f>
        <x:v>Planned</x:v>
      </x:c>
      <x:c r="S354" s="26" t="str">
        <x:f>IF(I354="Accepted",IF(K354="","Add evidence",IF(O354="","Add reviewer",IF(P354="","Add accepted date",IF(AND(ISNUMBER(F354),COUNT(G354)=0),"Add actual quantity",IF(Q354=0,"Review target / date / dependencies","Complete"))))),IF(OR(I354="Blocked",I354="Deferred"),IF(L354="","Record blocker / reason",IF(M354="","Assign rescue owner",IF(N354="","Set recovery date","Recovery assigned"))),IF(B354&lt;'Dashboard'!$B$5,"Escalate and record recovery","Work to acceptance standard")))</x:f>
        <x:v>Work to acceptance standard</x:v>
      </x:c>
      <x:c r="T354" s="26" t="str">
        <x:v>T0013; T0055</x:v>
      </x:c>
      <x:c r="U35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54" s="31" t="n">
        <x:v>7.5</x:v>
      </x:c>
      <x:c r="W354" s="26" t="str"/>
      <x:c r="X354" s="26" t="str">
        <x:v>DSI Reset PDF: lane responsibilities and dated runbook; dated allocation proposed for this tracker.</x:v>
      </x:c>
      <x:c r="Y354" s="30" t="n">
        <x:f>B354-WEEKDAY(B354,2)+1</x:f>
        <x:v>46356</x:v>
      </x:c>
      <x:c r="Z354" s="2" t="str">
        <x:v>capacity</x:v>
      </x:c>
      <x:c r="AA354" s="2" t="n">
        <x:f>IF(Q354=1,IF(P354&gt;B354,1,0),0)</x:f>
        <x:v>0</x:v>
      </x:c>
      <x:c r="AB354" s="2" t="n">
        <x:f>IF(AND(Q354=1,P354&lt;='Dashboard'!$B$5),0,MAX(0,'Dashboard'!$B$5-B354))</x:f>
        <x:v>0</x:v>
      </x:c>
      <x:c r="AC354" s="28" t="str"/>
      <x:c r="AD354" s="2" t="str">
        <x:f>IF(AND(ISNUMBER(F354),ISNUMBER(G354)),G354-F354,"")</x:f>
      </x:c>
      <x:c r="AE354" s="2" t="n">
        <x:f>IF(AND(I354="Accepted",K354&lt;&gt;"",O354&lt;&gt;"",ISNUMBER(P354),P354&gt;0,P354&lt;='Dashboard'!$B$5,IF(ISNUMBER(F354),ISNUMBER(G354),TRUE),IF(ISNUMBER(F354),OR(G354&gt;=F354,AC354&lt;&gt;""),TRUE)),1,0)</x:f>
        <x:v>0</x:v>
      </x:c>
    </x:row>
    <x:row r="355" ht="58" customHeight="1">
      <x:c r="A355" s="2" t="str">
        <x:v>T0305</x:v>
      </x:c>
      <x:c r="B355" s="30" t="n">
        <x:v>46359</x:v>
      </x:c>
      <x:c r="C355" s="2" t="str">
        <x:v>Setter 2</x:v>
      </x:c>
      <x:c r="D355" s="2" t="str">
        <x:v>Reply and Phone Setter</x:v>
      </x:c>
      <x:c r="E355" s="26" t="str">
        <x:v>SLA/call outcome log; bookings and next steps; handoff to Nova</x:v>
      </x:c>
      <x:c r="F355" s="2" t="n">
        <x:v>50</x:v>
      </x:c>
      <x:c r="G355" s="20"/>
      <x:c r="H355" s="2" t="str">
        <x:v>dial working target; inbound SLA takes priority</x:v>
      </x:c>
      <x:c r="I355" s="20" t="str">
        <x:v>Ready</x:v>
      </x:c>
      <x:c r="J355" s="2" t="str">
        <x:v>16:45</x:v>
      </x:c>
      <x:c r="K355" s="28" t="str"/>
      <x:c r="L355" s="28" t="str"/>
      <x:c r="M355" s="20" t="str"/>
      <x:c r="N355" s="33"/>
      <x:c r="O355" s="20" t="str"/>
      <x:c r="P355" s="33"/>
      <x:c r="Q355" s="2" t="n">
        <x:f>IF(AND(AE355=1,COUNTIFS($A$7:$A$500,"T0013",$AE$7:$AE$500,1)=1,COUNTIFS($A$7:$A$500,"T0055",$AE$7:$AE$500,1)=1),1,0)</x:f>
        <x:v>0</x:v>
      </x:c>
      <x:c r="R355" s="2" t="str">
        <x:f>IF(AND(Q355=1,P355&lt;='Dashboard'!$B$5),IF(P355&gt;B355,"Accepted late","Accepted"),IF(B355&lt;'Dashboard'!$B$5,"Overdue",IF(I355="Blocked","Blocked",IF(B355='Dashboard'!$B$5,"Due today","Planned"))))</x:f>
        <x:v>Planned</x:v>
      </x:c>
      <x:c r="S355" s="26" t="str">
        <x:f>IF(I355="Accepted",IF(K355="","Add evidence",IF(O355="","Add reviewer",IF(P355="","Add accepted date",IF(AND(ISNUMBER(F355),COUNT(G355)=0),"Add actual quantity",IF(Q355=0,"Review target / date / dependencies","Complete"))))),IF(OR(I355="Blocked",I355="Deferred"),IF(L355="","Record blocker / reason",IF(M355="","Assign rescue owner",IF(N355="","Set recovery date","Recovery assigned"))),IF(B355&lt;'Dashboard'!$B$5,"Escalate and record recovery","Work to acceptance standard")))</x:f>
        <x:v>Work to acceptance standard</x:v>
      </x:c>
      <x:c r="T355" s="26" t="str">
        <x:v>T0013; T0055</x:v>
      </x:c>
      <x:c r="U35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55" s="31" t="n">
        <x:v>7.5</x:v>
      </x:c>
      <x:c r="W355" s="26" t="str"/>
      <x:c r="X355" s="26" t="str">
        <x:v>DSI Reset PDF: lane responsibilities and dated runbook; dated allocation proposed for this tracker.</x:v>
      </x:c>
      <x:c r="Y355" s="30" t="n">
        <x:f>B355-WEEKDAY(B355,2)+1</x:f>
        <x:v>46356</x:v>
      </x:c>
      <x:c r="Z355" s="2" t="str">
        <x:v>capacity</x:v>
      </x:c>
      <x:c r="AA355" s="2" t="n">
        <x:f>IF(Q355=1,IF(P355&gt;B355,1,0),0)</x:f>
        <x:v>0</x:v>
      </x:c>
      <x:c r="AB355" s="2" t="n">
        <x:f>IF(AND(Q355=1,P355&lt;='Dashboard'!$B$5),0,MAX(0,'Dashboard'!$B$5-B355))</x:f>
        <x:v>0</x:v>
      </x:c>
      <x:c r="AC355" s="28" t="str"/>
      <x:c r="AD355" s="2" t="str">
        <x:f>IF(AND(ISNUMBER(F355),ISNUMBER(G355)),G355-F355,"")</x:f>
      </x:c>
      <x:c r="AE355" s="2" t="n">
        <x:f>IF(AND(I355="Accepted",K355&lt;&gt;"",O355&lt;&gt;"",ISNUMBER(P355),P355&gt;0,P355&lt;='Dashboard'!$B$5,IF(ISNUMBER(F355),ISNUMBER(G355),TRUE),IF(ISNUMBER(F355),OR(G355&gt;=F355,AC355&lt;&gt;""),TRUE)),1,0)</x:f>
        <x:v>0</x:v>
      </x:c>
    </x:row>
    <x:row r="356" ht="58" customHeight="1">
      <x:c r="A356" s="2" t="str">
        <x:v>T0473</x:v>
      </x:c>
      <x:c r="B356" s="30" t="n">
        <x:v>46359</x:v>
      </x:c>
      <x:c r="C356" s="2" t="str">
        <x:v>Nic</x:v>
      </x:c>
      <x:c r="D356" s="2" t="str">
        <x:v>Client dependency</x:v>
      </x:c>
      <x:c r="E356" s="26" t="str">
        <x:v>Call outcome/next step for every appointment due; first-case decisions</x:v>
      </x:c>
      <x:c r="F356" s="2" t="str"/>
      <x:c r="G356" s="20"/>
      <x:c r="H356" s="2" t="str">
        <x:v>all due appointments</x:v>
      </x:c>
      <x:c r="I356" s="20" t="str">
        <x:v>Ready</x:v>
      </x:c>
      <x:c r="J356" s="2" t="str">
        <x:v>16:45</x:v>
      </x:c>
      <x:c r="K356" s="28" t="str"/>
      <x:c r="L356" s="28" t="str"/>
      <x:c r="M356" s="20" t="str"/>
      <x:c r="N356" s="33"/>
      <x:c r="O356" s="20" t="str"/>
      <x:c r="P356" s="33"/>
      <x:c r="Q356" s="2" t="n">
        <x:f>IF(AND(AE356=1,COUNTIFS($A$7:$A$500,"T0028",$AE$7:$AE$500,1)=1),1,0)</x:f>
        <x:v>0</x:v>
      </x:c>
      <x:c r="R356" s="2" t="str">
        <x:f>IF(AND(Q356=1,P356&lt;='Dashboard'!$B$5),IF(P356&gt;B356,"Accepted late","Accepted"),IF(B356&lt;'Dashboard'!$B$5,"Overdue",IF(I356="Blocked","Blocked",IF(B356='Dashboard'!$B$5,"Due today","Planned"))))</x:f>
        <x:v>Planned</x:v>
      </x:c>
      <x:c r="S356" s="26" t="str">
        <x:f>IF(I356="Accepted",IF(K356="","Add evidence",IF(O356="","Add reviewer",IF(P356="","Add accepted date",IF(AND(ISNUMBER(F356),COUNT(G356)=0),"Add actual quantity",IF(Q356=0,"Review target / date / dependencies","Complete"))))),IF(OR(I356="Blocked",I356="Deferred"),IF(L356="","Record blocker / reason",IF(M356="","Assign rescue owner",IF(N356="","Set recovery date","Recovery assigned"))),IF(B356&lt;'Dashboard'!$B$5,"Escalate and record recovery","Work to acceptance standard")))</x:f>
        <x:v>Work to acceptance standard</x:v>
      </x:c>
      <x:c r="T356" s="26" t="str">
        <x:v>T0028</x:v>
      </x:c>
      <x:c r="U356" s="26" t="str">
        <x:v>Demand-linked: work actual approved calendar; setter brief present; outcome logged same day. No calls scheduled is N/A with calendar evidence.</x:v>
      </x:c>
      <x:c r="V356" s="31" t="n">
        <x:v>0.5</x:v>
      </x:c>
      <x:c r="W356" s="26" t="str"/>
      <x:c r="X356" s="26" t="str">
        <x:v>DSI Reset PDF: lane responsibilities and dated runbook; dated allocation proposed for this tracker.</x:v>
      </x:c>
      <x:c r="Y356" s="30" t="n">
        <x:f>B356-WEEKDAY(B356,2)+1</x:f>
        <x:v>46356</x:v>
      </x:c>
      <x:c r="Z356" s="2" t="str">
        <x:v>demand</x:v>
      </x:c>
      <x:c r="AA356" s="2" t="n">
        <x:f>IF(Q356=1,IF(P356&gt;B356,1,0),0)</x:f>
        <x:v>0</x:v>
      </x:c>
      <x:c r="AB356" s="2" t="n">
        <x:f>IF(AND(Q356=1,P356&lt;='Dashboard'!$B$5),0,MAX(0,'Dashboard'!$B$5-B356))</x:f>
        <x:v>0</x:v>
      </x:c>
      <x:c r="AC356" s="28" t="str"/>
      <x:c r="AD356" s="2" t="str">
        <x:f>IF(AND(ISNUMBER(F356),ISNUMBER(G356)),G356-F356,"")</x:f>
      </x:c>
      <x:c r="AE356" s="2" t="n">
        <x:f>IF(AND(I356="Accepted",K356&lt;&gt;"",O356&lt;&gt;"",ISNUMBER(P356),P356&gt;0,P356&lt;='Dashboard'!$B$5,IF(ISNUMBER(F356),ISNUMBER(G356),TRUE)),1,0)</x:f>
        <x:v>0</x:v>
      </x:c>
    </x:row>
    <x:row r="357" ht="58" customHeight="1">
      <x:c r="A357" s="2" t="str">
        <x:v>T0474</x:v>
      </x:c>
      <x:c r="B357" s="30" t="n">
        <x:v>46359</x:v>
      </x:c>
      <x:c r="C357" s="2" t="str">
        <x:v>Maseeha</x:v>
      </x:c>
      <x:c r="D357" s="2" t="str">
        <x:v>Client dependency</x:v>
      </x:c>
      <x:c r="E357" s="26" t="str">
        <x:v>Due intro verification; kit/case handoff; delivery/Day-30 dates; credit trigger log</x:v>
      </x:c>
      <x:c r="F357" s="2" t="str"/>
      <x:c r="G357" s="20"/>
      <x:c r="H357" s="2" t="str">
        <x:v>all due cases</x:v>
      </x:c>
      <x:c r="I357" s="20" t="str">
        <x:v>Ready</x:v>
      </x:c>
      <x:c r="J357" s="2" t="str">
        <x:v>16:45</x:v>
      </x:c>
      <x:c r="K357" s="28" t="str"/>
      <x:c r="L357" s="28" t="str"/>
      <x:c r="M357" s="20" t="str"/>
      <x:c r="N357" s="33"/>
      <x:c r="O357" s="20" t="str"/>
      <x:c r="P357" s="33"/>
      <x:c r="Q357" s="2" t="n">
        <x:f>IF(AND(AE357=1,COUNTIFS($A$7:$A$500,"T0028",$AE$7:$AE$500,1)=1),1,0)</x:f>
        <x:v>0</x:v>
      </x:c>
      <x:c r="R357" s="2" t="str">
        <x:f>IF(AND(Q357=1,P357&lt;='Dashboard'!$B$5),IF(P357&gt;B357,"Accepted late","Accepted"),IF(B357&lt;'Dashboard'!$B$5,"Overdue",IF(I357="Blocked","Blocked",IF(B357='Dashboard'!$B$5,"Due today","Planned"))))</x:f>
        <x:v>Planned</x:v>
      </x:c>
      <x:c r="S357" s="26" t="str">
        <x:f>IF(I357="Accepted",IF(K357="","Add evidence",IF(O357="","Add reviewer",IF(P357="","Add accepted date",IF(AND(ISNUMBER(F357),COUNT(G357)=0),"Add actual quantity",IF(Q357=0,"Review target / date / dependencies","Complete"))))),IF(OR(I357="Blocked",I357="Deferred"),IF(L357="","Record blocker / reason",IF(M357="","Assign rescue owner",IF(N357="","Set recovery date","Recovery assigned"))),IF(B357&lt;'Dashboard'!$B$5,"Escalate and record recovery","Work to acceptance standard")))</x:f>
        <x:v>Work to acceptance standard</x:v>
      </x:c>
      <x:c r="T357" s="26" t="str">
        <x:v>T0028</x:v>
      </x:c>
      <x:c r="U357" s="26" t="str">
        <x:v>Demand-linked: referral verification&lt;=2 business days; trial capacity respected; $200 credit only on eligible invoice paid.</x:v>
      </x:c>
      <x:c r="V357" s="31" t="n">
        <x:v>0.5</x:v>
      </x:c>
      <x:c r="W357" s="26" t="str"/>
      <x:c r="X357" s="26" t="str">
        <x:v>DSI Reset PDF: lane responsibilities and dated runbook; dated allocation proposed for this tracker.</x:v>
      </x:c>
      <x:c r="Y357" s="30" t="n">
        <x:f>B357-WEEKDAY(B357,2)+1</x:f>
        <x:v>46356</x:v>
      </x:c>
      <x:c r="Z357" s="2" t="str">
        <x:v>demand</x:v>
      </x:c>
      <x:c r="AA357" s="2" t="n">
        <x:f>IF(Q357=1,IF(P357&gt;B357,1,0),0)</x:f>
        <x:v>0</x:v>
      </x:c>
      <x:c r="AB357" s="2" t="n">
        <x:f>IF(AND(Q357=1,P357&lt;='Dashboard'!$B$5),0,MAX(0,'Dashboard'!$B$5-B357))</x:f>
        <x:v>0</x:v>
      </x:c>
      <x:c r="AC357" s="28" t="str"/>
      <x:c r="AD357" s="2" t="str">
        <x:f>IF(AND(ISNUMBER(F357),ISNUMBER(G357)),G357-F357,"")</x:f>
      </x:c>
      <x:c r="AE357" s="2" t="n">
        <x:f>IF(AND(I357="Accepted",K357&lt;&gt;"",O357&lt;&gt;"",ISNUMBER(P357),P357&gt;0,P357&lt;='Dashboard'!$B$5,IF(ISNUMBER(F357),ISNUMBER(G357),TRUE)),1,0)</x:f>
        <x:v>0</x:v>
      </x:c>
    </x:row>
    <x:row r="358" ht="58" customHeight="1">
      <x:c r="A358" s="2" t="str">
        <x:v>T0306</x:v>
      </x:c>
      <x:c r="B358" s="30" t="n">
        <x:v>46360</x:v>
      </x:c>
      <x:c r="C358" s="2" t="str">
        <x:v>Wyline</x:v>
      </x:c>
      <x:c r="D358" s="2" t="str">
        <x:v>Program Director</x:v>
      </x:c>
      <x:c r="E358" s="26" t="str">
        <x:v>14 booking/4 trial pace check; actual hours cost worksheet</x:v>
      </x:c>
      <x:c r="F358" s="2" t="n">
        <x:v>1</x:v>
      </x:c>
      <x:c r="G358" s="20"/>
      <x:c r="H358" s="2" t="str">
        <x:v>accepted output</x:v>
      </x:c>
      <x:c r="I358" s="20" t="str">
        <x:v>Ready</x:v>
      </x:c>
      <x:c r="J358" s="2" t="str">
        <x:v>16:45</x:v>
      </x:c>
      <x:c r="K358" s="28" t="str"/>
      <x:c r="L358" s="28" t="str"/>
      <x:c r="M358" s="20" t="str"/>
      <x:c r="N358" s="33"/>
      <x:c r="O358" s="20" t="str"/>
      <x:c r="P358" s="33"/>
      <x:c r="Q358" s="2" t="n">
        <x:f>IF(AND(AE358=1,COUNTIFS($A$7:$A$500,"T0067",$AE$7:$AE$500,1)=1,COUNTIFS($A$7:$A$500,"T0055",$AE$7:$AE$500,1)=1),1,0)</x:f>
        <x:v>0</x:v>
      </x:c>
      <x:c r="R358" s="2" t="str">
        <x:f>IF(AND(Q358=1,P358&lt;='Dashboard'!$B$5),IF(P358&gt;B358,"Accepted late","Accepted"),IF(B358&lt;'Dashboard'!$B$5,"Overdue",IF(I358="Blocked","Blocked",IF(B358='Dashboard'!$B$5,"Due today","Planned"))))</x:f>
        <x:v>Planned</x:v>
      </x:c>
      <x:c r="S358" s="26" t="str">
        <x:f>IF(I358="Accepted",IF(K358="","Add evidence",IF(O358="","Add reviewer",IF(P358="","Add accepted date",IF(AND(ISNUMBER(F358),COUNT(G358)=0),"Add actual quantity",IF(Q358=0,"Review target / date / dependencies","Complete"))))),IF(OR(I358="Blocked",I358="Deferred"),IF(L358="","Record blocker / reason",IF(M358="","Assign rescue owner",IF(N358="","Set recovery date","Recovery assigned"))),IF(B358&lt;'Dashboard'!$B$5,"Escalate and record recovery","Work to acceptance standard")))</x:f>
        <x:v>Work to acceptance standard</x:v>
      </x:c>
      <x:c r="T358" s="26" t="str">
        <x:v>T0067</x:v>
      </x:c>
      <x:c r="U358" s="26" t="str">
        <x:v>Costs use confirmed rates and actual hours; missing rates remain unknown.</x:v>
      </x:c>
      <x:c r="V358" s="31" t="n">
        <x:v>3</x:v>
      </x:c>
      <x:c r="W358" s="26" t="str"/>
      <x:c r="X358" s="26" t="str">
        <x:v>DSI Reset PDF: lane responsibilities and dated runbook; dated allocation proposed for this tracker.</x:v>
      </x:c>
      <x:c r="Y358" s="30" t="n">
        <x:f>B358-WEEKDAY(B358,2)+1</x:f>
        <x:v>46356</x:v>
      </x:c>
      <x:c r="Z358" s="2" t="str">
        <x:v>checklist</x:v>
      </x:c>
      <x:c r="AA358" s="2" t="n">
        <x:f>IF(Q358=1,IF(P358&gt;B358,1,0),0)</x:f>
        <x:v>0</x:v>
      </x:c>
      <x:c r="AB358" s="2" t="n">
        <x:f>IF(AND(Q358=1,P358&lt;='Dashboard'!$B$5),0,MAX(0,'Dashboard'!$B$5-B358))</x:f>
        <x:v>0</x:v>
      </x:c>
      <x:c r="AC358" s="28" t="str"/>
      <x:c r="AD358" s="2" t="str">
        <x:f>IF(AND(ISNUMBER(F358),ISNUMBER(G358)),G358-F358,"")</x:f>
      </x:c>
      <x:c r="AE358" s="2" t="n">
        <x:f>IF(AND(I358="Accepted",K358&lt;&gt;"",O358&lt;&gt;"",ISNUMBER(P358),P358&gt;0,P358&lt;='Dashboard'!$B$5,IF(ISNUMBER(F358),ISNUMBER(G358),TRUE),IF(ISNUMBER(F358),G358&gt;=F358,TRUE)),1,0)</x:f>
        <x:v>0</x:v>
      </x:c>
    </x:row>
    <x:row r="359" ht="58" customHeight="1">
      <x:c r="A359" s="2" t="str">
        <x:v>T0307</x:v>
      </x:c>
      <x:c r="B359" s="30" t="n">
        <x:v>46360</x:v>
      </x:c>
      <x:c r="C359" s="2" t="str">
        <x:v>Kenneth</x:v>
      </x:c>
      <x:c r="D359" s="2" t="str">
        <x:v>Message Orchestrator</x:v>
      </x:c>
      <x:c r="E359" s="26" t="str">
        <x:v>Five-call review with Nova; 3 next-week posts with proof links; one controlled test decision</x:v>
      </x:c>
      <x:c r="F359" s="2" t="n">
        <x:v>1</x:v>
      </x:c>
      <x:c r="G359" s="20"/>
      <x:c r="H359" s="2" t="str">
        <x:v>accepted output</x:v>
      </x:c>
      <x:c r="I359" s="20" t="str">
        <x:v>Ready</x:v>
      </x:c>
      <x:c r="J359" s="2" t="str">
        <x:v>16:45</x:v>
      </x:c>
      <x:c r="K359" s="28" t="str"/>
      <x:c r="L359" s="28" t="str"/>
      <x:c r="M359" s="20" t="str"/>
      <x:c r="N359" s="33"/>
      <x:c r="O359" s="20" t="str"/>
      <x:c r="P359" s="33"/>
      <x:c r="Q359" s="2" t="n">
        <x:f>IF(AND(AE359=1,COUNTIFS($A$7:$A$500,"T0067",$AE$7:$AE$500,1)=1,COUNTIFS($A$7:$A$500,"T0055",$AE$7:$AE$500,1)=1),1,0)</x:f>
        <x:v>0</x:v>
      </x:c>
      <x:c r="R359" s="2" t="str">
        <x:f>IF(AND(Q359=1,P359&lt;='Dashboard'!$B$5),IF(P359&gt;B359,"Accepted late","Accepted"),IF(B359&lt;'Dashboard'!$B$5,"Overdue",IF(I359="Blocked","Blocked",IF(B359='Dashboard'!$B$5,"Due today","Planned"))))</x:f>
        <x:v>Planned</x:v>
      </x:c>
      <x:c r="S359" s="26" t="str">
        <x:f>IF(I359="Accepted",IF(K359="","Add evidence",IF(O359="","Add reviewer",IF(P359="","Add accepted date",IF(AND(ISNUMBER(F359),COUNT(G359)=0),"Add actual quantity",IF(Q359=0,"Review target / date / dependencies","Complete"))))),IF(OR(I359="Blocked",I359="Deferred"),IF(L359="","Record blocker / reason",IF(M359="","Assign rescue owner",IF(N359="","Set recovery date","Recovery assigned"))),IF(B359&lt;'Dashboard'!$B$5,"Escalate and record recovery","Work to acceptance standard")))</x:f>
        <x:v>Work to acceptance standard</x:v>
      </x:c>
      <x:c r="T359" s="26" t="str">
        <x:v>T0067</x:v>
      </x:c>
      <x:c r="U359" s="26" t="str">
        <x:v>Two hours per week reserved for social within Kenneth’s cap. Across each 12-post cycle use 6 Engage / 4 Educate / 2 Promote, with promotion no more than once per fortnight. Wyline approves the exact version before publishing.</x:v>
      </x:c>
      <x:c r="V359" s="31" t="n">
        <x:v>2.4</x:v>
      </x:c>
      <x:c r="W359" s="26" t="str"/>
      <x:c r="X359" s="26" t="str">
        <x:v>DSI Reset PDF: lane responsibilities and dated runbook; dated allocation proposed for this tracker.</x:v>
      </x:c>
      <x:c r="Y359" s="30" t="n">
        <x:f>B359-WEEKDAY(B359,2)+1</x:f>
        <x:v>46356</x:v>
      </x:c>
      <x:c r="Z359" s="2" t="str">
        <x:v>checklist</x:v>
      </x:c>
      <x:c r="AA359" s="2" t="n">
        <x:f>IF(Q359=1,IF(P359&gt;B359,1,0),0)</x:f>
        <x:v>0</x:v>
      </x:c>
      <x:c r="AB359" s="2" t="n">
        <x:f>IF(AND(Q359=1,P359&lt;='Dashboard'!$B$5),0,MAX(0,'Dashboard'!$B$5-B359))</x:f>
        <x:v>0</x:v>
      </x:c>
      <x:c r="AC359" s="28" t="str"/>
      <x:c r="AD359" s="2" t="str">
        <x:f>IF(AND(ISNUMBER(F359),ISNUMBER(G359)),G359-F359,"")</x:f>
      </x:c>
      <x:c r="AE359" s="2" t="n">
        <x:f>IF(AND(I359="Accepted",K359&lt;&gt;"",O359&lt;&gt;"",ISNUMBER(P359),P359&gt;0,P359&lt;='Dashboard'!$B$5,IF(ISNUMBER(F359),ISNUMBER(G359),TRUE),IF(ISNUMBER(F359),G359&gt;=F359,TRUE)),1,0)</x:f>
        <x:v>0</x:v>
      </x:c>
    </x:row>
    <x:row r="360" ht="58" customHeight="1">
      <x:c r="A360" s="2" t="str">
        <x:v>T0308</x:v>
      </x:c>
      <x:c r="B360" s="30" t="n">
        <x:v>46360</x:v>
      </x:c>
      <x:c r="C360" s="2" t="str">
        <x:v>Joey</x:v>
      </x:c>
      <x:c r="D360" s="2" t="str">
        <x:v>Data Orchestrator</x:v>
      </x:c>
      <x:c r="E360" s="26" t="str">
        <x:v>Mailbox/bounce/suppression log; ready verified records; due-follow up versus new-send capacity plan. Planned list output today: 30 new verified contacts; cumulative ready pool 650.</x:v>
      </x:c>
      <x:c r="F360" s="2" t="n">
        <x:v>30</x:v>
      </x:c>
      <x:c r="G360" s="20"/>
      <x:c r="H360" s="2" t="str">
        <x:v>new verified contacts; proposed daily pace</x:v>
      </x:c>
      <x:c r="I360" s="20" t="str">
        <x:v>Ready</x:v>
      </x:c>
      <x:c r="J360" s="2" t="str">
        <x:v>16:45</x:v>
      </x:c>
      <x:c r="K360" s="28" t="str"/>
      <x:c r="L360" s="28" t="str"/>
      <x:c r="M360" s="20" t="str"/>
      <x:c r="N360" s="33"/>
      <x:c r="O360" s="20" t="str"/>
      <x:c r="P360" s="33"/>
      <x:c r="Q360" s="2" t="n">
        <x:f>IF(AND(AE360=1,COUNTIFS($A$7:$A$500,"T0067",$AE$7:$AE$500,1)=1,COUNTIFS($A$7:$A$500,"T0055",$AE$7:$AE$500,1)=1),1,0)</x:f>
        <x:v>0</x:v>
      </x:c>
      <x:c r="R360" s="2" t="str">
        <x:f>IF(AND(Q360=1,P360&lt;='Dashboard'!$B$5),IF(P360&gt;B360,"Accepted late","Accepted"),IF(B360&lt;'Dashboard'!$B$5,"Overdue",IF(I360="Blocked","Blocked",IF(B360='Dashboard'!$B$5,"Due today","Planned"))))</x:f>
        <x:v>Planned</x:v>
      </x:c>
      <x:c r="S360" s="26" t="str">
        <x:f>IF(I360="Accepted",IF(K360="","Add evidence",IF(O360="","Add reviewer",IF(P360="","Add accepted date",IF(AND(ISNUMBER(F360),COUNT(G360)=0),"Add actual quantity",IF(Q360=0,"Review target / date / dependencies","Complete"))))),IF(OR(I360="Blocked",I360="Deferred"),IF(L360="","Record blocker / reason",IF(M360="","Assign rescue owner",IF(N360="","Set recovery date","Recovery assigned"))),IF(B360&lt;'Dashboard'!$B$5,"Escalate and record recovery","Work to acceptance standard")))</x:f>
        <x:v>Work to acceptance standard</x:v>
      </x:c>
      <x:c r="T360" s="26" t="str">
        <x:v>T0067</x:v>
      </x:c>
      <x:c r="U360" s="26" t="str">
        <x:v>Planning pool addition 30 contacts today; quality gate wins over quota. Total sends&lt;=150/day;&gt;3% bounce affected mailbox held. No new cold enrollments on reduced/buffer days.</x:v>
      </x:c>
      <x:c r="V360" s="31" t="n">
        <x:v>3</x:v>
      </x:c>
      <x:c r="W360" s="26" t="str"/>
      <x:c r="X360" s="26" t="str">
        <x:v>DSI Reset PDF: lane responsibilities and dated runbook; dated allocation proposed for this tracker.</x:v>
      </x:c>
      <x:c r="Y360" s="30" t="n">
        <x:f>B360-WEEKDAY(B360,2)+1</x:f>
        <x:v>46356</x:v>
      </x:c>
      <x:c r="Z360" s="2" t="str">
        <x:v>goal</x:v>
      </x:c>
      <x:c r="AA360" s="2" t="n">
        <x:f>IF(Q360=1,IF(P360&gt;B360,1,0),0)</x:f>
        <x:v>0</x:v>
      </x:c>
      <x:c r="AB360" s="2" t="n">
        <x:f>IF(AND(Q360=1,P360&lt;='Dashboard'!$B$5),0,MAX(0,'Dashboard'!$B$5-B360))</x:f>
        <x:v>0</x:v>
      </x:c>
      <x:c r="AC360" s="28" t="str"/>
      <x:c r="AD360" s="2" t="str">
        <x:f>IF(AND(ISNUMBER(F360),ISNUMBER(G360)),G360-F360,"")</x:f>
      </x:c>
      <x:c r="AE360" s="2" t="n">
        <x:f>IF(AND(I360="Accepted",K360&lt;&gt;"",O360&lt;&gt;"",ISNUMBER(P360),P360&gt;0,P360&lt;='Dashboard'!$B$5,IF(ISNUMBER(F360),ISNUMBER(G360),TRUE),IF(ISNUMBER(F360),G360&gt;=F360,TRUE)),1,0)</x:f>
        <x:v>0</x:v>
      </x:c>
    </x:row>
    <x:row r="361" ht="58" customHeight="1">
      <x:c r="A361" s="2" t="str">
        <x:v>T0309</x:v>
      </x:c>
      <x:c r="B361" s="30" t="n">
        <x:v>46360</x:v>
      </x:c>
      <x:c r="C361" s="2" t="str">
        <x:v>Nova</x:v>
      </x:c>
      <x:c r="D361" s="2" t="str">
        <x:v>Conversion Orchestrator</x:v>
      </x:c>
      <x:c r="E361" s="26" t="str">
        <x:v>Coverage/SLA evidence; 2 call reviews; booked/held updates; next-step and trial handoffs. Log each unique qualified inquiry with practice type, decision-maker access, case volume, service need and readiness timing.</x:v>
      </x:c>
      <x:c r="F361" s="2" t="n">
        <x:v>1</x:v>
      </x:c>
      <x:c r="G361" s="20"/>
      <x:c r="H361" s="2" t="str">
        <x:v>accepted output</x:v>
      </x:c>
      <x:c r="I361" s="20" t="str">
        <x:v>Ready</x:v>
      </x:c>
      <x:c r="J361" s="2" t="str">
        <x:v>16:45</x:v>
      </x:c>
      <x:c r="K361" s="28" t="str"/>
      <x:c r="L361" s="28" t="str"/>
      <x:c r="M361" s="20" t="str"/>
      <x:c r="N361" s="33"/>
      <x:c r="O361" s="20" t="str"/>
      <x:c r="P361" s="33"/>
      <x:c r="Q361" s="2" t="n">
        <x:f>IF(AND(AE361=1,COUNTIFS($A$7:$A$500,"T0067",$AE$7:$AE$500,1)=1,COUNTIFS($A$7:$A$500,"T0055",$AE$7:$AE$500,1)=1),1,0)</x:f>
        <x:v>0</x:v>
      </x:c>
      <x:c r="R361" s="2" t="str">
        <x:f>IF(AND(Q361=1,P361&lt;='Dashboard'!$B$5),IF(P361&gt;B361,"Accepted late","Accepted"),IF(B361&lt;'Dashboard'!$B$5,"Overdue",IF(I361="Blocked","Blocked",IF(B361='Dashboard'!$B$5,"Due today","Planned"))))</x:f>
        <x:v>Planned</x:v>
      </x:c>
      <x:c r="S361" s="26" t="str">
        <x:f>IF(I361="Accepted",IF(K361="","Add evidence",IF(O361="","Add reviewer",IF(P361="","Add accepted date",IF(AND(ISNUMBER(F361),COUNT(G361)=0),"Add actual quantity",IF(Q361=0,"Review target / date / dependencies","Complete"))))),IF(OR(I361="Blocked",I361="Deferred"),IF(L361="","Record blocker / reason",IF(M361="","Assign rescue owner",IF(N361="","Set recovery date","Recovery assigned"))),IF(B361&lt;'Dashboard'!$B$5,"Escalate and record recovery","Work to acceptance standard")))</x:f>
        <x:v>Work to acceptance standard</x:v>
      </x:c>
      <x:c r="T361" s="26" t="str">
        <x:v>T0067</x:v>
      </x:c>
      <x:c r="U361" s="26" t="str">
        <x:v>Every eligible reply&lt;=15 min; positive call&lt;=60 min; no opportunity without next step; booked brief to Nic; trial logistics to Maseeha. Raw contacts, opens and accepts never count as qualified inquiries; deduplicate across channels.</x:v>
      </x:c>
      <x:c r="V361" s="31" t="n">
        <x:v>4</x:v>
      </x:c>
      <x:c r="W361" s="26" t="str"/>
      <x:c r="X361" s="26" t="str">
        <x:v>DSI Reset PDF: lane responsibilities and dated runbook; dated allocation proposed for this tracker.</x:v>
      </x:c>
      <x:c r="Y361" s="30" t="n">
        <x:f>B361-WEEKDAY(B361,2)+1</x:f>
        <x:v>46356</x:v>
      </x:c>
      <x:c r="Z361" s="2" t="str">
        <x:v>checklist</x:v>
      </x:c>
      <x:c r="AA361" s="2" t="n">
        <x:f>IF(Q361=1,IF(P361&gt;B361,1,0),0)</x:f>
        <x:v>0</x:v>
      </x:c>
      <x:c r="AB361" s="2" t="n">
        <x:f>IF(AND(Q361=1,P361&lt;='Dashboard'!$B$5),0,MAX(0,'Dashboard'!$B$5-B361))</x:f>
        <x:v>0</x:v>
      </x:c>
      <x:c r="AC361" s="28" t="str"/>
      <x:c r="AD361" s="2" t="str">
        <x:f>IF(AND(ISNUMBER(F361),ISNUMBER(G361)),G361-F361,"")</x:f>
      </x:c>
      <x:c r="AE361" s="2" t="n">
        <x:f>IF(AND(I361="Accepted",K361&lt;&gt;"",O361&lt;&gt;"",ISNUMBER(P361),P361&gt;0,P361&lt;='Dashboard'!$B$5,IF(ISNUMBER(F361),ISNUMBER(G361),TRUE),IF(ISNUMBER(F361),G361&gt;=F361,TRUE)),1,0)</x:f>
        <x:v>0</x:v>
      </x:c>
    </x:row>
    <x:row r="362" ht="58" customHeight="1">
      <x:c r="A362" s="2" t="str">
        <x:v>T0310</x:v>
      </x:c>
      <x:c r="B362" s="30" t="n">
        <x:v>46360</x:v>
      </x:c>
      <x:c r="C362" s="2" t="str">
        <x:v>Emman</x:v>
      </x:c>
      <x:c r="D362" s="2" t="str">
        <x:v>AI Build Orchestrator</x:v>
      </x:c>
      <x:c r="E362" s="26" t="str">
        <x:v>Health/retry log; one acceptance-backed build increment; updated change log</x:v>
      </x:c>
      <x:c r="F362" s="2" t="n">
        <x:v>1</x:v>
      </x:c>
      <x:c r="G362" s="20"/>
      <x:c r="H362" s="2" t="str">
        <x:v>accepted output</x:v>
      </x:c>
      <x:c r="I362" s="20" t="str">
        <x:v>Ready</x:v>
      </x:c>
      <x:c r="J362" s="2" t="str">
        <x:v>16:45</x:v>
      </x:c>
      <x:c r="K362" s="28" t="str"/>
      <x:c r="L362" s="28" t="str"/>
      <x:c r="M362" s="20" t="str"/>
      <x:c r="N362" s="33"/>
      <x:c r="O362" s="20" t="str"/>
      <x:c r="P362" s="33"/>
      <x:c r="Q362" s="2" t="n">
        <x:f>IF(AND(AE362=1,COUNTIFS($A$7:$A$500,"T0067",$AE$7:$AE$500,1)=1,COUNTIFS($A$7:$A$500,"T0055",$AE$7:$AE$500,1)=1),1,0)</x:f>
        <x:v>0</x:v>
      </x:c>
      <x:c r="R362" s="2" t="str">
        <x:f>IF(AND(Q362=1,P362&lt;='Dashboard'!$B$5),IF(P362&gt;B362,"Accepted late","Accepted"),IF(B362&lt;'Dashboard'!$B$5,"Overdue",IF(I362="Blocked","Blocked",IF(B362='Dashboard'!$B$5,"Due today","Planned"))))</x:f>
        <x:v>Planned</x:v>
      </x:c>
      <x:c r="S362" s="26" t="str">
        <x:f>IF(I362="Accepted",IF(K362="","Add evidence",IF(O362="","Add reviewer",IF(P362="","Add accepted date",IF(AND(ISNUMBER(F362),COUNT(G362)=0),"Add actual quantity",IF(Q362=0,"Review target / date / dependencies","Complete"))))),IF(OR(I362="Blocked",I362="Deferred"),IF(L362="","Record blocker / reason",IF(M362="","Assign rescue owner",IF(N362="","Set recovery date","Recovery assigned"))),IF(B362&lt;'Dashboard'!$B$5,"Escalate and record recovery","Work to acceptance standard")))</x:f>
        <x:v>Work to acceptance standard</x:v>
      </x:c>
      <x:c r="T362" s="26" t="str">
        <x:v>T0067</x:v>
      </x:c>
      <x:c r="U362" s="26" t="str">
        <x:v>Fix a failing live agent beforestarting the next build. If an agent is still not working 48 hours after its due date, activate the manual SOP. Roll back a live failure within 1 hour. Release build reserve when no approved work remains.</x:v>
      </x:c>
      <x:c r="V362" s="31" t="n">
        <x:v>4</x:v>
      </x:c>
      <x:c r="W362" s="26" t="str"/>
      <x:c r="X362" s="26" t="str">
        <x:v>DSI Reset PDF: lane responsibilities and dated runbook; dated allocation proposed for this tracker.</x:v>
      </x:c>
      <x:c r="Y362" s="30" t="n">
        <x:f>B362-WEEKDAY(B362,2)+1</x:f>
        <x:v>46356</x:v>
      </x:c>
      <x:c r="Z362" s="2" t="str">
        <x:v>checklist</x:v>
      </x:c>
      <x:c r="AA362" s="2" t="n">
        <x:f>IF(Q362=1,IF(P362&gt;B362,1,0),0)</x:f>
        <x:v>0</x:v>
      </x:c>
      <x:c r="AB362" s="2" t="n">
        <x:f>IF(AND(Q362=1,P362&lt;='Dashboard'!$B$5),0,MAX(0,'Dashboard'!$B$5-B362))</x:f>
        <x:v>0</x:v>
      </x:c>
      <x:c r="AC362" s="28" t="str"/>
      <x:c r="AD362" s="2" t="str">
        <x:f>IF(AND(ISNUMBER(F362),ISNUMBER(G362)),G362-F362,"")</x:f>
      </x:c>
      <x:c r="AE362" s="2" t="n">
        <x:f>IF(AND(I362="Accepted",K362&lt;&gt;"",O362&lt;&gt;"",ISNUMBER(P362),P362&gt;0,P362&lt;='Dashboard'!$B$5,IF(ISNUMBER(F362),ISNUMBER(G362),TRUE),IF(ISNUMBER(F362),G362&gt;=F362,TRUE)),1,0)</x:f>
        <x:v>0</x:v>
      </x:c>
    </x:row>
    <x:row r="363" ht="58" customHeight="1">
      <x:c r="A363" s="2" t="str">
        <x:v>T0311</x:v>
      </x:c>
      <x:c r="B363" s="30" t="n">
        <x:v>46360</x:v>
      </x:c>
      <x:c r="C363" s="2" t="str">
        <x:v>Ludwig</x:v>
      </x:c>
      <x:c r="D363" s="2" t="str">
        <x:v>Integration Engineer</x:v>
      </x:c>
      <x:c r="E363" s="26" t="str">
        <x:v>Webhook/error/dead-letter check; top assigned integration ticket or verified no-ticket note</x:v>
      </x:c>
      <x:c r="F363" s="2" t="n">
        <x:v>1</x:v>
      </x:c>
      <x:c r="G363" s="20"/>
      <x:c r="H363" s="2" t="str">
        <x:v>accepted output</x:v>
      </x:c>
      <x:c r="I363" s="20" t="str">
        <x:v>Ready</x:v>
      </x:c>
      <x:c r="J363" s="2" t="str">
        <x:v>16:45</x:v>
      </x:c>
      <x:c r="K363" s="28" t="str"/>
      <x:c r="L363" s="28" t="str"/>
      <x:c r="M363" s="20" t="str"/>
      <x:c r="N363" s="33"/>
      <x:c r="O363" s="20" t="str"/>
      <x:c r="P363" s="33"/>
      <x:c r="Q363" s="2" t="n">
        <x:f>IF(AND(AE363=1,COUNTIFS($A$7:$A$500,"T0067",$AE$7:$AE$500,1)=1,COUNTIFS($A$7:$A$500,"T0055",$AE$7:$AE$500,1)=1),1,0)</x:f>
        <x:v>0</x:v>
      </x:c>
      <x:c r="R363" s="2" t="str">
        <x:f>IF(AND(Q363=1,P363&lt;='Dashboard'!$B$5),IF(P363&gt;B363,"Accepted late","Accepted"),IF(B363&lt;'Dashboard'!$B$5,"Overdue",IF(I363="Blocked","Blocked",IF(B363='Dashboard'!$B$5,"Due today","Planned"))))</x:f>
        <x:v>Planned</x:v>
      </x:c>
      <x:c r="S363" s="26" t="str">
        <x:f>IF(I363="Accepted",IF(K363="","Add evidence",IF(O363="","Add reviewer",IF(P363="","Add accepted date",IF(AND(ISNUMBER(F363),COUNT(G363)=0),"Add actual quantity",IF(Q363=0,"Review target / date / dependencies","Complete"))))),IF(OR(I363="Blocked",I363="Deferred"),IF(L363="","Record blocker / reason",IF(M363="","Assign rescue owner",IF(N363="","Set recovery date","Recovery assigned"))),IF(B363&lt;'Dashboard'!$B$5,"Escalate and record recovery","Work to acceptance standard")))</x:f>
        <x:v>Work to acceptance standard</x:v>
      </x:c>
      <x:c r="T363" s="26" t="str">
        <x:v>T0067</x:v>
      </x:c>
      <x:c r="U363" s="26" t="str">
        <x:v>Only Emman’s priority queue; 100% test capture; runbook/retry/rollback evidence. If no fault/ticket, release reserve; do not invent work.</x:v>
      </x:c>
      <x:c r="V363" s="31" t="n">
        <x:v>1.6</x:v>
      </x:c>
      <x:c r="W363" s="26" t="str"/>
      <x:c r="X363" s="26" t="str">
        <x:v>DSI Reset PDF: lane responsibilities and dated runbook; dated allocation proposed for this tracker.</x:v>
      </x:c>
      <x:c r="Y363" s="30" t="n">
        <x:f>B363-WEEKDAY(B363,2)+1</x:f>
        <x:v>46356</x:v>
      </x:c>
      <x:c r="Z363" s="2" t="str">
        <x:v>checklist</x:v>
      </x:c>
      <x:c r="AA363" s="2" t="n">
        <x:f>IF(Q363=1,IF(P363&gt;B363,1,0),0)</x:f>
        <x:v>0</x:v>
      </x:c>
      <x:c r="AB363" s="2" t="n">
        <x:f>IF(AND(Q363=1,P363&lt;='Dashboard'!$B$5),0,MAX(0,'Dashboard'!$B$5-B363))</x:f>
        <x:v>0</x:v>
      </x:c>
      <x:c r="AC363" s="28" t="str"/>
      <x:c r="AD363" s="2" t="str">
        <x:f>IF(AND(ISNUMBER(F363),ISNUMBER(G363)),G363-F363,"")</x:f>
      </x:c>
      <x:c r="AE363" s="2" t="n">
        <x:f>IF(AND(I363="Accepted",K363&lt;&gt;"",O363&lt;&gt;"",ISNUMBER(P363),P363&gt;0,P363&lt;='Dashboard'!$B$5,IF(ISNUMBER(F363),ISNUMBER(G363),TRUE),IF(ISNUMBER(F363),G363&gt;=F363,TRUE)),1,0)</x:f>
        <x:v>0</x:v>
      </x:c>
    </x:row>
    <x:row r="364" ht="58" customHeight="1">
      <x:c r="A364" s="2" t="str">
        <x:v>T0312</x:v>
      </x:c>
      <x:c r="B364" s="30" t="n">
        <x:v>46360</x:v>
      </x:c>
      <x:c r="C364" s="2" t="str">
        <x:v>Alvin</x:v>
      </x:c>
      <x:c r="D364" s="2" t="str">
        <x:v>CQL/GHL Implementation</x:v>
      </x:c>
      <x:c r="E364" s="26" t="str">
        <x:v>Stage/calendar/reminder QA; due workflow fixes</x:v>
      </x:c>
      <x:c r="F364" s="2" t="n">
        <x:v>1</x:v>
      </x:c>
      <x:c r="G364" s="20"/>
      <x:c r="H364" s="2" t="str">
        <x:v>accepted output</x:v>
      </x:c>
      <x:c r="I364" s="20" t="str">
        <x:v>Ready</x:v>
      </x:c>
      <x:c r="J364" s="2" t="str">
        <x:v>16:45</x:v>
      </x:c>
      <x:c r="K364" s="28" t="str"/>
      <x:c r="L364" s="28" t="str"/>
      <x:c r="M364" s="20" t="str"/>
      <x:c r="N364" s="33"/>
      <x:c r="O364" s="20" t="str"/>
      <x:c r="P364" s="33"/>
      <x:c r="Q364" s="2" t="n">
        <x:f>IF(AND(AE364=1,COUNTIFS($A$7:$A$500,"T0067",$AE$7:$AE$500,1)=1,COUNTIFS($A$7:$A$500,"T0055",$AE$7:$AE$500,1)=1),1,0)</x:f>
        <x:v>0</x:v>
      </x:c>
      <x:c r="R364" s="2" t="str">
        <x:f>IF(AND(Q364=1,P364&lt;='Dashboard'!$B$5),IF(P364&gt;B364,"Accepted late","Accepted"),IF(B364&lt;'Dashboard'!$B$5,"Overdue",IF(I364="Blocked","Blocked",IF(B364='Dashboard'!$B$5,"Due today","Planned"))))</x:f>
        <x:v>Planned</x:v>
      </x:c>
      <x:c r="S364" s="26" t="str">
        <x:f>IF(I364="Accepted",IF(K364="","Add evidence",IF(O364="","Add reviewer",IF(P364="","Add accepted date",IF(AND(ISNUMBER(F364),COUNT(G364)=0),"Add actual quantity",IF(Q364=0,"Review target / date / dependencies","Complete"))))),IF(OR(I364="Blocked",I364="Deferred"),IF(L364="","Record blocker / reason",IF(M364="","Assign rescue owner",IF(N364="","Set recovery date","Recovery assigned"))),IF(B364&lt;'Dashboard'!$B$5,"Escalate and record recovery","Work to acceptance standard")))</x:f>
        <x:v>Work to acceptance standard</x:v>
      </x:c>
      <x:c r="T364" s="26" t="str">
        <x:v>T0067</x:v>
      </x:c>
      <x:c r="U364" s="26" t="str">
        <x:v>No-show task&lt;=10 min; form/source fields correct; finish critical CRM defect same day. Facebook mirrors exact approved post; Instagram requires permissioned image.</x:v>
      </x:c>
      <x:c r="V364" s="31" t="n">
        <x:v>2</x:v>
      </x:c>
      <x:c r="W364" s="26" t="str"/>
      <x:c r="X364" s="26" t="str">
        <x:v>DSI Reset PDF: lane responsibilities and dated runbook; dated allocation proposed for this tracker.</x:v>
      </x:c>
      <x:c r="Y364" s="30" t="n">
        <x:f>B364-WEEKDAY(B364,2)+1</x:f>
        <x:v>46356</x:v>
      </x:c>
      <x:c r="Z364" s="2" t="str">
        <x:v>checklist</x:v>
      </x:c>
      <x:c r="AA364" s="2" t="n">
        <x:f>IF(Q364=1,IF(P364&gt;B364,1,0),0)</x:f>
        <x:v>0</x:v>
      </x:c>
      <x:c r="AB364" s="2" t="n">
        <x:f>IF(AND(Q364=1,P364&lt;='Dashboard'!$B$5),0,MAX(0,'Dashboard'!$B$5-B364))</x:f>
        <x:v>0</x:v>
      </x:c>
      <x:c r="AC364" s="28" t="str"/>
      <x:c r="AD364" s="2" t="str">
        <x:f>IF(AND(ISNUMBER(F364),ISNUMBER(G364)),G364-F364,"")</x:f>
      </x:c>
      <x:c r="AE364" s="2" t="n">
        <x:f>IF(AND(I364="Accepted",K364&lt;&gt;"",O364&lt;&gt;"",ISNUMBER(P364),P364&gt;0,P364&lt;='Dashboard'!$B$5,IF(ISNUMBER(F364),ISNUMBER(G364),TRUE),IF(ISNUMBER(F364),G364&gt;=F364,TRUE)),1,0)</x:f>
        <x:v>0</x:v>
      </x:c>
    </x:row>
    <x:row r="365" ht="58" customHeight="1">
      <x:c r="A365" s="2" t="str">
        <x:v>T0313</x:v>
      </x:c>
      <x:c r="B365" s="30" t="n">
        <x:v>46360</x:v>
      </x:c>
      <x:c r="C365" s="2" t="str">
        <x:v>Brian</x:v>
      </x:c>
      <x:c r="D365" s="2" t="str">
        <x:v>Web and Tracking</x:v>
      </x:c>
      <x:c r="E365" s="26" t="str">
        <x:v>One health-check result; at most one weekly change ticket or no-ticket note</x:v>
      </x:c>
      <x:c r="F365" s="2" t="n">
        <x:v>1</x:v>
      </x:c>
      <x:c r="G365" s="20"/>
      <x:c r="H365" s="2" t="str">
        <x:v>accepted output</x:v>
      </x:c>
      <x:c r="I365" s="20" t="str">
        <x:v>Ready</x:v>
      </x:c>
      <x:c r="J365" s="2" t="str">
        <x:v>16:45</x:v>
      </x:c>
      <x:c r="K365" s="28" t="str"/>
      <x:c r="L365" s="28" t="str"/>
      <x:c r="M365" s="20" t="str"/>
      <x:c r="N365" s="33"/>
      <x:c r="O365" s="20" t="str"/>
      <x:c r="P365" s="33"/>
      <x:c r="Q365" s="2" t="n">
        <x:f>IF(AND(AE365=1,COUNTIFS($A$7:$A$500,"T0067",$AE$7:$AE$500,1)=1,COUNTIFS($A$7:$A$500,"T0055",$AE$7:$AE$500,1)=1),1,0)</x:f>
        <x:v>0</x:v>
      </x:c>
      <x:c r="R365" s="2" t="str">
        <x:f>IF(AND(Q365=1,P365&lt;='Dashboard'!$B$5),IF(P365&gt;B365,"Accepted late","Accepted"),IF(B365&lt;'Dashboard'!$B$5,"Overdue",IF(I365="Blocked","Blocked",IF(B365='Dashboard'!$B$5,"Due today","Planned"))))</x:f>
        <x:v>Planned</x:v>
      </x:c>
      <x:c r="S365" s="26" t="str">
        <x:f>IF(I365="Accepted",IF(K365="","Add evidence",IF(O365="","Add reviewer",IF(P365="","Add accepted date",IF(AND(ISNUMBER(F365),COUNT(G365)=0),"Add actual quantity",IF(Q365=0,"Review target / date / dependencies","Complete"))))),IF(OR(I365="Blocked",I365="Deferred"),IF(L365="","Record blocker / reason",IF(M365="","Assign rescue owner",IF(N365="","Set recovery date","Recovery assigned"))),IF(B365&lt;'Dashboard'!$B$5,"Escalate and record recovery","Work to acceptance standard")))</x:f>
        <x:v>Work to acceptance standard</x:v>
      </x:c>
      <x:c r="T365" s="26" t="str">
        <x:v>T0067</x:v>
      </x:c>
      <x:c r="U365" s="26" t="str">
        <x:v>Form to CQL&lt;1 min; approved copy unchanged; no work manufactured if healthy; ongoing reserve&lt;=2 h/week.</x:v>
      </x:c>
      <x:c r="V365" s="31" t="n">
        <x:v>0.4</x:v>
      </x:c>
      <x:c r="W365" s="26" t="str"/>
      <x:c r="X365" s="26" t="str">
        <x:v>DSI Reset PDF: lane responsibilities and dated runbook; dated allocation proposed for this tracker.</x:v>
      </x:c>
      <x:c r="Y365" s="30" t="n">
        <x:f>B365-WEEKDAY(B365,2)+1</x:f>
        <x:v>46356</x:v>
      </x:c>
      <x:c r="Z365" s="2" t="str">
        <x:v>checklist</x:v>
      </x:c>
      <x:c r="AA365" s="2" t="n">
        <x:f>IF(Q365=1,IF(P365&gt;B365,1,0),0)</x:f>
        <x:v>0</x:v>
      </x:c>
      <x:c r="AB365" s="2" t="n">
        <x:f>IF(AND(Q365=1,P365&lt;='Dashboard'!$B$5),0,MAX(0,'Dashboard'!$B$5-B365))</x:f>
        <x:v>0</x:v>
      </x:c>
      <x:c r="AC365" s="28" t="str"/>
      <x:c r="AD365" s="2" t="str">
        <x:f>IF(AND(ISNUMBER(F365),ISNUMBER(G365)),G365-F365,"")</x:f>
      </x:c>
      <x:c r="AE365" s="2" t="n">
        <x:f>IF(AND(I365="Accepted",K365&lt;&gt;"",O365&lt;&gt;"",ISNUMBER(P365),P365&gt;0,P365&lt;='Dashboard'!$B$5,IF(ISNUMBER(F365),ISNUMBER(G365),TRUE),IF(ISNUMBER(F365),G365&gt;=F365,TRUE)),1,0)</x:f>
        <x:v>0</x:v>
      </x:c>
    </x:row>
    <x:row r="366" ht="58" customHeight="1">
      <x:c r="A366" s="2" t="str">
        <x:v>T0314</x:v>
      </x:c>
      <x:c r="B366" s="30" t="n">
        <x:v>46360</x:v>
      </x:c>
      <x:c r="C366" s="2" t="str">
        <x:v>Dexter</x:v>
      </x:c>
      <x:c r="D366" s="2" t="str">
        <x:v>LinkedIn Execution</x:v>
      </x:c>
      <x:c r="E366" s="26" t="str">
        <x:v>CQL logged DMs/accepts; eligible requests; referred interested replies; approved post evidence</x:v>
      </x:c>
      <x:c r="F366" s="2" t="n">
        <x:v>25</x:v>
      </x:c>
      <x:c r="G366" s="20"/>
      <x:c r="H366" s="2" t="str">
        <x:v>new request working target; eligible pool required</x:v>
      </x:c>
      <x:c r="I366" s="20" t="str">
        <x:v>Ready</x:v>
      </x:c>
      <x:c r="J366" s="2" t="str">
        <x:v>16:45</x:v>
      </x:c>
      <x:c r="K366" s="28" t="str"/>
      <x:c r="L366" s="28" t="str"/>
      <x:c r="M366" s="20" t="str"/>
      <x:c r="N366" s="33"/>
      <x:c r="O366" s="20" t="str"/>
      <x:c r="P366" s="33"/>
      <x:c r="Q366" s="2" t="n">
        <x:f>IF(AND(AE366=1,COUNTIFS($A$7:$A$500,"T0067",$AE$7:$AE$500,1)=1,COUNTIFS($A$7:$A$500,"T0055",$AE$7:$AE$500,1)=1),1,0)</x:f>
        <x:v>0</x:v>
      </x:c>
      <x:c r="R366" s="2" t="str">
        <x:f>IF(AND(Q366=1,P366&lt;='Dashboard'!$B$5),IF(P366&gt;B366,"Accepted late","Accepted"),IF(B366&lt;'Dashboard'!$B$5,"Overdue",IF(I366="Blocked","Blocked",IF(B366='Dashboard'!$B$5,"Due today","Planned"))))</x:f>
        <x:v>Planned</x:v>
      </x:c>
      <x:c r="S366" s="26" t="str">
        <x:f>IF(I366="Accepted",IF(K366="","Add evidence",IF(O366="","Add reviewer",IF(P366="","Add accepted date",IF(AND(ISNUMBER(F366),COUNT(G366)=0),"Add actual quantity",IF(Q366=0,"Review target / date / dependencies","Complete"))))),IF(OR(I366="Blocked",I366="Deferred"),IF(L366="","Record blocker / reason",IF(M366="","Assign rescue owner",IF(N366="","Set recovery date","Recovery assigned"))),IF(B366&lt;'Dashboard'!$B$5,"Escalate and record recovery","Work to acceptance standard")))</x:f>
        <x:v>Work to acceptance standard</x:v>
      </x:c>
      <x:c r="T366" s="26" t="str">
        <x:v>T0067</x:v>
      </x:c>
      <x:c r="U366"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66" s="31" t="n">
        <x:v>3</x:v>
      </x:c>
      <x:c r="W366" s="26" t="str"/>
      <x:c r="X366" s="26" t="str">
        <x:v>DSI Reset PDF: lane responsibilities and dated runbook; dated allocation proposed for this tracker.</x:v>
      </x:c>
      <x:c r="Y366" s="30" t="n">
        <x:f>B366-WEEKDAY(B366,2)+1</x:f>
        <x:v>46356</x:v>
      </x:c>
      <x:c r="Z366" s="2" t="str">
        <x:v>capacity</x:v>
      </x:c>
      <x:c r="AA366" s="2" t="n">
        <x:f>IF(Q366=1,IF(P366&gt;B366,1,0),0)</x:f>
        <x:v>0</x:v>
      </x:c>
      <x:c r="AB366" s="2" t="n">
        <x:f>IF(AND(Q366=1,P366&lt;='Dashboard'!$B$5),0,MAX(0,'Dashboard'!$B$5-B366))</x:f>
        <x:v>0</x:v>
      </x:c>
      <x:c r="AC366" s="28" t="str"/>
      <x:c r="AD366" s="2" t="str">
        <x:f>IF(AND(ISNUMBER(F366),ISNUMBER(G366)),G366-F366,"")</x:f>
      </x:c>
      <x:c r="AE366" s="2" t="n">
        <x:f>IF(AND(I366="Accepted",K366&lt;&gt;"",O366&lt;&gt;"",ISNUMBER(P366),P366&gt;0,P366&lt;='Dashboard'!$B$5,IF(ISNUMBER(F366),ISNUMBER(G366),TRUE),IF(ISNUMBER(F366),OR(G366&gt;=F366,AC366&lt;&gt;""),TRUE)),1,0)</x:f>
        <x:v>0</x:v>
      </x:c>
    </x:row>
    <x:row r="367" ht="58" customHeight="1">
      <x:c r="A367" s="2" t="str">
        <x:v>T0315</x:v>
      </x:c>
      <x:c r="B367" s="30" t="n">
        <x:v>46360</x:v>
      </x:c>
      <x:c r="C367" s="2" t="str">
        <x:v>Setter 1</x:v>
      </x:c>
      <x:c r="D367" s="2" t="str">
        <x:v>Reply and Phone Setter</x:v>
      </x:c>
      <x:c r="E367" s="26" t="str">
        <x:v>SLA/call outcome log; bookings and next steps; handoff to Nova</x:v>
      </x:c>
      <x:c r="F367" s="2" t="n">
        <x:v>50</x:v>
      </x:c>
      <x:c r="G367" s="20"/>
      <x:c r="H367" s="2" t="str">
        <x:v>dial working target; inbound SLA takes priority</x:v>
      </x:c>
      <x:c r="I367" s="20" t="str">
        <x:v>Ready</x:v>
      </x:c>
      <x:c r="J367" s="2" t="str">
        <x:v>16:45</x:v>
      </x:c>
      <x:c r="K367" s="28" t="str"/>
      <x:c r="L367" s="28" t="str"/>
      <x:c r="M367" s="20" t="str"/>
      <x:c r="N367" s="33"/>
      <x:c r="O367" s="20" t="str"/>
      <x:c r="P367" s="33"/>
      <x:c r="Q367" s="2" t="n">
        <x:f>IF(AND(AE367=1,COUNTIFS($A$7:$A$500,"T0013",$AE$7:$AE$500,1)=1,COUNTIFS($A$7:$A$500,"T0055",$AE$7:$AE$500,1)=1),1,0)</x:f>
        <x:v>0</x:v>
      </x:c>
      <x:c r="R367" s="2" t="str">
        <x:f>IF(AND(Q367=1,P367&lt;='Dashboard'!$B$5),IF(P367&gt;B367,"Accepted late","Accepted"),IF(B367&lt;'Dashboard'!$B$5,"Overdue",IF(I367="Blocked","Blocked",IF(B367='Dashboard'!$B$5,"Due today","Planned"))))</x:f>
        <x:v>Planned</x:v>
      </x:c>
      <x:c r="S367" s="26" t="str">
        <x:f>IF(I367="Accepted",IF(K367="","Add evidence",IF(O367="","Add reviewer",IF(P367="","Add accepted date",IF(AND(ISNUMBER(F367),COUNT(G367)=0),"Add actual quantity",IF(Q367=0,"Review target / date / dependencies","Complete"))))),IF(OR(I367="Blocked",I367="Deferred"),IF(L367="","Record blocker / reason",IF(M367="","Assign rescue owner",IF(N367="","Set recovery date","Recovery assigned"))),IF(B367&lt;'Dashboard'!$B$5,"Escalate and record recovery","Work to acceptance standard")))</x:f>
        <x:v>Work to acceptance standard</x:v>
      </x:c>
      <x:c r="T367" s="26" t="str">
        <x:v>T0013; T0055</x:v>
      </x:c>
      <x:c r="U36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67" s="31" t="n">
        <x:v>7.5</x:v>
      </x:c>
      <x:c r="W367" s="26" t="str"/>
      <x:c r="X367" s="26" t="str">
        <x:v>DSI Reset PDF: lane responsibilities and dated runbook; dated allocation proposed for this tracker.</x:v>
      </x:c>
      <x:c r="Y367" s="30" t="n">
        <x:f>B367-WEEKDAY(B367,2)+1</x:f>
        <x:v>46356</x:v>
      </x:c>
      <x:c r="Z367" s="2" t="str">
        <x:v>capacity</x:v>
      </x:c>
      <x:c r="AA367" s="2" t="n">
        <x:f>IF(Q367=1,IF(P367&gt;B367,1,0),0)</x:f>
        <x:v>0</x:v>
      </x:c>
      <x:c r="AB367" s="2" t="n">
        <x:f>IF(AND(Q367=1,P367&lt;='Dashboard'!$B$5),0,MAX(0,'Dashboard'!$B$5-B367))</x:f>
        <x:v>0</x:v>
      </x:c>
      <x:c r="AC367" s="28" t="str"/>
      <x:c r="AD367" s="2" t="str">
        <x:f>IF(AND(ISNUMBER(F367),ISNUMBER(G367)),G367-F367,"")</x:f>
      </x:c>
      <x:c r="AE367" s="2" t="n">
        <x:f>IF(AND(I367="Accepted",K367&lt;&gt;"",O367&lt;&gt;"",ISNUMBER(P367),P367&gt;0,P367&lt;='Dashboard'!$B$5,IF(ISNUMBER(F367),ISNUMBER(G367),TRUE),IF(ISNUMBER(F367),OR(G367&gt;=F367,AC367&lt;&gt;""),TRUE)),1,0)</x:f>
        <x:v>0</x:v>
      </x:c>
    </x:row>
    <x:row r="368" ht="58" customHeight="1">
      <x:c r="A368" s="2" t="str">
        <x:v>T0316</x:v>
      </x:c>
      <x:c r="B368" s="30" t="n">
        <x:v>46360</x:v>
      </x:c>
      <x:c r="C368" s="2" t="str">
        <x:v>Setter 2</x:v>
      </x:c>
      <x:c r="D368" s="2" t="str">
        <x:v>Reply and Phone Setter</x:v>
      </x:c>
      <x:c r="E368" s="26" t="str">
        <x:v>SLA/call outcome log; bookings and next steps; handoff to Nova</x:v>
      </x:c>
      <x:c r="F368" s="2" t="n">
        <x:v>50</x:v>
      </x:c>
      <x:c r="G368" s="20"/>
      <x:c r="H368" s="2" t="str">
        <x:v>dial working target; inbound SLA takes priority</x:v>
      </x:c>
      <x:c r="I368" s="20" t="str">
        <x:v>Ready</x:v>
      </x:c>
      <x:c r="J368" s="2" t="str">
        <x:v>16:45</x:v>
      </x:c>
      <x:c r="K368" s="28" t="str"/>
      <x:c r="L368" s="28" t="str"/>
      <x:c r="M368" s="20" t="str"/>
      <x:c r="N368" s="33"/>
      <x:c r="O368" s="20" t="str"/>
      <x:c r="P368" s="33"/>
      <x:c r="Q368" s="2" t="n">
        <x:f>IF(AND(AE368=1,COUNTIFS($A$7:$A$500,"T0013",$AE$7:$AE$500,1)=1,COUNTIFS($A$7:$A$500,"T0055",$AE$7:$AE$500,1)=1),1,0)</x:f>
        <x:v>0</x:v>
      </x:c>
      <x:c r="R368" s="2" t="str">
        <x:f>IF(AND(Q368=1,P368&lt;='Dashboard'!$B$5),IF(P368&gt;B368,"Accepted late","Accepted"),IF(B368&lt;'Dashboard'!$B$5,"Overdue",IF(I368="Blocked","Blocked",IF(B368='Dashboard'!$B$5,"Due today","Planned"))))</x:f>
        <x:v>Planned</x:v>
      </x:c>
      <x:c r="S368" s="26" t="str">
        <x:f>IF(I368="Accepted",IF(K368="","Add evidence",IF(O368="","Add reviewer",IF(P368="","Add accepted date",IF(AND(ISNUMBER(F368),COUNT(G368)=0),"Add actual quantity",IF(Q368=0,"Review target / date / dependencies","Complete"))))),IF(OR(I368="Blocked",I368="Deferred"),IF(L368="","Record blocker / reason",IF(M368="","Assign rescue owner",IF(N368="","Set recovery date","Recovery assigned"))),IF(B368&lt;'Dashboard'!$B$5,"Escalate and record recovery","Work to acceptance standard")))</x:f>
        <x:v>Work to acceptance standard</x:v>
      </x:c>
      <x:c r="T368" s="26" t="str">
        <x:v>T0013; T0055</x:v>
      </x:c>
      <x:c r="U36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68" s="31" t="n">
        <x:v>7.5</x:v>
      </x:c>
      <x:c r="W368" s="26" t="str"/>
      <x:c r="X368" s="26" t="str">
        <x:v>DSI Reset PDF: lane responsibilities and dated runbook; dated allocation proposed for this tracker.</x:v>
      </x:c>
      <x:c r="Y368" s="30" t="n">
        <x:f>B368-WEEKDAY(B368,2)+1</x:f>
        <x:v>46356</x:v>
      </x:c>
      <x:c r="Z368" s="2" t="str">
        <x:v>capacity</x:v>
      </x:c>
      <x:c r="AA368" s="2" t="n">
        <x:f>IF(Q368=1,IF(P368&gt;B368,1,0),0)</x:f>
        <x:v>0</x:v>
      </x:c>
      <x:c r="AB368" s="2" t="n">
        <x:f>IF(AND(Q368=1,P368&lt;='Dashboard'!$B$5),0,MAX(0,'Dashboard'!$B$5-B368))</x:f>
        <x:v>0</x:v>
      </x:c>
      <x:c r="AC368" s="28" t="str"/>
      <x:c r="AD368" s="2" t="str">
        <x:f>IF(AND(ISNUMBER(F368),ISNUMBER(G368)),G368-F368,"")</x:f>
      </x:c>
      <x:c r="AE368" s="2" t="n">
        <x:f>IF(AND(I368="Accepted",K368&lt;&gt;"",O368&lt;&gt;"",ISNUMBER(P368),P368&gt;0,P368&lt;='Dashboard'!$B$5,IF(ISNUMBER(F368),ISNUMBER(G368),TRUE),IF(ISNUMBER(F368),OR(G368&gt;=F368,AC368&lt;&gt;""),TRUE)),1,0)</x:f>
        <x:v>0</x:v>
      </x:c>
    </x:row>
    <x:row r="369" ht="58" customHeight="1">
      <x:c r="A369" s="2" t="str">
        <x:v>T0475</x:v>
      </x:c>
      <x:c r="B369" s="30" t="n">
        <x:v>46360</x:v>
      </x:c>
      <x:c r="C369" s="2" t="str">
        <x:v>Nic</x:v>
      </x:c>
      <x:c r="D369" s="2" t="str">
        <x:v>Client dependency</x:v>
      </x:c>
      <x:c r="E369" s="26" t="str">
        <x:v>Call outcome/next step for every appointment due; first-case decisions</x:v>
      </x:c>
      <x:c r="F369" s="2" t="str"/>
      <x:c r="G369" s="20"/>
      <x:c r="H369" s="2" t="str">
        <x:v>all due appointments</x:v>
      </x:c>
      <x:c r="I369" s="20" t="str">
        <x:v>Ready</x:v>
      </x:c>
      <x:c r="J369" s="2" t="str">
        <x:v>16:45</x:v>
      </x:c>
      <x:c r="K369" s="28" t="str"/>
      <x:c r="L369" s="28" t="str"/>
      <x:c r="M369" s="20" t="str"/>
      <x:c r="N369" s="33"/>
      <x:c r="O369" s="20" t="str"/>
      <x:c r="P369" s="33"/>
      <x:c r="Q369" s="2" t="n">
        <x:f>IF(AND(AE369=1,COUNTIFS($A$7:$A$500,"T0028",$AE$7:$AE$500,1)=1),1,0)</x:f>
        <x:v>0</x:v>
      </x:c>
      <x:c r="R369" s="2" t="str">
        <x:f>IF(AND(Q369=1,P369&lt;='Dashboard'!$B$5),IF(P369&gt;B369,"Accepted late","Accepted"),IF(B369&lt;'Dashboard'!$B$5,"Overdue",IF(I369="Blocked","Blocked",IF(B369='Dashboard'!$B$5,"Due today","Planned"))))</x:f>
        <x:v>Planned</x:v>
      </x:c>
      <x:c r="S369" s="26" t="str">
        <x:f>IF(I369="Accepted",IF(K369="","Add evidence",IF(O369="","Add reviewer",IF(P369="","Add accepted date",IF(AND(ISNUMBER(F369),COUNT(G369)=0),"Add actual quantity",IF(Q369=0,"Review target / date / dependencies","Complete"))))),IF(OR(I369="Blocked",I369="Deferred"),IF(L369="","Record blocker / reason",IF(M369="","Assign rescue owner",IF(N369="","Set recovery date","Recovery assigned"))),IF(B369&lt;'Dashboard'!$B$5,"Escalate and record recovery","Work to acceptance standard")))</x:f>
        <x:v>Work to acceptance standard</x:v>
      </x:c>
      <x:c r="T369" s="26" t="str">
        <x:v>T0028</x:v>
      </x:c>
      <x:c r="U369" s="26" t="str">
        <x:v>Demand-linked: work actual approved calendar; setter brief present; outcome logged same day. No calls scheduled is N/A with calendar evidence.</x:v>
      </x:c>
      <x:c r="V369" s="31" t="n">
        <x:v>0.5</x:v>
      </x:c>
      <x:c r="W369" s="26" t="str"/>
      <x:c r="X369" s="26" t="str">
        <x:v>DSI Reset PDF: lane responsibilities and dated runbook; dated allocation proposed for this tracker.</x:v>
      </x:c>
      <x:c r="Y369" s="30" t="n">
        <x:f>B369-WEEKDAY(B369,2)+1</x:f>
        <x:v>46356</x:v>
      </x:c>
      <x:c r="Z369" s="2" t="str">
        <x:v>demand</x:v>
      </x:c>
      <x:c r="AA369" s="2" t="n">
        <x:f>IF(Q369=1,IF(P369&gt;B369,1,0),0)</x:f>
        <x:v>0</x:v>
      </x:c>
      <x:c r="AB369" s="2" t="n">
        <x:f>IF(AND(Q369=1,P369&lt;='Dashboard'!$B$5),0,MAX(0,'Dashboard'!$B$5-B369))</x:f>
        <x:v>0</x:v>
      </x:c>
      <x:c r="AC369" s="28" t="str"/>
      <x:c r="AD369" s="2" t="str">
        <x:f>IF(AND(ISNUMBER(F369),ISNUMBER(G369)),G369-F369,"")</x:f>
      </x:c>
      <x:c r="AE369" s="2" t="n">
        <x:f>IF(AND(I369="Accepted",K369&lt;&gt;"",O369&lt;&gt;"",ISNUMBER(P369),P369&gt;0,P369&lt;='Dashboard'!$B$5,IF(ISNUMBER(F369),ISNUMBER(G369),TRUE)),1,0)</x:f>
        <x:v>0</x:v>
      </x:c>
    </x:row>
    <x:row r="370" ht="58" customHeight="1">
      <x:c r="A370" s="2" t="str">
        <x:v>T0476</x:v>
      </x:c>
      <x:c r="B370" s="30" t="n">
        <x:v>46360</x:v>
      </x:c>
      <x:c r="C370" s="2" t="str">
        <x:v>Maseeha</x:v>
      </x:c>
      <x:c r="D370" s="2" t="str">
        <x:v>Client dependency</x:v>
      </x:c>
      <x:c r="E370" s="26" t="str">
        <x:v>Due intro verification; kit/case handoff; delivery/Day-30 dates; credit trigger log</x:v>
      </x:c>
      <x:c r="F370" s="2" t="str"/>
      <x:c r="G370" s="20"/>
      <x:c r="H370" s="2" t="str">
        <x:v>all due cases</x:v>
      </x:c>
      <x:c r="I370" s="20" t="str">
        <x:v>Ready</x:v>
      </x:c>
      <x:c r="J370" s="2" t="str">
        <x:v>16:45</x:v>
      </x:c>
      <x:c r="K370" s="28" t="str"/>
      <x:c r="L370" s="28" t="str"/>
      <x:c r="M370" s="20" t="str"/>
      <x:c r="N370" s="33"/>
      <x:c r="O370" s="20" t="str"/>
      <x:c r="P370" s="33"/>
      <x:c r="Q370" s="2" t="n">
        <x:f>IF(AND(AE370=1,COUNTIFS($A$7:$A$500,"T0028",$AE$7:$AE$500,1)=1),1,0)</x:f>
        <x:v>0</x:v>
      </x:c>
      <x:c r="R370" s="2" t="str">
        <x:f>IF(AND(Q370=1,P370&lt;='Dashboard'!$B$5),IF(P370&gt;B370,"Accepted late","Accepted"),IF(B370&lt;'Dashboard'!$B$5,"Overdue",IF(I370="Blocked","Blocked",IF(B370='Dashboard'!$B$5,"Due today","Planned"))))</x:f>
        <x:v>Planned</x:v>
      </x:c>
      <x:c r="S370" s="26" t="str">
        <x:f>IF(I370="Accepted",IF(K370="","Add evidence",IF(O370="","Add reviewer",IF(P370="","Add accepted date",IF(AND(ISNUMBER(F370),COUNT(G370)=0),"Add actual quantity",IF(Q370=0,"Review target / date / dependencies","Complete"))))),IF(OR(I370="Blocked",I370="Deferred"),IF(L370="","Record blocker / reason",IF(M370="","Assign rescue owner",IF(N370="","Set recovery date","Recovery assigned"))),IF(B370&lt;'Dashboard'!$B$5,"Escalate and record recovery","Work to acceptance standard")))</x:f>
        <x:v>Work to acceptance standard</x:v>
      </x:c>
      <x:c r="T370" s="26" t="str">
        <x:v>T0028</x:v>
      </x:c>
      <x:c r="U370" s="26" t="str">
        <x:v>Demand-linked: referral verification&lt;=2 business days; trial capacity respected; $200 credit only on eligible invoice paid.</x:v>
      </x:c>
      <x:c r="V370" s="31" t="n">
        <x:v>0.5</x:v>
      </x:c>
      <x:c r="W370" s="26" t="str"/>
      <x:c r="X370" s="26" t="str">
        <x:v>DSI Reset PDF: lane responsibilities and dated runbook; dated allocation proposed for this tracker.</x:v>
      </x:c>
      <x:c r="Y370" s="30" t="n">
        <x:f>B370-WEEKDAY(B370,2)+1</x:f>
        <x:v>46356</x:v>
      </x:c>
      <x:c r="Z370" s="2" t="str">
        <x:v>demand</x:v>
      </x:c>
      <x:c r="AA370" s="2" t="n">
        <x:f>IF(Q370=1,IF(P370&gt;B370,1,0),0)</x:f>
        <x:v>0</x:v>
      </x:c>
      <x:c r="AB370" s="2" t="n">
        <x:f>IF(AND(Q370=1,P370&lt;='Dashboard'!$B$5),0,MAX(0,'Dashboard'!$B$5-B370))</x:f>
        <x:v>0</x:v>
      </x:c>
      <x:c r="AC370" s="28" t="str"/>
      <x:c r="AD370" s="2" t="str">
        <x:f>IF(AND(ISNUMBER(F370),ISNUMBER(G370)),G370-F370,"")</x:f>
      </x:c>
      <x:c r="AE370" s="2" t="n">
        <x:f>IF(AND(I370="Accepted",K370&lt;&gt;"",O370&lt;&gt;"",ISNUMBER(P370),P370&gt;0,P370&lt;='Dashboard'!$B$5,IF(ISNUMBER(F370),ISNUMBER(G370),TRUE)),1,0)</x:f>
        <x:v>0</x:v>
      </x:c>
    </x:row>
    <x:row r="371" ht="58" customHeight="1">
      <x:c r="A371" s="2" t="str">
        <x:v>T0317</x:v>
      </x:c>
      <x:c r="B371" s="30" t="n">
        <x:v>46363</x:v>
      </x:c>
      <x:c r="C371" s="2" t="str">
        <x:v>Wyline</x:v>
      </x:c>
      <x:c r="D371" s="2" t="str">
        <x:v>Program Director</x:v>
      </x:c>
      <x:c r="E371" s="26" t="str">
        <x:v>Accepted-output register; actual-vs-target dashboard; blocker/rescue assignments</x:v>
      </x:c>
      <x:c r="F371" s="2" t="n">
        <x:v>1</x:v>
      </x:c>
      <x:c r="G371" s="20"/>
      <x:c r="H371" s="2" t="str">
        <x:v>accepted output</x:v>
      </x:c>
      <x:c r="I371" s="20" t="str">
        <x:v>Ready</x:v>
      </x:c>
      <x:c r="J371" s="2" t="str">
        <x:v>16:45</x:v>
      </x:c>
      <x:c r="K371" s="28" t="str"/>
      <x:c r="L371" s="28" t="str"/>
      <x:c r="M371" s="20" t="str"/>
      <x:c r="N371" s="33"/>
      <x:c r="O371" s="20" t="str"/>
      <x:c r="P371" s="33"/>
      <x:c r="Q371" s="2" t="n">
        <x:f>IF(AND(AE371=1,COUNTIFS($A$7:$A$500,"T0067",$AE$7:$AE$500,1)=1,COUNTIFS($A$7:$A$500,"T0055",$AE$7:$AE$500,1)=1),1,0)</x:f>
        <x:v>0</x:v>
      </x:c>
      <x:c r="R371" s="2" t="str">
        <x:f>IF(AND(Q371=1,P371&lt;='Dashboard'!$B$5),IF(P371&gt;B371,"Accepted late","Accepted"),IF(B371&lt;'Dashboard'!$B$5,"Overdue",IF(I371="Blocked","Blocked",IF(B371='Dashboard'!$B$5,"Due today","Planned"))))</x:f>
        <x:v>Planned</x:v>
      </x:c>
      <x:c r="S371" s="26" t="str">
        <x:f>IF(I371="Accepted",IF(K371="","Add evidence",IF(O371="","Add reviewer",IF(P371="","Add accepted date",IF(AND(ISNUMBER(F371),COUNT(G371)=0),"Add actual quantity",IF(Q371=0,"Review target / date / dependencies","Complete"))))),IF(OR(I371="Blocked",I371="Deferred"),IF(L371="","Record blocker / reason",IF(M371="","Assign rescue owner",IF(N371="","Set recovery date","Recovery assigned"))),IF(B371&lt;'Dashboard'!$B$5,"Escalate and record recovery","Work to acceptance standard")))</x:f>
        <x:v>Work to acceptance standard</x:v>
      </x:c>
      <x:c r="T371" s="26" t="str">
        <x:v>T0067</x:v>
      </x:c>
      <x:c r="U371" s="26" t="str">
        <x:v>09:00 standup; 13:00/16:30 recovery checks; 17:00 acceptance. Every overdue task keeps original date and named recovery owner.</x:v>
      </x:c>
      <x:c r="V371" s="31" t="n">
        <x:v>3</x:v>
      </x:c>
      <x:c r="W371" s="26" t="str"/>
      <x:c r="X371" s="26" t="str">
        <x:v>DSI Reset PDF: lane responsibilities and dated runbook; dated allocation proposed for this tracker.</x:v>
      </x:c>
      <x:c r="Y371" s="30" t="n">
        <x:f>B371-WEEKDAY(B371,2)+1</x:f>
        <x:v>46363</x:v>
      </x:c>
      <x:c r="Z371" s="2" t="str">
        <x:v>checklist</x:v>
      </x:c>
      <x:c r="AA371" s="2" t="n">
        <x:f>IF(Q371=1,IF(P371&gt;B371,1,0),0)</x:f>
        <x:v>0</x:v>
      </x:c>
      <x:c r="AB371" s="2" t="n">
        <x:f>IF(AND(Q371=1,P371&lt;='Dashboard'!$B$5),0,MAX(0,'Dashboard'!$B$5-B371))</x:f>
        <x:v>0</x:v>
      </x:c>
      <x:c r="AC371" s="28" t="str"/>
      <x:c r="AD371" s="2" t="str">
        <x:f>IF(AND(ISNUMBER(F371),ISNUMBER(G371)),G371-F371,"")</x:f>
      </x:c>
      <x:c r="AE371" s="2" t="n">
        <x:f>IF(AND(I371="Accepted",K371&lt;&gt;"",O371&lt;&gt;"",ISNUMBER(P371),P371&gt;0,P371&lt;='Dashboard'!$B$5,IF(ISNUMBER(F371),ISNUMBER(G371),TRUE),IF(ISNUMBER(F371),G371&gt;=F371,TRUE)),1,0)</x:f>
        <x:v>0</x:v>
      </x:c>
    </x:row>
    <x:row r="372" ht="58" customHeight="1">
      <x:c r="A372" s="2" t="str">
        <x:v>T0318</x:v>
      </x:c>
      <x:c r="B372" s="30" t="n">
        <x:v>46363</x:v>
      </x:c>
      <x:c r="C372" s="2" t="str">
        <x:v>Kenneth</x:v>
      </x:c>
      <x:c r="D372" s="2" t="str">
        <x:v>Message Orchestrator</x:v>
      </x:c>
      <x:c r="E372" s="26" t="str">
        <x:v>Human-reply insights; 5 Inbox draft checks; approved first lines; claim exceptions</x:v>
      </x:c>
      <x:c r="F372" s="2" t="n">
        <x:v>1</x:v>
      </x:c>
      <x:c r="G372" s="20"/>
      <x:c r="H372" s="2" t="str">
        <x:v>accepted output</x:v>
      </x:c>
      <x:c r="I372" s="20" t="str">
        <x:v>Ready</x:v>
      </x:c>
      <x:c r="J372" s="2" t="str">
        <x:v>16:45</x:v>
      </x:c>
      <x:c r="K372" s="28" t="str"/>
      <x:c r="L372" s="28" t="str"/>
      <x:c r="M372" s="20" t="str"/>
      <x:c r="N372" s="33"/>
      <x:c r="O372" s="20" t="str"/>
      <x:c r="P372" s="33"/>
      <x:c r="Q372" s="2" t="n">
        <x:f>IF(AND(AE372=1,COUNTIFS($A$7:$A$500,"T0067",$AE$7:$AE$500,1)=1,COUNTIFS($A$7:$A$500,"T0055",$AE$7:$AE$500,1)=1),1,0)</x:f>
        <x:v>0</x:v>
      </x:c>
      <x:c r="R372" s="2" t="str">
        <x:f>IF(AND(Q372=1,P372&lt;='Dashboard'!$B$5),IF(P372&gt;B372,"Accepted late","Accepted"),IF(B372&lt;'Dashboard'!$B$5,"Overdue",IF(I372="Blocked","Blocked",IF(B372='Dashboard'!$B$5,"Due today","Planned"))))</x:f>
        <x:v>Planned</x:v>
      </x:c>
      <x:c r="S372" s="26" t="str">
        <x:f>IF(I372="Accepted",IF(K372="","Add evidence",IF(O372="","Add reviewer",IF(P372="","Add accepted date",IF(AND(ISNUMBER(F372),COUNT(G372)=0),"Add actual quantity",IF(Q372=0,"Review target / date / dependencies","Complete"))))),IF(OR(I372="Blocked",I372="Deferred"),IF(L372="","Record blocker / reason",IF(M372="","Assign rescue owner",IF(N372="","Set recovery date","Recovery assigned"))),IF(B372&lt;'Dashboard'!$B$5,"Escalate and record recovery","Work to acceptance standard")))</x:f>
        <x:v>Work to acceptance standard</x:v>
      </x:c>
      <x:c r="T372" s="26" t="str">
        <x:v>T0067</x:v>
      </x:c>
      <x:c r="U372" s="26" t="str">
        <x:v>Zero invented claims. If any draft fails facts, stop drafting/retrain; no offer change without approval.</x:v>
      </x:c>
      <x:c r="V372" s="31" t="n">
        <x:v>2.4</x:v>
      </x:c>
      <x:c r="W372" s="26" t="str"/>
      <x:c r="X372" s="26" t="str">
        <x:v>DSI Reset PDF: lane responsibilities and dated runbook; dated allocation proposed for this tracker.</x:v>
      </x:c>
      <x:c r="Y372" s="30" t="n">
        <x:f>B372-WEEKDAY(B372,2)+1</x:f>
        <x:v>46363</x:v>
      </x:c>
      <x:c r="Z372" s="2" t="str">
        <x:v>checklist</x:v>
      </x:c>
      <x:c r="AA372" s="2" t="n">
        <x:f>IF(Q372=1,IF(P372&gt;B372,1,0),0)</x:f>
        <x:v>0</x:v>
      </x:c>
      <x:c r="AB372" s="2" t="n">
        <x:f>IF(AND(Q372=1,P372&lt;='Dashboard'!$B$5),0,MAX(0,'Dashboard'!$B$5-B372))</x:f>
        <x:v>0</x:v>
      </x:c>
      <x:c r="AC372" s="28" t="str"/>
      <x:c r="AD372" s="2" t="str">
        <x:f>IF(AND(ISNUMBER(F372),ISNUMBER(G372)),G372-F372,"")</x:f>
      </x:c>
      <x:c r="AE372" s="2" t="n">
        <x:f>IF(AND(I372="Accepted",K372&lt;&gt;"",O372&lt;&gt;"",ISNUMBER(P372),P372&gt;0,P372&lt;='Dashboard'!$B$5,IF(ISNUMBER(F372),ISNUMBER(G372),TRUE),IF(ISNUMBER(F372),G372&gt;=F372,TRUE)),1,0)</x:f>
        <x:v>0</x:v>
      </x:c>
    </x:row>
    <x:row r="373" ht="58" customHeight="1">
      <x:c r="A373" s="2" t="str">
        <x:v>T0319</x:v>
      </x:c>
      <x:c r="B373" s="30" t="n">
        <x:v>46363</x:v>
      </x:c>
      <x:c r="C373" s="2" t="str">
        <x:v>Joey</x:v>
      </x:c>
      <x:c r="D373" s="2" t="str">
        <x:v>Data Orchestrator</x:v>
      </x:c>
      <x:c r="E373" s="26" t="str">
        <x:v>Mailbox/bounce/suppression log; ready verified records; due-follow up versus new-send capacity plan. Planned list output today: 20 new verified contacts; cumulative ready pool 670.</x:v>
      </x:c>
      <x:c r="F373" s="2" t="n">
        <x:v>20</x:v>
      </x:c>
      <x:c r="G373" s="20"/>
      <x:c r="H373" s="2" t="str">
        <x:v>new verified contacts; proposed daily pace</x:v>
      </x:c>
      <x:c r="I373" s="20" t="str">
        <x:v>Ready</x:v>
      </x:c>
      <x:c r="J373" s="2" t="str">
        <x:v>16:45</x:v>
      </x:c>
      <x:c r="K373" s="28" t="str"/>
      <x:c r="L373" s="28" t="str"/>
      <x:c r="M373" s="20" t="str"/>
      <x:c r="N373" s="33"/>
      <x:c r="O373" s="20" t="str"/>
      <x:c r="P373" s="33"/>
      <x:c r="Q373" s="2" t="n">
        <x:f>IF(AND(AE373=1,COUNTIFS($A$7:$A$500,"T0067",$AE$7:$AE$500,1)=1,COUNTIFS($A$7:$A$500,"T0055",$AE$7:$AE$500,1)=1),1,0)</x:f>
        <x:v>0</x:v>
      </x:c>
      <x:c r="R373" s="2" t="str">
        <x:f>IF(AND(Q373=1,P373&lt;='Dashboard'!$B$5),IF(P373&gt;B373,"Accepted late","Accepted"),IF(B373&lt;'Dashboard'!$B$5,"Overdue",IF(I373="Blocked","Blocked",IF(B373='Dashboard'!$B$5,"Due today","Planned"))))</x:f>
        <x:v>Planned</x:v>
      </x:c>
      <x:c r="S373" s="26" t="str">
        <x:f>IF(I373="Accepted",IF(K373="","Add evidence",IF(O373="","Add reviewer",IF(P373="","Add accepted date",IF(AND(ISNUMBER(F373),COUNT(G373)=0),"Add actual quantity",IF(Q373=0,"Review target / date / dependencies","Complete"))))),IF(OR(I373="Blocked",I373="Deferred"),IF(L373="","Record blocker / reason",IF(M373="","Assign rescue owner",IF(N373="","Set recovery date","Recovery assigned"))),IF(B373&lt;'Dashboard'!$B$5,"Escalate and record recovery","Work to acceptance standard")))</x:f>
        <x:v>Work to acceptance standard</x:v>
      </x:c>
      <x:c r="T373" s="26" t="str">
        <x:v>T0067</x:v>
      </x:c>
      <x:c r="U373" s="26" t="str">
        <x:v>Planning pool addition 20 contacts today; quality gate wins over quota. Total sends&lt;=150/day;&gt;3% bounce affected mailbox held. No new cold enrollments on reduced/buffer days.</x:v>
      </x:c>
      <x:c r="V373" s="31" t="n">
        <x:v>3</x:v>
      </x:c>
      <x:c r="W373" s="26" t="str"/>
      <x:c r="X373" s="26" t="str">
        <x:v>DSI Reset PDF: lane responsibilities and dated runbook; dated allocation proposed for this tracker.</x:v>
      </x:c>
      <x:c r="Y373" s="30" t="n">
        <x:f>B373-WEEKDAY(B373,2)+1</x:f>
        <x:v>46363</x:v>
      </x:c>
      <x:c r="Z373" s="2" t="str">
        <x:v>goal</x:v>
      </x:c>
      <x:c r="AA373" s="2" t="n">
        <x:f>IF(Q373=1,IF(P373&gt;B373,1,0),0)</x:f>
        <x:v>0</x:v>
      </x:c>
      <x:c r="AB373" s="2" t="n">
        <x:f>IF(AND(Q373=1,P373&lt;='Dashboard'!$B$5),0,MAX(0,'Dashboard'!$B$5-B373))</x:f>
        <x:v>0</x:v>
      </x:c>
      <x:c r="AC373" s="28" t="str"/>
      <x:c r="AD373" s="2" t="str">
        <x:f>IF(AND(ISNUMBER(F373),ISNUMBER(G373)),G373-F373,"")</x:f>
      </x:c>
      <x:c r="AE373" s="2" t="n">
        <x:f>IF(AND(I373="Accepted",K373&lt;&gt;"",O373&lt;&gt;"",ISNUMBER(P373),P373&gt;0,P373&lt;='Dashboard'!$B$5,IF(ISNUMBER(F373),ISNUMBER(G373),TRUE),IF(ISNUMBER(F373),G373&gt;=F373,TRUE)),1,0)</x:f>
        <x:v>0</x:v>
      </x:c>
    </x:row>
    <x:row r="374" ht="58" customHeight="1">
      <x:c r="A374" s="2" t="str">
        <x:v>T0320</x:v>
      </x:c>
      <x:c r="B374" s="30" t="n">
        <x:v>46363</x:v>
      </x:c>
      <x:c r="C374" s="2" t="str">
        <x:v>Nova</x:v>
      </x:c>
      <x:c r="D374" s="2" t="str">
        <x:v>Conversion Orchestrator</x:v>
      </x:c>
      <x:c r="E374" s="26" t="str">
        <x:v>Coverage/SLA evidence; 2 call reviews; booked/held updates; next-step and trial handoffs. Log each unique qualified inquiry with practice type, decision-maker access, case volume, service need and readiness timing.</x:v>
      </x:c>
      <x:c r="F374" s="2" t="n">
        <x:v>1</x:v>
      </x:c>
      <x:c r="G374" s="20"/>
      <x:c r="H374" s="2" t="str">
        <x:v>accepted output</x:v>
      </x:c>
      <x:c r="I374" s="20" t="str">
        <x:v>Ready</x:v>
      </x:c>
      <x:c r="J374" s="2" t="str">
        <x:v>16:45</x:v>
      </x:c>
      <x:c r="K374" s="28" t="str"/>
      <x:c r="L374" s="28" t="str"/>
      <x:c r="M374" s="20" t="str"/>
      <x:c r="N374" s="33"/>
      <x:c r="O374" s="20" t="str"/>
      <x:c r="P374" s="33"/>
      <x:c r="Q374" s="2" t="n">
        <x:f>IF(AND(AE374=1,COUNTIFS($A$7:$A$500,"T0067",$AE$7:$AE$500,1)=1,COUNTIFS($A$7:$A$500,"T0055",$AE$7:$AE$500,1)=1),1,0)</x:f>
        <x:v>0</x:v>
      </x:c>
      <x:c r="R374" s="2" t="str">
        <x:f>IF(AND(Q374=1,P374&lt;='Dashboard'!$B$5),IF(P374&gt;B374,"Accepted late","Accepted"),IF(B374&lt;'Dashboard'!$B$5,"Overdue",IF(I374="Blocked","Blocked",IF(B374='Dashboard'!$B$5,"Due today","Planned"))))</x:f>
        <x:v>Planned</x:v>
      </x:c>
      <x:c r="S374" s="26" t="str">
        <x:f>IF(I374="Accepted",IF(K374="","Add evidence",IF(O374="","Add reviewer",IF(P374="","Add accepted date",IF(AND(ISNUMBER(F374),COUNT(G374)=0),"Add actual quantity",IF(Q374=0,"Review target / date / dependencies","Complete"))))),IF(OR(I374="Blocked",I374="Deferred"),IF(L374="","Record blocker / reason",IF(M374="","Assign rescue owner",IF(N374="","Set recovery date","Recovery assigned"))),IF(B374&lt;'Dashboard'!$B$5,"Escalate and record recovery","Work to acceptance standard")))</x:f>
        <x:v>Work to acceptance standard</x:v>
      </x:c>
      <x:c r="T374" s="26" t="str">
        <x:v>T0067</x:v>
      </x:c>
      <x:c r="U374" s="26" t="str">
        <x:v>Every eligible reply&lt;=15 min; positive call&lt;=60 min; no opportunity without next step; booked brief to Nic; trial logistics to Maseeha. Raw contacts, opens and accepts never count as qualified inquiries; deduplicate across channels.</x:v>
      </x:c>
      <x:c r="V374" s="31" t="n">
        <x:v>4</x:v>
      </x:c>
      <x:c r="W374" s="26" t="str"/>
      <x:c r="X374" s="26" t="str">
        <x:v>DSI Reset PDF: lane responsibilities and dated runbook; dated allocation proposed for this tracker.</x:v>
      </x:c>
      <x:c r="Y374" s="30" t="n">
        <x:f>B374-WEEKDAY(B374,2)+1</x:f>
        <x:v>46363</x:v>
      </x:c>
      <x:c r="Z374" s="2" t="str">
        <x:v>checklist</x:v>
      </x:c>
      <x:c r="AA374" s="2" t="n">
        <x:f>IF(Q374=1,IF(P374&gt;B374,1,0),0)</x:f>
        <x:v>0</x:v>
      </x:c>
      <x:c r="AB374" s="2" t="n">
        <x:f>IF(AND(Q374=1,P374&lt;='Dashboard'!$B$5),0,MAX(0,'Dashboard'!$B$5-B374))</x:f>
        <x:v>0</x:v>
      </x:c>
      <x:c r="AC374" s="28" t="str"/>
      <x:c r="AD374" s="2" t="str">
        <x:f>IF(AND(ISNUMBER(F374),ISNUMBER(G374)),G374-F374,"")</x:f>
      </x:c>
      <x:c r="AE374" s="2" t="n">
        <x:f>IF(AND(I374="Accepted",K374&lt;&gt;"",O374&lt;&gt;"",ISNUMBER(P374),P374&gt;0,P374&lt;='Dashboard'!$B$5,IF(ISNUMBER(F374),ISNUMBER(G374),TRUE),IF(ISNUMBER(F374),G374&gt;=F374,TRUE)),1,0)</x:f>
        <x:v>0</x:v>
      </x:c>
    </x:row>
    <x:row r="375" ht="58" customHeight="1">
      <x:c r="A375" s="2" t="str">
        <x:v>T0321</x:v>
      </x:c>
      <x:c r="B375" s="30" t="n">
        <x:v>46363</x:v>
      </x:c>
      <x:c r="C375" s="2" t="str">
        <x:v>Emman</x:v>
      </x:c>
      <x:c r="D375" s="2" t="str">
        <x:v>AI Build Orchestrator</x:v>
      </x:c>
      <x:c r="E375" s="26" t="str">
        <x:v>Health/retry log; one acceptance-backed build increment; updated change log</x:v>
      </x:c>
      <x:c r="F375" s="2" t="n">
        <x:v>1</x:v>
      </x:c>
      <x:c r="G375" s="20"/>
      <x:c r="H375" s="2" t="str">
        <x:v>accepted output</x:v>
      </x:c>
      <x:c r="I375" s="20" t="str">
        <x:v>Ready</x:v>
      </x:c>
      <x:c r="J375" s="2" t="str">
        <x:v>16:45</x:v>
      </x:c>
      <x:c r="K375" s="28" t="str"/>
      <x:c r="L375" s="28" t="str"/>
      <x:c r="M375" s="20" t="str"/>
      <x:c r="N375" s="33"/>
      <x:c r="O375" s="20" t="str"/>
      <x:c r="P375" s="33"/>
      <x:c r="Q375" s="2" t="n">
        <x:f>IF(AND(AE375=1,COUNTIFS($A$7:$A$500,"T0067",$AE$7:$AE$500,1)=1,COUNTIFS($A$7:$A$500,"T0055",$AE$7:$AE$500,1)=1),1,0)</x:f>
        <x:v>0</x:v>
      </x:c>
      <x:c r="R375" s="2" t="str">
        <x:f>IF(AND(Q375=1,P375&lt;='Dashboard'!$B$5),IF(P375&gt;B375,"Accepted late","Accepted"),IF(B375&lt;'Dashboard'!$B$5,"Overdue",IF(I375="Blocked","Blocked",IF(B375='Dashboard'!$B$5,"Due today","Planned"))))</x:f>
        <x:v>Planned</x:v>
      </x:c>
      <x:c r="S375" s="26" t="str">
        <x:f>IF(I375="Accepted",IF(K375="","Add evidence",IF(O375="","Add reviewer",IF(P375="","Add accepted date",IF(AND(ISNUMBER(F375),COUNT(G375)=0),"Add actual quantity",IF(Q375=0,"Review target / date / dependencies","Complete"))))),IF(OR(I375="Blocked",I375="Deferred"),IF(L375="","Record blocker / reason",IF(M375="","Assign rescue owner",IF(N375="","Set recovery date","Recovery assigned"))),IF(B375&lt;'Dashboard'!$B$5,"Escalate and record recovery","Work to acceptance standard")))</x:f>
        <x:v>Work to acceptance standard</x:v>
      </x:c>
      <x:c r="T375" s="26" t="str">
        <x:v>T0067</x:v>
      </x:c>
      <x:c r="U375" s="26" t="str">
        <x:v>Fix a failing live agent beforestarting the next build. If an agent is still not working 48 hours after its due date, activate the manual SOP. Roll back a live failure within 1 hour. Release build reserve when no approved work remains.</x:v>
      </x:c>
      <x:c r="V375" s="31" t="n">
        <x:v>4</x:v>
      </x:c>
      <x:c r="W375" s="26" t="str"/>
      <x:c r="X375" s="26" t="str">
        <x:v>DSI Reset PDF: lane responsibilities and dated runbook; dated allocation proposed for this tracker.</x:v>
      </x:c>
      <x:c r="Y375" s="30" t="n">
        <x:f>B375-WEEKDAY(B375,2)+1</x:f>
        <x:v>46363</x:v>
      </x:c>
      <x:c r="Z375" s="2" t="str">
        <x:v>checklist</x:v>
      </x:c>
      <x:c r="AA375" s="2" t="n">
        <x:f>IF(Q375=1,IF(P375&gt;B375,1,0),0)</x:f>
        <x:v>0</x:v>
      </x:c>
      <x:c r="AB375" s="2" t="n">
        <x:f>IF(AND(Q375=1,P375&lt;='Dashboard'!$B$5),0,MAX(0,'Dashboard'!$B$5-B375))</x:f>
        <x:v>0</x:v>
      </x:c>
      <x:c r="AC375" s="28" t="str"/>
      <x:c r="AD375" s="2" t="str">
        <x:f>IF(AND(ISNUMBER(F375),ISNUMBER(G375)),G375-F375,"")</x:f>
      </x:c>
      <x:c r="AE375" s="2" t="n">
        <x:f>IF(AND(I375="Accepted",K375&lt;&gt;"",O375&lt;&gt;"",ISNUMBER(P375),P375&gt;0,P375&lt;='Dashboard'!$B$5,IF(ISNUMBER(F375),ISNUMBER(G375),TRUE),IF(ISNUMBER(F375),G375&gt;=F375,TRUE)),1,0)</x:f>
        <x:v>0</x:v>
      </x:c>
    </x:row>
    <x:row r="376" ht="58" customHeight="1">
      <x:c r="A376" s="2" t="str">
        <x:v>T0322</x:v>
      </x:c>
      <x:c r="B376" s="30" t="n">
        <x:v>46363</x:v>
      </x:c>
      <x:c r="C376" s="2" t="str">
        <x:v>Ludwig</x:v>
      </x:c>
      <x:c r="D376" s="2" t="str">
        <x:v>Integration Engineer</x:v>
      </x:c>
      <x:c r="E376" s="26" t="str">
        <x:v>Webhook/error/dead-letter check; top assigned integration ticket or verified no-ticket note</x:v>
      </x:c>
      <x:c r="F376" s="2" t="n">
        <x:v>1</x:v>
      </x:c>
      <x:c r="G376" s="20"/>
      <x:c r="H376" s="2" t="str">
        <x:v>accepted output</x:v>
      </x:c>
      <x:c r="I376" s="20" t="str">
        <x:v>Ready</x:v>
      </x:c>
      <x:c r="J376" s="2" t="str">
        <x:v>16:45</x:v>
      </x:c>
      <x:c r="K376" s="28" t="str"/>
      <x:c r="L376" s="28" t="str"/>
      <x:c r="M376" s="20" t="str"/>
      <x:c r="N376" s="33"/>
      <x:c r="O376" s="20" t="str"/>
      <x:c r="P376" s="33"/>
      <x:c r="Q376" s="2" t="n">
        <x:f>IF(AND(AE376=1,COUNTIFS($A$7:$A$500,"T0067",$AE$7:$AE$500,1)=1,COUNTIFS($A$7:$A$500,"T0055",$AE$7:$AE$500,1)=1),1,0)</x:f>
        <x:v>0</x:v>
      </x:c>
      <x:c r="R376" s="2" t="str">
        <x:f>IF(AND(Q376=1,P376&lt;='Dashboard'!$B$5),IF(P376&gt;B376,"Accepted late","Accepted"),IF(B376&lt;'Dashboard'!$B$5,"Overdue",IF(I376="Blocked","Blocked",IF(B376='Dashboard'!$B$5,"Due today","Planned"))))</x:f>
        <x:v>Planned</x:v>
      </x:c>
      <x:c r="S376" s="26" t="str">
        <x:f>IF(I376="Accepted",IF(K376="","Add evidence",IF(O376="","Add reviewer",IF(P376="","Add accepted date",IF(AND(ISNUMBER(F376),COUNT(G376)=0),"Add actual quantity",IF(Q376=0,"Review target / date / dependencies","Complete"))))),IF(OR(I376="Blocked",I376="Deferred"),IF(L376="","Record blocker / reason",IF(M376="","Assign rescue owner",IF(N376="","Set recovery date","Recovery assigned"))),IF(B376&lt;'Dashboard'!$B$5,"Escalate and record recovery","Work to acceptance standard")))</x:f>
        <x:v>Work to acceptance standard</x:v>
      </x:c>
      <x:c r="T376" s="26" t="str">
        <x:v>T0067</x:v>
      </x:c>
      <x:c r="U376" s="26" t="str">
        <x:v>Only Emman’s priority queue; 100% test capture; runbook/retry/rollback evidence. If no fault/ticket, release reserve; do not invent work.</x:v>
      </x:c>
      <x:c r="V376" s="31" t="n">
        <x:v>1.6</x:v>
      </x:c>
      <x:c r="W376" s="26" t="str"/>
      <x:c r="X376" s="26" t="str">
        <x:v>DSI Reset PDF: lane responsibilities and dated runbook; dated allocation proposed for this tracker.</x:v>
      </x:c>
      <x:c r="Y376" s="30" t="n">
        <x:f>B376-WEEKDAY(B376,2)+1</x:f>
        <x:v>46363</x:v>
      </x:c>
      <x:c r="Z376" s="2" t="str">
        <x:v>checklist</x:v>
      </x:c>
      <x:c r="AA376" s="2" t="n">
        <x:f>IF(Q376=1,IF(P376&gt;B376,1,0),0)</x:f>
        <x:v>0</x:v>
      </x:c>
      <x:c r="AB376" s="2" t="n">
        <x:f>IF(AND(Q376=1,P376&lt;='Dashboard'!$B$5),0,MAX(0,'Dashboard'!$B$5-B376))</x:f>
        <x:v>0</x:v>
      </x:c>
      <x:c r="AC376" s="28" t="str"/>
      <x:c r="AD376" s="2" t="str">
        <x:f>IF(AND(ISNUMBER(F376),ISNUMBER(G376)),G376-F376,"")</x:f>
      </x:c>
      <x:c r="AE376" s="2" t="n">
        <x:f>IF(AND(I376="Accepted",K376&lt;&gt;"",O376&lt;&gt;"",ISNUMBER(P376),P376&gt;0,P376&lt;='Dashboard'!$B$5,IF(ISNUMBER(F376),ISNUMBER(G376),TRUE),IF(ISNUMBER(F376),G376&gt;=F376,TRUE)),1,0)</x:f>
        <x:v>0</x:v>
      </x:c>
    </x:row>
    <x:row r="377" ht="58" customHeight="1">
      <x:c r="A377" s="2" t="str">
        <x:v>T0323</x:v>
      </x:c>
      <x:c r="B377" s="30" t="n">
        <x:v>46363</x:v>
      </x:c>
      <x:c r="C377" s="2" t="str">
        <x:v>Alvin</x:v>
      </x:c>
      <x:c r="D377" s="2" t="str">
        <x:v>CQL/GHL Implementation</x:v>
      </x:c>
      <x:c r="E377" s="26" t="str">
        <x:v>Stage/calendar/reminder QA; due workflow fixes</x:v>
      </x:c>
      <x:c r="F377" s="2" t="n">
        <x:v>1</x:v>
      </x:c>
      <x:c r="G377" s="20"/>
      <x:c r="H377" s="2" t="str">
        <x:v>accepted output</x:v>
      </x:c>
      <x:c r="I377" s="20" t="str">
        <x:v>Ready</x:v>
      </x:c>
      <x:c r="J377" s="2" t="str">
        <x:v>16:45</x:v>
      </x:c>
      <x:c r="K377" s="28" t="str"/>
      <x:c r="L377" s="28" t="str"/>
      <x:c r="M377" s="20" t="str"/>
      <x:c r="N377" s="33"/>
      <x:c r="O377" s="20" t="str"/>
      <x:c r="P377" s="33"/>
      <x:c r="Q377" s="2" t="n">
        <x:f>IF(AND(AE377=1,COUNTIFS($A$7:$A$500,"T0067",$AE$7:$AE$500,1)=1,COUNTIFS($A$7:$A$500,"T0055",$AE$7:$AE$500,1)=1),1,0)</x:f>
        <x:v>0</x:v>
      </x:c>
      <x:c r="R377" s="2" t="str">
        <x:f>IF(AND(Q377=1,P377&lt;='Dashboard'!$B$5),IF(P377&gt;B377,"Accepted late","Accepted"),IF(B377&lt;'Dashboard'!$B$5,"Overdue",IF(I377="Blocked","Blocked",IF(B377='Dashboard'!$B$5,"Due today","Planned"))))</x:f>
        <x:v>Planned</x:v>
      </x:c>
      <x:c r="S377" s="26" t="str">
        <x:f>IF(I377="Accepted",IF(K377="","Add evidence",IF(O377="","Add reviewer",IF(P377="","Add accepted date",IF(AND(ISNUMBER(F377),COUNT(G377)=0),"Add actual quantity",IF(Q377=0,"Review target / date / dependencies","Complete"))))),IF(OR(I377="Blocked",I377="Deferred"),IF(L377="","Record blocker / reason",IF(M377="","Assign rescue owner",IF(N377="","Set recovery date","Recovery assigned"))),IF(B377&lt;'Dashboard'!$B$5,"Escalate and record recovery","Work to acceptance standard")))</x:f>
        <x:v>Work to acceptance standard</x:v>
      </x:c>
      <x:c r="T377" s="26" t="str">
        <x:v>T0067</x:v>
      </x:c>
      <x:c r="U377" s="26" t="str">
        <x:v>No-show task&lt;=10 min; form/source fields correct; finish critical CRM defect same day. Facebook mirrors exact approved post; Instagram requires permissioned image.</x:v>
      </x:c>
      <x:c r="V377" s="31" t="n">
        <x:v>2</x:v>
      </x:c>
      <x:c r="W377" s="26" t="str"/>
      <x:c r="X377" s="26" t="str">
        <x:v>DSI Reset PDF: lane responsibilities and dated runbook; dated allocation proposed for this tracker.</x:v>
      </x:c>
      <x:c r="Y377" s="30" t="n">
        <x:f>B377-WEEKDAY(B377,2)+1</x:f>
        <x:v>46363</x:v>
      </x:c>
      <x:c r="Z377" s="2" t="str">
        <x:v>checklist</x:v>
      </x:c>
      <x:c r="AA377" s="2" t="n">
        <x:f>IF(Q377=1,IF(P377&gt;B377,1,0),0)</x:f>
        <x:v>0</x:v>
      </x:c>
      <x:c r="AB377" s="2" t="n">
        <x:f>IF(AND(Q377=1,P377&lt;='Dashboard'!$B$5),0,MAX(0,'Dashboard'!$B$5-B377))</x:f>
        <x:v>0</x:v>
      </x:c>
      <x:c r="AC377" s="28" t="str"/>
      <x:c r="AD377" s="2" t="str">
        <x:f>IF(AND(ISNUMBER(F377),ISNUMBER(G377)),G377-F377,"")</x:f>
      </x:c>
      <x:c r="AE377" s="2" t="n">
        <x:f>IF(AND(I377="Accepted",K377&lt;&gt;"",O377&lt;&gt;"",ISNUMBER(P377),P377&gt;0,P377&lt;='Dashboard'!$B$5,IF(ISNUMBER(F377),ISNUMBER(G377),TRUE),IF(ISNUMBER(F377),G377&gt;=F377,TRUE)),1,0)</x:f>
        <x:v>0</x:v>
      </x:c>
    </x:row>
    <x:row r="378" ht="58" customHeight="1">
      <x:c r="A378" s="2" t="str">
        <x:v>T0324</x:v>
      </x:c>
      <x:c r="B378" s="30" t="n">
        <x:v>46363</x:v>
      </x:c>
      <x:c r="C378" s="2" t="str">
        <x:v>Brian</x:v>
      </x:c>
      <x:c r="D378" s="2" t="str">
        <x:v>Web and Tracking</x:v>
      </x:c>
      <x:c r="E378" s="26" t="str">
        <x:v>One health-check result; at most one weekly change ticket or no-ticket note</x:v>
      </x:c>
      <x:c r="F378" s="2" t="n">
        <x:v>1</x:v>
      </x:c>
      <x:c r="G378" s="20"/>
      <x:c r="H378" s="2" t="str">
        <x:v>accepted output</x:v>
      </x:c>
      <x:c r="I378" s="20" t="str">
        <x:v>Ready</x:v>
      </x:c>
      <x:c r="J378" s="2" t="str">
        <x:v>16:45</x:v>
      </x:c>
      <x:c r="K378" s="28" t="str"/>
      <x:c r="L378" s="28" t="str"/>
      <x:c r="M378" s="20" t="str"/>
      <x:c r="N378" s="33"/>
      <x:c r="O378" s="20" t="str"/>
      <x:c r="P378" s="33"/>
      <x:c r="Q378" s="2" t="n">
        <x:f>IF(AND(AE378=1,COUNTIFS($A$7:$A$500,"T0067",$AE$7:$AE$500,1)=1,COUNTIFS($A$7:$A$500,"T0055",$AE$7:$AE$500,1)=1),1,0)</x:f>
        <x:v>0</x:v>
      </x:c>
      <x:c r="R378" s="2" t="str">
        <x:f>IF(AND(Q378=1,P378&lt;='Dashboard'!$B$5),IF(P378&gt;B378,"Accepted late","Accepted"),IF(B378&lt;'Dashboard'!$B$5,"Overdue",IF(I378="Blocked","Blocked",IF(B378='Dashboard'!$B$5,"Due today","Planned"))))</x:f>
        <x:v>Planned</x:v>
      </x:c>
      <x:c r="S378" s="26" t="str">
        <x:f>IF(I378="Accepted",IF(K378="","Add evidence",IF(O378="","Add reviewer",IF(P378="","Add accepted date",IF(AND(ISNUMBER(F378),COUNT(G378)=0),"Add actual quantity",IF(Q378=0,"Review target / date / dependencies","Complete"))))),IF(OR(I378="Blocked",I378="Deferred"),IF(L378="","Record blocker / reason",IF(M378="","Assign rescue owner",IF(N378="","Set recovery date","Recovery assigned"))),IF(B378&lt;'Dashboard'!$B$5,"Escalate and record recovery","Work to acceptance standard")))</x:f>
        <x:v>Work to acceptance standard</x:v>
      </x:c>
      <x:c r="T378" s="26" t="str">
        <x:v>T0067</x:v>
      </x:c>
      <x:c r="U378" s="26" t="str">
        <x:v>Form to CQL&lt;1 min; approved copy unchanged; no work manufactured if healthy; ongoing reserve&lt;=2 h/week.</x:v>
      </x:c>
      <x:c r="V378" s="31" t="n">
        <x:v>0.4</x:v>
      </x:c>
      <x:c r="W378" s="26" t="str"/>
      <x:c r="X378" s="26" t="str">
        <x:v>DSI Reset PDF: lane responsibilities and dated runbook; dated allocation proposed for this tracker.</x:v>
      </x:c>
      <x:c r="Y378" s="30" t="n">
        <x:f>B378-WEEKDAY(B378,2)+1</x:f>
        <x:v>46363</x:v>
      </x:c>
      <x:c r="Z378" s="2" t="str">
        <x:v>checklist</x:v>
      </x:c>
      <x:c r="AA378" s="2" t="n">
        <x:f>IF(Q378=1,IF(P378&gt;B378,1,0),0)</x:f>
        <x:v>0</x:v>
      </x:c>
      <x:c r="AB378" s="2" t="n">
        <x:f>IF(AND(Q378=1,P378&lt;='Dashboard'!$B$5),0,MAX(0,'Dashboard'!$B$5-B378))</x:f>
        <x:v>0</x:v>
      </x:c>
      <x:c r="AC378" s="28" t="str"/>
      <x:c r="AD378" s="2" t="str">
        <x:f>IF(AND(ISNUMBER(F378),ISNUMBER(G378)),G378-F378,"")</x:f>
      </x:c>
      <x:c r="AE378" s="2" t="n">
        <x:f>IF(AND(I378="Accepted",K378&lt;&gt;"",O378&lt;&gt;"",ISNUMBER(P378),P378&gt;0,P378&lt;='Dashboard'!$B$5,IF(ISNUMBER(F378),ISNUMBER(G378),TRUE),IF(ISNUMBER(F378),G378&gt;=F378,TRUE)),1,0)</x:f>
        <x:v>0</x:v>
      </x:c>
    </x:row>
    <x:row r="379" ht="58" customHeight="1">
      <x:c r="A379" s="2" t="str">
        <x:v>T0325</x:v>
      </x:c>
      <x:c r="B379" s="30" t="n">
        <x:v>46363</x:v>
      </x:c>
      <x:c r="C379" s="2" t="str">
        <x:v>Dexter</x:v>
      </x:c>
      <x:c r="D379" s="2" t="str">
        <x:v>LinkedIn Execution</x:v>
      </x:c>
      <x:c r="E379" s="26" t="str">
        <x:v>CQL logged DMs/accepts; eligible requests; referred interested replies; approved post evidence</x:v>
      </x:c>
      <x:c r="F379" s="2" t="n">
        <x:v>25</x:v>
      </x:c>
      <x:c r="G379" s="20"/>
      <x:c r="H379" s="2" t="str">
        <x:v>new request working target; eligible pool required</x:v>
      </x:c>
      <x:c r="I379" s="20" t="str">
        <x:v>Ready</x:v>
      </x:c>
      <x:c r="J379" s="2" t="str">
        <x:v>16:45</x:v>
      </x:c>
      <x:c r="K379" s="28" t="str"/>
      <x:c r="L379" s="28" t="str"/>
      <x:c r="M379" s="20" t="str"/>
      <x:c r="N379" s="33"/>
      <x:c r="O379" s="20" t="str"/>
      <x:c r="P379" s="33"/>
      <x:c r="Q379" s="2" t="n">
        <x:f>IF(AND(AE379=1,COUNTIFS($A$7:$A$500,"T0067",$AE$7:$AE$500,1)=1,COUNTIFS($A$7:$A$500,"T0055",$AE$7:$AE$500,1)=1),1,0)</x:f>
        <x:v>0</x:v>
      </x:c>
      <x:c r="R379" s="2" t="str">
        <x:f>IF(AND(Q379=1,P379&lt;='Dashboard'!$B$5),IF(P379&gt;B379,"Accepted late","Accepted"),IF(B379&lt;'Dashboard'!$B$5,"Overdue",IF(I379="Blocked","Blocked",IF(B379='Dashboard'!$B$5,"Due today","Planned"))))</x:f>
        <x:v>Planned</x:v>
      </x:c>
      <x:c r="S379" s="26" t="str">
        <x:f>IF(I379="Accepted",IF(K379="","Add evidence",IF(O379="","Add reviewer",IF(P379="","Add accepted date",IF(AND(ISNUMBER(F379),COUNT(G379)=0),"Add actual quantity",IF(Q379=0,"Review target / date / dependencies","Complete"))))),IF(OR(I379="Blocked",I379="Deferred"),IF(L379="","Record blocker / reason",IF(M379="","Assign rescue owner",IF(N379="","Set recovery date","Recovery assigned"))),IF(B379&lt;'Dashboard'!$B$5,"Escalate and record recovery","Work to acceptance standard")))</x:f>
        <x:v>Work to acceptance standard</x:v>
      </x:c>
      <x:c r="T379" s="26" t="str">
        <x:v>T0067</x:v>
      </x:c>
      <x:c r="U379"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79" s="31" t="n">
        <x:v>3</x:v>
      </x:c>
      <x:c r="W379" s="26" t="str"/>
      <x:c r="X379" s="26" t="str">
        <x:v>DSI Reset PDF: lane responsibilities and dated runbook; dated allocation proposed for this tracker.</x:v>
      </x:c>
      <x:c r="Y379" s="30" t="n">
        <x:f>B379-WEEKDAY(B379,2)+1</x:f>
        <x:v>46363</x:v>
      </x:c>
      <x:c r="Z379" s="2" t="str">
        <x:v>capacity</x:v>
      </x:c>
      <x:c r="AA379" s="2" t="n">
        <x:f>IF(Q379=1,IF(P379&gt;B379,1,0),0)</x:f>
        <x:v>0</x:v>
      </x:c>
      <x:c r="AB379" s="2" t="n">
        <x:f>IF(AND(Q379=1,P379&lt;='Dashboard'!$B$5),0,MAX(0,'Dashboard'!$B$5-B379))</x:f>
        <x:v>0</x:v>
      </x:c>
      <x:c r="AC379" s="28" t="str"/>
      <x:c r="AD379" s="2" t="str">
        <x:f>IF(AND(ISNUMBER(F379),ISNUMBER(G379)),G379-F379,"")</x:f>
      </x:c>
      <x:c r="AE379" s="2" t="n">
        <x:f>IF(AND(I379="Accepted",K379&lt;&gt;"",O379&lt;&gt;"",ISNUMBER(P379),P379&gt;0,P379&lt;='Dashboard'!$B$5,IF(ISNUMBER(F379),ISNUMBER(G379),TRUE),IF(ISNUMBER(F379),OR(G379&gt;=F379,AC379&lt;&gt;""),TRUE)),1,0)</x:f>
        <x:v>0</x:v>
      </x:c>
    </x:row>
    <x:row r="380" ht="58" customHeight="1">
      <x:c r="A380" s="2" t="str">
        <x:v>T0326</x:v>
      </x:c>
      <x:c r="B380" s="30" t="n">
        <x:v>46363</x:v>
      </x:c>
      <x:c r="C380" s="2" t="str">
        <x:v>Setter 1</x:v>
      </x:c>
      <x:c r="D380" s="2" t="str">
        <x:v>Reply and Phone Setter</x:v>
      </x:c>
      <x:c r="E380" s="26" t="str">
        <x:v>SLA/call outcome log; bookings and next steps; handoff to Nova</x:v>
      </x:c>
      <x:c r="F380" s="2" t="n">
        <x:v>50</x:v>
      </x:c>
      <x:c r="G380" s="20"/>
      <x:c r="H380" s="2" t="str">
        <x:v>dial working target; inbound SLA takes priority</x:v>
      </x:c>
      <x:c r="I380" s="20" t="str">
        <x:v>Ready</x:v>
      </x:c>
      <x:c r="J380" s="2" t="str">
        <x:v>16:45</x:v>
      </x:c>
      <x:c r="K380" s="28" t="str"/>
      <x:c r="L380" s="28" t="str"/>
      <x:c r="M380" s="20" t="str"/>
      <x:c r="N380" s="33"/>
      <x:c r="O380" s="20" t="str"/>
      <x:c r="P380" s="33"/>
      <x:c r="Q380" s="2" t="n">
        <x:f>IF(AND(AE380=1,COUNTIFS($A$7:$A$500,"T0013",$AE$7:$AE$500,1)=1,COUNTIFS($A$7:$A$500,"T0055",$AE$7:$AE$500,1)=1),1,0)</x:f>
        <x:v>0</x:v>
      </x:c>
      <x:c r="R380" s="2" t="str">
        <x:f>IF(AND(Q380=1,P380&lt;='Dashboard'!$B$5),IF(P380&gt;B380,"Accepted late","Accepted"),IF(B380&lt;'Dashboard'!$B$5,"Overdue",IF(I380="Blocked","Blocked",IF(B380='Dashboard'!$B$5,"Due today","Planned"))))</x:f>
        <x:v>Planned</x:v>
      </x:c>
      <x:c r="S380" s="26" t="str">
        <x:f>IF(I380="Accepted",IF(K380="","Add evidence",IF(O380="","Add reviewer",IF(P380="","Add accepted date",IF(AND(ISNUMBER(F380),COUNT(G380)=0),"Add actual quantity",IF(Q380=0,"Review target / date / dependencies","Complete"))))),IF(OR(I380="Blocked",I380="Deferred"),IF(L380="","Record blocker / reason",IF(M380="","Assign rescue owner",IF(N380="","Set recovery date","Recovery assigned"))),IF(B380&lt;'Dashboard'!$B$5,"Escalate and record recovery","Work to acceptance standard")))</x:f>
        <x:v>Work to acceptance standard</x:v>
      </x:c>
      <x:c r="T380" s="26" t="str">
        <x:v>T0013; T0055</x:v>
      </x:c>
      <x:c r="U380"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80" s="31" t="n">
        <x:v>7.5</x:v>
      </x:c>
      <x:c r="W380" s="26" t="str"/>
      <x:c r="X380" s="26" t="str">
        <x:v>DSI Reset PDF: lane responsibilities and dated runbook; dated allocation proposed for this tracker.</x:v>
      </x:c>
      <x:c r="Y380" s="30" t="n">
        <x:f>B380-WEEKDAY(B380,2)+1</x:f>
        <x:v>46363</x:v>
      </x:c>
      <x:c r="Z380" s="2" t="str">
        <x:v>capacity</x:v>
      </x:c>
      <x:c r="AA380" s="2" t="n">
        <x:f>IF(Q380=1,IF(P380&gt;B380,1,0),0)</x:f>
        <x:v>0</x:v>
      </x:c>
      <x:c r="AB380" s="2" t="n">
        <x:f>IF(AND(Q380=1,P380&lt;='Dashboard'!$B$5),0,MAX(0,'Dashboard'!$B$5-B380))</x:f>
        <x:v>0</x:v>
      </x:c>
      <x:c r="AC380" s="28" t="str"/>
      <x:c r="AD380" s="2" t="str">
        <x:f>IF(AND(ISNUMBER(F380),ISNUMBER(G380)),G380-F380,"")</x:f>
      </x:c>
      <x:c r="AE380" s="2" t="n">
        <x:f>IF(AND(I380="Accepted",K380&lt;&gt;"",O380&lt;&gt;"",ISNUMBER(P380),P380&gt;0,P380&lt;='Dashboard'!$B$5,IF(ISNUMBER(F380),ISNUMBER(G380),TRUE),IF(ISNUMBER(F380),OR(G380&gt;=F380,AC380&lt;&gt;""),TRUE)),1,0)</x:f>
        <x:v>0</x:v>
      </x:c>
    </x:row>
    <x:row r="381" ht="58" customHeight="1">
      <x:c r="A381" s="2" t="str">
        <x:v>T0327</x:v>
      </x:c>
      <x:c r="B381" s="30" t="n">
        <x:v>46363</x:v>
      </x:c>
      <x:c r="C381" s="2" t="str">
        <x:v>Setter 2</x:v>
      </x:c>
      <x:c r="D381" s="2" t="str">
        <x:v>Reply and Phone Setter</x:v>
      </x:c>
      <x:c r="E381" s="26" t="str">
        <x:v>SLA/call outcome log; bookings and next steps; handoff to Nova</x:v>
      </x:c>
      <x:c r="F381" s="2" t="n">
        <x:v>50</x:v>
      </x:c>
      <x:c r="G381" s="20"/>
      <x:c r="H381" s="2" t="str">
        <x:v>dial working target; inbound SLA takes priority</x:v>
      </x:c>
      <x:c r="I381" s="20" t="str">
        <x:v>Ready</x:v>
      </x:c>
      <x:c r="J381" s="2" t="str">
        <x:v>16:45</x:v>
      </x:c>
      <x:c r="K381" s="28" t="str"/>
      <x:c r="L381" s="28" t="str"/>
      <x:c r="M381" s="20" t="str"/>
      <x:c r="N381" s="33"/>
      <x:c r="O381" s="20" t="str"/>
      <x:c r="P381" s="33"/>
      <x:c r="Q381" s="2" t="n">
        <x:f>IF(AND(AE381=1,COUNTIFS($A$7:$A$500,"T0013",$AE$7:$AE$500,1)=1,COUNTIFS($A$7:$A$500,"T0055",$AE$7:$AE$500,1)=1),1,0)</x:f>
        <x:v>0</x:v>
      </x:c>
      <x:c r="R381" s="2" t="str">
        <x:f>IF(AND(Q381=1,P381&lt;='Dashboard'!$B$5),IF(P381&gt;B381,"Accepted late","Accepted"),IF(B381&lt;'Dashboard'!$B$5,"Overdue",IF(I381="Blocked","Blocked",IF(B381='Dashboard'!$B$5,"Due today","Planned"))))</x:f>
        <x:v>Planned</x:v>
      </x:c>
      <x:c r="S381" s="26" t="str">
        <x:f>IF(I381="Accepted",IF(K381="","Add evidence",IF(O381="","Add reviewer",IF(P381="","Add accepted date",IF(AND(ISNUMBER(F381),COUNT(G381)=0),"Add actual quantity",IF(Q381=0,"Review target / date / dependencies","Complete"))))),IF(OR(I381="Blocked",I381="Deferred"),IF(L381="","Record blocker / reason",IF(M381="","Assign rescue owner",IF(N381="","Set recovery date","Recovery assigned"))),IF(B381&lt;'Dashboard'!$B$5,"Escalate and record recovery","Work to acceptance standard")))</x:f>
        <x:v>Work to acceptance standard</x:v>
      </x:c>
      <x:c r="T381" s="26" t="str">
        <x:v>T0013; T0055</x:v>
      </x:c>
      <x:c r="U381"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81" s="31" t="n">
        <x:v>7.5</x:v>
      </x:c>
      <x:c r="W381" s="26" t="str"/>
      <x:c r="X381" s="26" t="str">
        <x:v>DSI Reset PDF: lane responsibilities and dated runbook; dated allocation proposed for this tracker.</x:v>
      </x:c>
      <x:c r="Y381" s="30" t="n">
        <x:f>B381-WEEKDAY(B381,2)+1</x:f>
        <x:v>46363</x:v>
      </x:c>
      <x:c r="Z381" s="2" t="str">
        <x:v>capacity</x:v>
      </x:c>
      <x:c r="AA381" s="2" t="n">
        <x:f>IF(Q381=1,IF(P381&gt;B381,1,0),0)</x:f>
        <x:v>0</x:v>
      </x:c>
      <x:c r="AB381" s="2" t="n">
        <x:f>IF(AND(Q381=1,P381&lt;='Dashboard'!$B$5),0,MAX(0,'Dashboard'!$B$5-B381))</x:f>
        <x:v>0</x:v>
      </x:c>
      <x:c r="AC381" s="28" t="str"/>
      <x:c r="AD381" s="2" t="str">
        <x:f>IF(AND(ISNUMBER(F381),ISNUMBER(G381)),G381-F381,"")</x:f>
      </x:c>
      <x:c r="AE381" s="2" t="n">
        <x:f>IF(AND(I381="Accepted",K381&lt;&gt;"",O381&lt;&gt;"",ISNUMBER(P381),P381&gt;0,P381&lt;='Dashboard'!$B$5,IF(ISNUMBER(F381),ISNUMBER(G381),TRUE),IF(ISNUMBER(F381),OR(G381&gt;=F381,AC381&lt;&gt;""),TRUE)),1,0)</x:f>
        <x:v>0</x:v>
      </x:c>
    </x:row>
    <x:row r="382" ht="58" customHeight="1">
      <x:c r="A382" s="2" t="str">
        <x:v>T0477</x:v>
      </x:c>
      <x:c r="B382" s="30" t="n">
        <x:v>46363</x:v>
      </x:c>
      <x:c r="C382" s="2" t="str">
        <x:v>Nic</x:v>
      </x:c>
      <x:c r="D382" s="2" t="str">
        <x:v>Client dependency</x:v>
      </x:c>
      <x:c r="E382" s="26" t="str">
        <x:v>Call outcome/next step for every appointment due; first-case decisions</x:v>
      </x:c>
      <x:c r="F382" s="2" t="str"/>
      <x:c r="G382" s="20"/>
      <x:c r="H382" s="2" t="str">
        <x:v>all due appointments</x:v>
      </x:c>
      <x:c r="I382" s="20" t="str">
        <x:v>Ready</x:v>
      </x:c>
      <x:c r="J382" s="2" t="str">
        <x:v>16:45</x:v>
      </x:c>
      <x:c r="K382" s="28" t="str"/>
      <x:c r="L382" s="28" t="str"/>
      <x:c r="M382" s="20" t="str"/>
      <x:c r="N382" s="33"/>
      <x:c r="O382" s="20" t="str"/>
      <x:c r="P382" s="33"/>
      <x:c r="Q382" s="2" t="n">
        <x:f>IF(AND(AE382=1,COUNTIFS($A$7:$A$500,"T0028",$AE$7:$AE$500,1)=1),1,0)</x:f>
        <x:v>0</x:v>
      </x:c>
      <x:c r="R382" s="2" t="str">
        <x:f>IF(AND(Q382=1,P382&lt;='Dashboard'!$B$5),IF(P382&gt;B382,"Accepted late","Accepted"),IF(B382&lt;'Dashboard'!$B$5,"Overdue",IF(I382="Blocked","Blocked",IF(B382='Dashboard'!$B$5,"Due today","Planned"))))</x:f>
        <x:v>Planned</x:v>
      </x:c>
      <x:c r="S382" s="26" t="str">
        <x:f>IF(I382="Accepted",IF(K382="","Add evidence",IF(O382="","Add reviewer",IF(P382="","Add accepted date",IF(AND(ISNUMBER(F382),COUNT(G382)=0),"Add actual quantity",IF(Q382=0,"Review target / date / dependencies","Complete"))))),IF(OR(I382="Blocked",I382="Deferred"),IF(L382="","Record blocker / reason",IF(M382="","Assign rescue owner",IF(N382="","Set recovery date","Recovery assigned"))),IF(B382&lt;'Dashboard'!$B$5,"Escalate and record recovery","Work to acceptance standard")))</x:f>
        <x:v>Work to acceptance standard</x:v>
      </x:c>
      <x:c r="T382" s="26" t="str">
        <x:v>T0028</x:v>
      </x:c>
      <x:c r="U382" s="26" t="str">
        <x:v>Demand-linked: work actual approved calendar; setter brief present; outcome logged same day. No calls scheduled is N/A with calendar evidence.</x:v>
      </x:c>
      <x:c r="V382" s="31" t="n">
        <x:v>0.5</x:v>
      </x:c>
      <x:c r="W382" s="26" t="str"/>
      <x:c r="X382" s="26" t="str">
        <x:v>DSI Reset PDF: lane responsibilities and dated runbook; dated allocation proposed for this tracker.</x:v>
      </x:c>
      <x:c r="Y382" s="30" t="n">
        <x:f>B382-WEEKDAY(B382,2)+1</x:f>
        <x:v>46363</x:v>
      </x:c>
      <x:c r="Z382" s="2" t="str">
        <x:v>demand</x:v>
      </x:c>
      <x:c r="AA382" s="2" t="n">
        <x:f>IF(Q382=1,IF(P382&gt;B382,1,0),0)</x:f>
        <x:v>0</x:v>
      </x:c>
      <x:c r="AB382" s="2" t="n">
        <x:f>IF(AND(Q382=1,P382&lt;='Dashboard'!$B$5),0,MAX(0,'Dashboard'!$B$5-B382))</x:f>
        <x:v>0</x:v>
      </x:c>
      <x:c r="AC382" s="28" t="str"/>
      <x:c r="AD382" s="2" t="str">
        <x:f>IF(AND(ISNUMBER(F382),ISNUMBER(G382)),G382-F382,"")</x:f>
      </x:c>
      <x:c r="AE382" s="2" t="n">
        <x:f>IF(AND(I382="Accepted",K382&lt;&gt;"",O382&lt;&gt;"",ISNUMBER(P382),P382&gt;0,P382&lt;='Dashboard'!$B$5,IF(ISNUMBER(F382),ISNUMBER(G382),TRUE)),1,0)</x:f>
        <x:v>0</x:v>
      </x:c>
    </x:row>
    <x:row r="383" ht="58" customHeight="1">
      <x:c r="A383" s="2" t="str">
        <x:v>T0478</x:v>
      </x:c>
      <x:c r="B383" s="30" t="n">
        <x:v>46363</x:v>
      </x:c>
      <x:c r="C383" s="2" t="str">
        <x:v>Maseeha</x:v>
      </x:c>
      <x:c r="D383" s="2" t="str">
        <x:v>Client dependency</x:v>
      </x:c>
      <x:c r="E383" s="26" t="str">
        <x:v>Due intro verification; kit/case handoff; delivery/Day-30 dates; credit trigger log</x:v>
      </x:c>
      <x:c r="F383" s="2" t="str"/>
      <x:c r="G383" s="20"/>
      <x:c r="H383" s="2" t="str">
        <x:v>all due cases</x:v>
      </x:c>
      <x:c r="I383" s="20" t="str">
        <x:v>Ready</x:v>
      </x:c>
      <x:c r="J383" s="2" t="str">
        <x:v>16:45</x:v>
      </x:c>
      <x:c r="K383" s="28" t="str"/>
      <x:c r="L383" s="28" t="str"/>
      <x:c r="M383" s="20" t="str"/>
      <x:c r="N383" s="33"/>
      <x:c r="O383" s="20" t="str"/>
      <x:c r="P383" s="33"/>
      <x:c r="Q383" s="2" t="n">
        <x:f>IF(AND(AE383=1,COUNTIFS($A$7:$A$500,"T0028",$AE$7:$AE$500,1)=1),1,0)</x:f>
        <x:v>0</x:v>
      </x:c>
      <x:c r="R383" s="2" t="str">
        <x:f>IF(AND(Q383=1,P383&lt;='Dashboard'!$B$5),IF(P383&gt;B383,"Accepted late","Accepted"),IF(B383&lt;'Dashboard'!$B$5,"Overdue",IF(I383="Blocked","Blocked",IF(B383='Dashboard'!$B$5,"Due today","Planned"))))</x:f>
        <x:v>Planned</x:v>
      </x:c>
      <x:c r="S383" s="26" t="str">
        <x:f>IF(I383="Accepted",IF(K383="","Add evidence",IF(O383="","Add reviewer",IF(P383="","Add accepted date",IF(AND(ISNUMBER(F383),COUNT(G383)=0),"Add actual quantity",IF(Q383=0,"Review target / date / dependencies","Complete"))))),IF(OR(I383="Blocked",I383="Deferred"),IF(L383="","Record blocker / reason",IF(M383="","Assign rescue owner",IF(N383="","Set recovery date","Recovery assigned"))),IF(B383&lt;'Dashboard'!$B$5,"Escalate and record recovery","Work to acceptance standard")))</x:f>
        <x:v>Work to acceptance standard</x:v>
      </x:c>
      <x:c r="T383" s="26" t="str">
        <x:v>T0028</x:v>
      </x:c>
      <x:c r="U383" s="26" t="str">
        <x:v>Demand-linked: referral verification&lt;=2 business days; trial capacity respected; $200 credit only on eligible invoice paid.</x:v>
      </x:c>
      <x:c r="V383" s="31" t="n">
        <x:v>0.5</x:v>
      </x:c>
      <x:c r="W383" s="26" t="str"/>
      <x:c r="X383" s="26" t="str">
        <x:v>DSI Reset PDF: lane responsibilities and dated runbook; dated allocation proposed for this tracker.</x:v>
      </x:c>
      <x:c r="Y383" s="30" t="n">
        <x:f>B383-WEEKDAY(B383,2)+1</x:f>
        <x:v>46363</x:v>
      </x:c>
      <x:c r="Z383" s="2" t="str">
        <x:v>demand</x:v>
      </x:c>
      <x:c r="AA383" s="2" t="n">
        <x:f>IF(Q383=1,IF(P383&gt;B383,1,0),0)</x:f>
        <x:v>0</x:v>
      </x:c>
      <x:c r="AB383" s="2" t="n">
        <x:f>IF(AND(Q383=1,P383&lt;='Dashboard'!$B$5),0,MAX(0,'Dashboard'!$B$5-B383))</x:f>
        <x:v>0</x:v>
      </x:c>
      <x:c r="AC383" s="28" t="str"/>
      <x:c r="AD383" s="2" t="str">
        <x:f>IF(AND(ISNUMBER(F383),ISNUMBER(G383)),G383-F383,"")</x:f>
      </x:c>
      <x:c r="AE383" s="2" t="n">
        <x:f>IF(AND(I383="Accepted",K383&lt;&gt;"",O383&lt;&gt;"",ISNUMBER(P383),P383&gt;0,P383&lt;='Dashboard'!$B$5,IF(ISNUMBER(F383),ISNUMBER(G383),TRUE)),1,0)</x:f>
        <x:v>0</x:v>
      </x:c>
    </x:row>
    <x:row r="384" ht="58" customHeight="1">
      <x:c r="A384" s="2" t="str">
        <x:v>T0328</x:v>
      </x:c>
      <x:c r="B384" s="30" t="n">
        <x:v>46364</x:v>
      </x:c>
      <x:c r="C384" s="2" t="str">
        <x:v>Wyline</x:v>
      </x:c>
      <x:c r="D384" s="2" t="str">
        <x:v>Program Director</x:v>
      </x:c>
      <x:c r="E384" s="26" t="str">
        <x:v>Accepted-output register; actual-vs-target dashboard; blocker/rescue assignments</x:v>
      </x:c>
      <x:c r="F384" s="2" t="n">
        <x:v>1</x:v>
      </x:c>
      <x:c r="G384" s="20"/>
      <x:c r="H384" s="2" t="str">
        <x:v>accepted output</x:v>
      </x:c>
      <x:c r="I384" s="20" t="str">
        <x:v>Ready</x:v>
      </x:c>
      <x:c r="J384" s="2" t="str">
        <x:v>16:45</x:v>
      </x:c>
      <x:c r="K384" s="28" t="str"/>
      <x:c r="L384" s="28" t="str"/>
      <x:c r="M384" s="20" t="str"/>
      <x:c r="N384" s="33"/>
      <x:c r="O384" s="20" t="str"/>
      <x:c r="P384" s="33"/>
      <x:c r="Q384" s="2" t="n">
        <x:f>IF(AND(AE384=1,COUNTIFS($A$7:$A$500,"T0067",$AE$7:$AE$500,1)=1,COUNTIFS($A$7:$A$500,"T0055",$AE$7:$AE$500,1)=1),1,0)</x:f>
        <x:v>0</x:v>
      </x:c>
      <x:c r="R384" s="2" t="str">
        <x:f>IF(AND(Q384=1,P384&lt;='Dashboard'!$B$5),IF(P384&gt;B384,"Accepted late","Accepted"),IF(B384&lt;'Dashboard'!$B$5,"Overdue",IF(I384="Blocked","Blocked",IF(B384='Dashboard'!$B$5,"Due today","Planned"))))</x:f>
        <x:v>Planned</x:v>
      </x:c>
      <x:c r="S384" s="26" t="str">
        <x:f>IF(I384="Accepted",IF(K384="","Add evidence",IF(O384="","Add reviewer",IF(P384="","Add accepted date",IF(AND(ISNUMBER(F384),COUNT(G384)=0),"Add actual quantity",IF(Q384=0,"Review target / date / dependencies","Complete"))))),IF(OR(I384="Blocked",I384="Deferred"),IF(L384="","Record blocker / reason",IF(M384="","Assign rescue owner",IF(N384="","Set recovery date","Recovery assigned"))),IF(B384&lt;'Dashboard'!$B$5,"Escalate and record recovery","Work to acceptance standard")))</x:f>
        <x:v>Work to acceptance standard</x:v>
      </x:c>
      <x:c r="T384" s="26" t="str">
        <x:v>T0067</x:v>
      </x:c>
      <x:c r="U384" s="26" t="str">
        <x:v>09:00 standup; 13:00/16:30 recovery checks; 17:00 acceptance. Every overdue task keeps original date and named recovery owner.</x:v>
      </x:c>
      <x:c r="V384" s="31" t="n">
        <x:v>3</x:v>
      </x:c>
      <x:c r="W384" s="26" t="str"/>
      <x:c r="X384" s="26" t="str">
        <x:v>DSI Reset PDF: lane responsibilities and dated runbook; dated allocation proposed for this tracker.</x:v>
      </x:c>
      <x:c r="Y384" s="30" t="n">
        <x:f>B384-WEEKDAY(B384,2)+1</x:f>
        <x:v>46363</x:v>
      </x:c>
      <x:c r="Z384" s="2" t="str">
        <x:v>checklist</x:v>
      </x:c>
      <x:c r="AA384" s="2" t="n">
        <x:f>IF(Q384=1,IF(P384&gt;B384,1,0),0)</x:f>
        <x:v>0</x:v>
      </x:c>
      <x:c r="AB384" s="2" t="n">
        <x:f>IF(AND(Q384=1,P384&lt;='Dashboard'!$B$5),0,MAX(0,'Dashboard'!$B$5-B384))</x:f>
        <x:v>0</x:v>
      </x:c>
      <x:c r="AC384" s="28" t="str"/>
      <x:c r="AD384" s="2" t="str">
        <x:f>IF(AND(ISNUMBER(F384),ISNUMBER(G384)),G384-F384,"")</x:f>
      </x:c>
      <x:c r="AE384" s="2" t="n">
        <x:f>IF(AND(I384="Accepted",K384&lt;&gt;"",O384&lt;&gt;"",ISNUMBER(P384),P384&gt;0,P384&lt;='Dashboard'!$B$5,IF(ISNUMBER(F384),ISNUMBER(G384),TRUE),IF(ISNUMBER(F384),G384&gt;=F384,TRUE)),1,0)</x:f>
        <x:v>0</x:v>
      </x:c>
    </x:row>
    <x:row r="385" ht="58" customHeight="1">
      <x:c r="A385" s="2" t="str">
        <x:v>T0329</x:v>
      </x:c>
      <x:c r="B385" s="30" t="n">
        <x:v>46364</x:v>
      </x:c>
      <x:c r="C385" s="2" t="str">
        <x:v>Kenneth</x:v>
      </x:c>
      <x:c r="D385" s="2" t="str">
        <x:v>Message Orchestrator</x:v>
      </x:c>
      <x:c r="E385" s="26" t="str">
        <x:v>Human-reply insights; 5 Inbox draft checks; approved first lines; claim exceptions</x:v>
      </x:c>
      <x:c r="F385" s="2" t="n">
        <x:v>1</x:v>
      </x:c>
      <x:c r="G385" s="20"/>
      <x:c r="H385" s="2" t="str">
        <x:v>accepted output</x:v>
      </x:c>
      <x:c r="I385" s="20" t="str">
        <x:v>Ready</x:v>
      </x:c>
      <x:c r="J385" s="2" t="str">
        <x:v>16:45</x:v>
      </x:c>
      <x:c r="K385" s="28" t="str"/>
      <x:c r="L385" s="28" t="str"/>
      <x:c r="M385" s="20" t="str"/>
      <x:c r="N385" s="33"/>
      <x:c r="O385" s="20" t="str"/>
      <x:c r="P385" s="33"/>
      <x:c r="Q385" s="2" t="n">
        <x:f>IF(AND(AE385=1,COUNTIFS($A$7:$A$500,"T0067",$AE$7:$AE$500,1)=1,COUNTIFS($A$7:$A$500,"T0055",$AE$7:$AE$500,1)=1),1,0)</x:f>
        <x:v>0</x:v>
      </x:c>
      <x:c r="R385" s="2" t="str">
        <x:f>IF(AND(Q385=1,P385&lt;='Dashboard'!$B$5),IF(P385&gt;B385,"Accepted late","Accepted"),IF(B385&lt;'Dashboard'!$B$5,"Overdue",IF(I385="Blocked","Blocked",IF(B385='Dashboard'!$B$5,"Due today","Planned"))))</x:f>
        <x:v>Planned</x:v>
      </x:c>
      <x:c r="S385" s="26" t="str">
        <x:f>IF(I385="Accepted",IF(K385="","Add evidence",IF(O385="","Add reviewer",IF(P385="","Add accepted date",IF(AND(ISNUMBER(F385),COUNT(G385)=0),"Add actual quantity",IF(Q385=0,"Review target / date / dependencies","Complete"))))),IF(OR(I385="Blocked",I385="Deferred"),IF(L385="","Record blocker / reason",IF(M385="","Assign rescue owner",IF(N385="","Set recovery date","Recovery assigned"))),IF(B385&lt;'Dashboard'!$B$5,"Escalate and record recovery","Work to acceptance standard")))</x:f>
        <x:v>Work to acceptance standard</x:v>
      </x:c>
      <x:c r="T385" s="26" t="str">
        <x:v>T0067</x:v>
      </x:c>
      <x:c r="U385" s="26" t="str">
        <x:v>Zero invented claims. If any draft fails facts, stop drafting/retrain; no offer change without approval.</x:v>
      </x:c>
      <x:c r="V385" s="31" t="n">
        <x:v>2.4</x:v>
      </x:c>
      <x:c r="W385" s="26" t="str"/>
      <x:c r="X385" s="26" t="str">
        <x:v>DSI Reset PDF: lane responsibilities and dated runbook; dated allocation proposed for this tracker.</x:v>
      </x:c>
      <x:c r="Y385" s="30" t="n">
        <x:f>B385-WEEKDAY(B385,2)+1</x:f>
        <x:v>46363</x:v>
      </x:c>
      <x:c r="Z385" s="2" t="str">
        <x:v>checklist</x:v>
      </x:c>
      <x:c r="AA385" s="2" t="n">
        <x:f>IF(Q385=1,IF(P385&gt;B385,1,0),0)</x:f>
        <x:v>0</x:v>
      </x:c>
      <x:c r="AB385" s="2" t="n">
        <x:f>IF(AND(Q385=1,P385&lt;='Dashboard'!$B$5),0,MAX(0,'Dashboard'!$B$5-B385))</x:f>
        <x:v>0</x:v>
      </x:c>
      <x:c r="AC385" s="28" t="str"/>
      <x:c r="AD385" s="2" t="str">
        <x:f>IF(AND(ISNUMBER(F385),ISNUMBER(G385)),G385-F385,"")</x:f>
      </x:c>
      <x:c r="AE385" s="2" t="n">
        <x:f>IF(AND(I385="Accepted",K385&lt;&gt;"",O385&lt;&gt;"",ISNUMBER(P385),P385&gt;0,P385&lt;='Dashboard'!$B$5,IF(ISNUMBER(F385),ISNUMBER(G385),TRUE),IF(ISNUMBER(F385),G385&gt;=F385,TRUE)),1,0)</x:f>
        <x:v>0</x:v>
      </x:c>
    </x:row>
    <x:row r="386" ht="58" customHeight="1">
      <x:c r="A386" s="2" t="str">
        <x:v>T0330</x:v>
      </x:c>
      <x:c r="B386" s="30" t="n">
        <x:v>46364</x:v>
      </x:c>
      <x:c r="C386" s="2" t="str">
        <x:v>Joey</x:v>
      </x:c>
      <x:c r="D386" s="2" t="str">
        <x:v>Data Orchestrator</x:v>
      </x:c>
      <x:c r="E386" s="26" t="str">
        <x:v>Mailbox/bounce/suppression log; ready verified records; due-follow up versus new-send capacity plan. Planned list output today: 20 new verified contacts; cumulative ready pool 690.</x:v>
      </x:c>
      <x:c r="F386" s="2" t="n">
        <x:v>20</x:v>
      </x:c>
      <x:c r="G386" s="20"/>
      <x:c r="H386" s="2" t="str">
        <x:v>new verified contacts; proposed daily pace</x:v>
      </x:c>
      <x:c r="I386" s="20" t="str">
        <x:v>Ready</x:v>
      </x:c>
      <x:c r="J386" s="2" t="str">
        <x:v>16:45</x:v>
      </x:c>
      <x:c r="K386" s="28" t="str"/>
      <x:c r="L386" s="28" t="str"/>
      <x:c r="M386" s="20" t="str"/>
      <x:c r="N386" s="33"/>
      <x:c r="O386" s="20" t="str"/>
      <x:c r="P386" s="33"/>
      <x:c r="Q386" s="2" t="n">
        <x:f>IF(AND(AE386=1,COUNTIFS($A$7:$A$500,"T0067",$AE$7:$AE$500,1)=1,COUNTIFS($A$7:$A$500,"T0055",$AE$7:$AE$500,1)=1),1,0)</x:f>
        <x:v>0</x:v>
      </x:c>
      <x:c r="R386" s="2" t="str">
        <x:f>IF(AND(Q386=1,P386&lt;='Dashboard'!$B$5),IF(P386&gt;B386,"Accepted late","Accepted"),IF(B386&lt;'Dashboard'!$B$5,"Overdue",IF(I386="Blocked","Blocked",IF(B386='Dashboard'!$B$5,"Due today","Planned"))))</x:f>
        <x:v>Planned</x:v>
      </x:c>
      <x:c r="S386" s="26" t="str">
        <x:f>IF(I386="Accepted",IF(K386="","Add evidence",IF(O386="","Add reviewer",IF(P386="","Add accepted date",IF(AND(ISNUMBER(F386),COUNT(G386)=0),"Add actual quantity",IF(Q386=0,"Review target / date / dependencies","Complete"))))),IF(OR(I386="Blocked",I386="Deferred"),IF(L386="","Record blocker / reason",IF(M386="","Assign rescue owner",IF(N386="","Set recovery date","Recovery assigned"))),IF(B386&lt;'Dashboard'!$B$5,"Escalate and record recovery","Work to acceptance standard")))</x:f>
        <x:v>Work to acceptance standard</x:v>
      </x:c>
      <x:c r="T386" s="26" t="str">
        <x:v>T0067</x:v>
      </x:c>
      <x:c r="U386" s="26" t="str">
        <x:v>Planning pool addition 20 contacts today; quality gate wins over quota. Total sends&lt;=150/day;&gt;3% bounce affected mailbox held. No new cold enrollments on reduced/buffer days.</x:v>
      </x:c>
      <x:c r="V386" s="31" t="n">
        <x:v>3</x:v>
      </x:c>
      <x:c r="W386" s="26" t="str"/>
      <x:c r="X386" s="26" t="str">
        <x:v>DSI Reset PDF: lane responsibilities and dated runbook; dated allocation proposed for this tracker.</x:v>
      </x:c>
      <x:c r="Y386" s="30" t="n">
        <x:f>B386-WEEKDAY(B386,2)+1</x:f>
        <x:v>46363</x:v>
      </x:c>
      <x:c r="Z386" s="2" t="str">
        <x:v>goal</x:v>
      </x:c>
      <x:c r="AA386" s="2" t="n">
        <x:f>IF(Q386=1,IF(P386&gt;B386,1,0),0)</x:f>
        <x:v>0</x:v>
      </x:c>
      <x:c r="AB386" s="2" t="n">
        <x:f>IF(AND(Q386=1,P386&lt;='Dashboard'!$B$5),0,MAX(0,'Dashboard'!$B$5-B386))</x:f>
        <x:v>0</x:v>
      </x:c>
      <x:c r="AC386" s="28" t="str"/>
      <x:c r="AD386" s="2" t="str">
        <x:f>IF(AND(ISNUMBER(F386),ISNUMBER(G386)),G386-F386,"")</x:f>
      </x:c>
      <x:c r="AE386" s="2" t="n">
        <x:f>IF(AND(I386="Accepted",K386&lt;&gt;"",O386&lt;&gt;"",ISNUMBER(P386),P386&gt;0,P386&lt;='Dashboard'!$B$5,IF(ISNUMBER(F386),ISNUMBER(G386),TRUE),IF(ISNUMBER(F386),G386&gt;=F386,TRUE)),1,0)</x:f>
        <x:v>0</x:v>
      </x:c>
    </x:row>
    <x:row r="387" ht="58" customHeight="1">
      <x:c r="A387" s="2" t="str">
        <x:v>T0331</x:v>
      </x:c>
      <x:c r="B387" s="30" t="n">
        <x:v>46364</x:v>
      </x:c>
      <x:c r="C387" s="2" t="str">
        <x:v>Nova</x:v>
      </x:c>
      <x:c r="D387" s="2" t="str">
        <x:v>Conversion Orchestrator</x:v>
      </x:c>
      <x:c r="E387" s="26" t="str">
        <x:v>Coverage/SLA evidence; 2 call reviews; booked/held updates; next-step and trial handoffs. Log each unique qualified inquiry with practice type, decision-maker access, case volume, service need and readiness timing.</x:v>
      </x:c>
      <x:c r="F387" s="2" t="n">
        <x:v>1</x:v>
      </x:c>
      <x:c r="G387" s="20"/>
      <x:c r="H387" s="2" t="str">
        <x:v>accepted output</x:v>
      </x:c>
      <x:c r="I387" s="20" t="str">
        <x:v>Ready</x:v>
      </x:c>
      <x:c r="J387" s="2" t="str">
        <x:v>16:45</x:v>
      </x:c>
      <x:c r="K387" s="28" t="str"/>
      <x:c r="L387" s="28" t="str"/>
      <x:c r="M387" s="20" t="str"/>
      <x:c r="N387" s="33"/>
      <x:c r="O387" s="20" t="str"/>
      <x:c r="P387" s="33"/>
      <x:c r="Q387" s="2" t="n">
        <x:f>IF(AND(AE387=1,COUNTIFS($A$7:$A$500,"T0067",$AE$7:$AE$500,1)=1,COUNTIFS($A$7:$A$500,"T0055",$AE$7:$AE$500,1)=1),1,0)</x:f>
        <x:v>0</x:v>
      </x:c>
      <x:c r="R387" s="2" t="str">
        <x:f>IF(AND(Q387=1,P387&lt;='Dashboard'!$B$5),IF(P387&gt;B387,"Accepted late","Accepted"),IF(B387&lt;'Dashboard'!$B$5,"Overdue",IF(I387="Blocked","Blocked",IF(B387='Dashboard'!$B$5,"Due today","Planned"))))</x:f>
        <x:v>Planned</x:v>
      </x:c>
      <x:c r="S387" s="26" t="str">
        <x:f>IF(I387="Accepted",IF(K387="","Add evidence",IF(O387="","Add reviewer",IF(P387="","Add accepted date",IF(AND(ISNUMBER(F387),COUNT(G387)=0),"Add actual quantity",IF(Q387=0,"Review target / date / dependencies","Complete"))))),IF(OR(I387="Blocked",I387="Deferred"),IF(L387="","Record blocker / reason",IF(M387="","Assign rescue owner",IF(N387="","Set recovery date","Recovery assigned"))),IF(B387&lt;'Dashboard'!$B$5,"Escalate and record recovery","Work to acceptance standard")))</x:f>
        <x:v>Work to acceptance standard</x:v>
      </x:c>
      <x:c r="T387" s="26" t="str">
        <x:v>T0067</x:v>
      </x:c>
      <x:c r="U387" s="26" t="str">
        <x:v>Every eligible reply&lt;=15 min; positive call&lt;=60 min; no opportunity without next step; booked brief to Nic; trial logistics to Maseeha. Raw contacts, opens and accepts never count as qualified inquiries; deduplicate across channels.</x:v>
      </x:c>
      <x:c r="V387" s="31" t="n">
        <x:v>4</x:v>
      </x:c>
      <x:c r="W387" s="26" t="str"/>
      <x:c r="X387" s="26" t="str">
        <x:v>DSI Reset PDF: lane responsibilities and dated runbook; dated allocation proposed for this tracker.</x:v>
      </x:c>
      <x:c r="Y387" s="30" t="n">
        <x:f>B387-WEEKDAY(B387,2)+1</x:f>
        <x:v>46363</x:v>
      </x:c>
      <x:c r="Z387" s="2" t="str">
        <x:v>checklist</x:v>
      </x:c>
      <x:c r="AA387" s="2" t="n">
        <x:f>IF(Q387=1,IF(P387&gt;B387,1,0),0)</x:f>
        <x:v>0</x:v>
      </x:c>
      <x:c r="AB387" s="2" t="n">
        <x:f>IF(AND(Q387=1,P387&lt;='Dashboard'!$B$5),0,MAX(0,'Dashboard'!$B$5-B387))</x:f>
        <x:v>0</x:v>
      </x:c>
      <x:c r="AC387" s="28" t="str"/>
      <x:c r="AD387" s="2" t="str">
        <x:f>IF(AND(ISNUMBER(F387),ISNUMBER(G387)),G387-F387,"")</x:f>
      </x:c>
      <x:c r="AE387" s="2" t="n">
        <x:f>IF(AND(I387="Accepted",K387&lt;&gt;"",O387&lt;&gt;"",ISNUMBER(P387),P387&gt;0,P387&lt;='Dashboard'!$B$5,IF(ISNUMBER(F387),ISNUMBER(G387),TRUE),IF(ISNUMBER(F387),G387&gt;=F387,TRUE)),1,0)</x:f>
        <x:v>0</x:v>
      </x:c>
    </x:row>
    <x:row r="388" ht="58" customHeight="1">
      <x:c r="A388" s="2" t="str">
        <x:v>T0332</x:v>
      </x:c>
      <x:c r="B388" s="30" t="n">
        <x:v>46364</x:v>
      </x:c>
      <x:c r="C388" s="2" t="str">
        <x:v>Emman</x:v>
      </x:c>
      <x:c r="D388" s="2" t="str">
        <x:v>AI Build Orchestrator</x:v>
      </x:c>
      <x:c r="E388" s="26" t="str">
        <x:v>Health/retry log; one acceptance-backed build increment; updated change log</x:v>
      </x:c>
      <x:c r="F388" s="2" t="n">
        <x:v>1</x:v>
      </x:c>
      <x:c r="G388" s="20"/>
      <x:c r="H388" s="2" t="str">
        <x:v>accepted output</x:v>
      </x:c>
      <x:c r="I388" s="20" t="str">
        <x:v>Ready</x:v>
      </x:c>
      <x:c r="J388" s="2" t="str">
        <x:v>16:45</x:v>
      </x:c>
      <x:c r="K388" s="28" t="str"/>
      <x:c r="L388" s="28" t="str"/>
      <x:c r="M388" s="20" t="str"/>
      <x:c r="N388" s="33"/>
      <x:c r="O388" s="20" t="str"/>
      <x:c r="P388" s="33"/>
      <x:c r="Q388" s="2" t="n">
        <x:f>IF(AND(AE388=1,COUNTIFS($A$7:$A$500,"T0067",$AE$7:$AE$500,1)=1,COUNTIFS($A$7:$A$500,"T0055",$AE$7:$AE$500,1)=1),1,0)</x:f>
        <x:v>0</x:v>
      </x:c>
      <x:c r="R388" s="2" t="str">
        <x:f>IF(AND(Q388=1,P388&lt;='Dashboard'!$B$5),IF(P388&gt;B388,"Accepted late","Accepted"),IF(B388&lt;'Dashboard'!$B$5,"Overdue",IF(I388="Blocked","Blocked",IF(B388='Dashboard'!$B$5,"Due today","Planned"))))</x:f>
        <x:v>Planned</x:v>
      </x:c>
      <x:c r="S388" s="26" t="str">
        <x:f>IF(I388="Accepted",IF(K388="","Add evidence",IF(O388="","Add reviewer",IF(P388="","Add accepted date",IF(AND(ISNUMBER(F388),COUNT(G388)=0),"Add actual quantity",IF(Q388=0,"Review target / date / dependencies","Complete"))))),IF(OR(I388="Blocked",I388="Deferred"),IF(L388="","Record blocker / reason",IF(M388="","Assign rescue owner",IF(N388="","Set recovery date","Recovery assigned"))),IF(B388&lt;'Dashboard'!$B$5,"Escalate and record recovery","Work to acceptance standard")))</x:f>
        <x:v>Work to acceptance standard</x:v>
      </x:c>
      <x:c r="T388" s="26" t="str">
        <x:v>T0067</x:v>
      </x:c>
      <x:c r="U388" s="26" t="str">
        <x:v>Fix a failing live agent beforestarting the next build. If an agent is still not working 48 hours after its due date, activate the manual SOP. Roll back a live failure within 1 hour. Release build reserve when no approved work remains.</x:v>
      </x:c>
      <x:c r="V388" s="31" t="n">
        <x:v>4</x:v>
      </x:c>
      <x:c r="W388" s="26" t="str"/>
      <x:c r="X388" s="26" t="str">
        <x:v>DSI Reset PDF: lane responsibilities and dated runbook; dated allocation proposed for this tracker.</x:v>
      </x:c>
      <x:c r="Y388" s="30" t="n">
        <x:f>B388-WEEKDAY(B388,2)+1</x:f>
        <x:v>46363</x:v>
      </x:c>
      <x:c r="Z388" s="2" t="str">
        <x:v>checklist</x:v>
      </x:c>
      <x:c r="AA388" s="2" t="n">
        <x:f>IF(Q388=1,IF(P388&gt;B388,1,0),0)</x:f>
        <x:v>0</x:v>
      </x:c>
      <x:c r="AB388" s="2" t="n">
        <x:f>IF(AND(Q388=1,P388&lt;='Dashboard'!$B$5),0,MAX(0,'Dashboard'!$B$5-B388))</x:f>
        <x:v>0</x:v>
      </x:c>
      <x:c r="AC388" s="28" t="str"/>
      <x:c r="AD388" s="2" t="str">
        <x:f>IF(AND(ISNUMBER(F388),ISNUMBER(G388)),G388-F388,"")</x:f>
      </x:c>
      <x:c r="AE388" s="2" t="n">
        <x:f>IF(AND(I388="Accepted",K388&lt;&gt;"",O388&lt;&gt;"",ISNUMBER(P388),P388&gt;0,P388&lt;='Dashboard'!$B$5,IF(ISNUMBER(F388),ISNUMBER(G388),TRUE),IF(ISNUMBER(F388),G388&gt;=F388,TRUE)),1,0)</x:f>
        <x:v>0</x:v>
      </x:c>
    </x:row>
    <x:row r="389" ht="58" customHeight="1">
      <x:c r="A389" s="2" t="str">
        <x:v>T0333</x:v>
      </x:c>
      <x:c r="B389" s="30" t="n">
        <x:v>46364</x:v>
      </x:c>
      <x:c r="C389" s="2" t="str">
        <x:v>Ludwig</x:v>
      </x:c>
      <x:c r="D389" s="2" t="str">
        <x:v>Integration Engineer</x:v>
      </x:c>
      <x:c r="E389" s="26" t="str">
        <x:v>Webhook/error/dead-letter check; top assigned integration ticket or verified no-ticket note</x:v>
      </x:c>
      <x:c r="F389" s="2" t="n">
        <x:v>1</x:v>
      </x:c>
      <x:c r="G389" s="20"/>
      <x:c r="H389" s="2" t="str">
        <x:v>accepted output</x:v>
      </x:c>
      <x:c r="I389" s="20" t="str">
        <x:v>Ready</x:v>
      </x:c>
      <x:c r="J389" s="2" t="str">
        <x:v>16:45</x:v>
      </x:c>
      <x:c r="K389" s="28" t="str"/>
      <x:c r="L389" s="28" t="str"/>
      <x:c r="M389" s="20" t="str"/>
      <x:c r="N389" s="33"/>
      <x:c r="O389" s="20" t="str"/>
      <x:c r="P389" s="33"/>
      <x:c r="Q389" s="2" t="n">
        <x:f>IF(AND(AE389=1,COUNTIFS($A$7:$A$500,"T0067",$AE$7:$AE$500,1)=1,COUNTIFS($A$7:$A$500,"T0055",$AE$7:$AE$500,1)=1),1,0)</x:f>
        <x:v>0</x:v>
      </x:c>
      <x:c r="R389" s="2" t="str">
        <x:f>IF(AND(Q389=1,P389&lt;='Dashboard'!$B$5),IF(P389&gt;B389,"Accepted late","Accepted"),IF(B389&lt;'Dashboard'!$B$5,"Overdue",IF(I389="Blocked","Blocked",IF(B389='Dashboard'!$B$5,"Due today","Planned"))))</x:f>
        <x:v>Planned</x:v>
      </x:c>
      <x:c r="S389" s="26" t="str">
        <x:f>IF(I389="Accepted",IF(K389="","Add evidence",IF(O389="","Add reviewer",IF(P389="","Add accepted date",IF(AND(ISNUMBER(F389),COUNT(G389)=0),"Add actual quantity",IF(Q389=0,"Review target / date / dependencies","Complete"))))),IF(OR(I389="Blocked",I389="Deferred"),IF(L389="","Record blocker / reason",IF(M389="","Assign rescue owner",IF(N389="","Set recovery date","Recovery assigned"))),IF(B389&lt;'Dashboard'!$B$5,"Escalate and record recovery","Work to acceptance standard")))</x:f>
        <x:v>Work to acceptance standard</x:v>
      </x:c>
      <x:c r="T389" s="26" t="str">
        <x:v>T0067</x:v>
      </x:c>
      <x:c r="U389" s="26" t="str">
        <x:v>Only Emman’s priority queue; 100% test capture; runbook/retry/rollback evidence. If no fault/ticket, release reserve; do not invent work.</x:v>
      </x:c>
      <x:c r="V389" s="31" t="n">
        <x:v>1.6</x:v>
      </x:c>
      <x:c r="W389" s="26" t="str"/>
      <x:c r="X389" s="26" t="str">
        <x:v>DSI Reset PDF: lane responsibilities and dated runbook; dated allocation proposed for this tracker.</x:v>
      </x:c>
      <x:c r="Y389" s="30" t="n">
        <x:f>B389-WEEKDAY(B389,2)+1</x:f>
        <x:v>46363</x:v>
      </x:c>
      <x:c r="Z389" s="2" t="str">
        <x:v>checklist</x:v>
      </x:c>
      <x:c r="AA389" s="2" t="n">
        <x:f>IF(Q389=1,IF(P389&gt;B389,1,0),0)</x:f>
        <x:v>0</x:v>
      </x:c>
      <x:c r="AB389" s="2" t="n">
        <x:f>IF(AND(Q389=1,P389&lt;='Dashboard'!$B$5),0,MAX(0,'Dashboard'!$B$5-B389))</x:f>
        <x:v>0</x:v>
      </x:c>
      <x:c r="AC389" s="28" t="str"/>
      <x:c r="AD389" s="2" t="str">
        <x:f>IF(AND(ISNUMBER(F389),ISNUMBER(G389)),G389-F389,"")</x:f>
      </x:c>
      <x:c r="AE389" s="2" t="n">
        <x:f>IF(AND(I389="Accepted",K389&lt;&gt;"",O389&lt;&gt;"",ISNUMBER(P389),P389&gt;0,P389&lt;='Dashboard'!$B$5,IF(ISNUMBER(F389),ISNUMBER(G389),TRUE),IF(ISNUMBER(F389),G389&gt;=F389,TRUE)),1,0)</x:f>
        <x:v>0</x:v>
      </x:c>
    </x:row>
    <x:row r="390" ht="58" customHeight="1">
      <x:c r="A390" s="2" t="str">
        <x:v>T0334</x:v>
      </x:c>
      <x:c r="B390" s="30" t="n">
        <x:v>46364</x:v>
      </x:c>
      <x:c r="C390" s="2" t="str">
        <x:v>Alvin</x:v>
      </x:c>
      <x:c r="D390" s="2" t="str">
        <x:v>CQL/GHL Implementation</x:v>
      </x:c>
      <x:c r="E390" s="26" t="str">
        <x:v>Stage/calendar/reminder QA; due workflow fixes; approved post mirrors/evidence Publish approved post SOC15 (Engage); capture the live URL.</x:v>
      </x:c>
      <x:c r="F390" s="2" t="n">
        <x:v>1</x:v>
      </x:c>
      <x:c r="G390" s="20"/>
      <x:c r="H390" s="2" t="str">
        <x:v>accepted output</x:v>
      </x:c>
      <x:c r="I390" s="20" t="str">
        <x:v>Ready</x:v>
      </x:c>
      <x:c r="J390" s="2" t="str">
        <x:v>16:45</x:v>
      </x:c>
      <x:c r="K390" s="28" t="str"/>
      <x:c r="L390" s="28" t="str"/>
      <x:c r="M390" s="20" t="str"/>
      <x:c r="N390" s="33"/>
      <x:c r="O390" s="20" t="str"/>
      <x:c r="P390" s="33"/>
      <x:c r="Q390" s="2" t="n">
        <x:f>IF(AND(AE390=1,COUNTIFS($A$7:$A$500,"T0067",$AE$7:$AE$500,1)=1,COUNTIFS($A$7:$A$500,"T0055",$AE$7:$AE$500,1)=1),1,0)</x:f>
        <x:v>0</x:v>
      </x:c>
      <x:c r="R390" s="2" t="str">
        <x:f>IF(AND(Q390=1,P390&lt;='Dashboard'!$B$5),IF(P390&gt;B390,"Accepted late","Accepted"),IF(B390&lt;'Dashboard'!$B$5,"Overdue",IF(I390="Blocked","Blocked",IF(B390='Dashboard'!$B$5,"Due today","Planned"))))</x:f>
        <x:v>Planned</x:v>
      </x:c>
      <x:c r="S390" s="26" t="str">
        <x:f>IF(I390="Accepted",IF(K390="","Add evidence",IF(O390="","Add reviewer",IF(P390="","Add accepted date",IF(AND(ISNUMBER(F390),COUNT(G390)=0),"Add actual quantity",IF(Q390=0,"Review target / date / dependencies","Complete"))))),IF(OR(I390="Blocked",I390="Deferred"),IF(L390="","Record blocker / reason",IF(M390="","Assign rescue owner",IF(N390="","Set recovery date","Recovery assigned"))),IF(B390&lt;'Dashboard'!$B$5,"Escalate and record recovery","Work to acceptance standard")))</x:f>
        <x:v>Work to acceptance standard</x:v>
      </x:c>
      <x:c r="T390" s="26" t="str">
        <x:v>T0067</x:v>
      </x:c>
      <x:c r="U390" s="26" t="str">
        <x:v>No-show task&lt;=10 min; form/source fields correct; finish critical CRM defect same day. Facebook mirrors exact approved post; Instagram requires permissioned image.</x:v>
      </x:c>
      <x:c r="V390" s="31" t="n">
        <x:v>2</x:v>
      </x:c>
      <x:c r="W390" s="26" t="str"/>
      <x:c r="X390" s="26" t="str">
        <x:v>DSI Reset PDF: lane responsibilities and dated runbook; dated allocation proposed for this tracker.</x:v>
      </x:c>
      <x:c r="Y390" s="30" t="n">
        <x:f>B390-WEEKDAY(B390,2)+1</x:f>
        <x:v>46363</x:v>
      </x:c>
      <x:c r="Z390" s="2" t="str">
        <x:v>checklist</x:v>
      </x:c>
      <x:c r="AA390" s="2" t="n">
        <x:f>IF(Q390=1,IF(P390&gt;B390,1,0),0)</x:f>
        <x:v>0</x:v>
      </x:c>
      <x:c r="AB390" s="2" t="n">
        <x:f>IF(AND(Q390=1,P390&lt;='Dashboard'!$B$5),0,MAX(0,'Dashboard'!$B$5-B390))</x:f>
        <x:v>0</x:v>
      </x:c>
      <x:c r="AC390" s="28" t="str"/>
      <x:c r="AD390" s="2" t="str">
        <x:f>IF(AND(ISNUMBER(F390),ISNUMBER(G390)),G390-F390,"")</x:f>
      </x:c>
      <x:c r="AE390" s="2" t="n">
        <x:f>IF(AND(I390="Accepted",K390&lt;&gt;"",O390&lt;&gt;"",ISNUMBER(P390),P390&gt;0,P390&lt;='Dashboard'!$B$5,IF(ISNUMBER(F390),ISNUMBER(G390),TRUE),IF(ISNUMBER(F390),G390&gt;=F390,TRUE)),1,0)</x:f>
        <x:v>0</x:v>
      </x:c>
    </x:row>
    <x:row r="391" ht="58" customHeight="1">
      <x:c r="A391" s="2" t="str">
        <x:v>T0335</x:v>
      </x:c>
      <x:c r="B391" s="30" t="n">
        <x:v>46364</x:v>
      </x:c>
      <x:c r="C391" s="2" t="str">
        <x:v>Brian</x:v>
      </x:c>
      <x:c r="D391" s="2" t="str">
        <x:v>Web and Tracking</x:v>
      </x:c>
      <x:c r="E391" s="26" t="str">
        <x:v>One health-check result; at most one weekly change ticket or no-ticket note</x:v>
      </x:c>
      <x:c r="F391" s="2" t="n">
        <x:v>1</x:v>
      </x:c>
      <x:c r="G391" s="20"/>
      <x:c r="H391" s="2" t="str">
        <x:v>accepted output</x:v>
      </x:c>
      <x:c r="I391" s="20" t="str">
        <x:v>Ready</x:v>
      </x:c>
      <x:c r="J391" s="2" t="str">
        <x:v>16:45</x:v>
      </x:c>
      <x:c r="K391" s="28" t="str"/>
      <x:c r="L391" s="28" t="str"/>
      <x:c r="M391" s="20" t="str"/>
      <x:c r="N391" s="33"/>
      <x:c r="O391" s="20" t="str"/>
      <x:c r="P391" s="33"/>
      <x:c r="Q391" s="2" t="n">
        <x:f>IF(AND(AE391=1,COUNTIFS($A$7:$A$500,"T0067",$AE$7:$AE$500,1)=1,COUNTIFS($A$7:$A$500,"T0055",$AE$7:$AE$500,1)=1),1,0)</x:f>
        <x:v>0</x:v>
      </x:c>
      <x:c r="R391" s="2" t="str">
        <x:f>IF(AND(Q391=1,P391&lt;='Dashboard'!$B$5),IF(P391&gt;B391,"Accepted late","Accepted"),IF(B391&lt;'Dashboard'!$B$5,"Overdue",IF(I391="Blocked","Blocked",IF(B391='Dashboard'!$B$5,"Due today","Planned"))))</x:f>
        <x:v>Planned</x:v>
      </x:c>
      <x:c r="S391" s="26" t="str">
        <x:f>IF(I391="Accepted",IF(K391="","Add evidence",IF(O391="","Add reviewer",IF(P391="","Add accepted date",IF(AND(ISNUMBER(F391),COUNT(G391)=0),"Add actual quantity",IF(Q391=0,"Review target / date / dependencies","Complete"))))),IF(OR(I391="Blocked",I391="Deferred"),IF(L391="","Record blocker / reason",IF(M391="","Assign rescue owner",IF(N391="","Set recovery date","Recovery assigned"))),IF(B391&lt;'Dashboard'!$B$5,"Escalate and record recovery","Work to acceptance standard")))</x:f>
        <x:v>Work to acceptance standard</x:v>
      </x:c>
      <x:c r="T391" s="26" t="str">
        <x:v>T0067</x:v>
      </x:c>
      <x:c r="U391" s="26" t="str">
        <x:v>Form to CQL&lt;1 min; approved copy unchanged; no work manufactured if healthy; ongoing reserve&lt;=2 h/week.</x:v>
      </x:c>
      <x:c r="V391" s="31" t="n">
        <x:v>0.4</x:v>
      </x:c>
      <x:c r="W391" s="26" t="str"/>
      <x:c r="X391" s="26" t="str">
        <x:v>DSI Reset PDF: lane responsibilities and dated runbook; dated allocation proposed for this tracker.</x:v>
      </x:c>
      <x:c r="Y391" s="30" t="n">
        <x:f>B391-WEEKDAY(B391,2)+1</x:f>
        <x:v>46363</x:v>
      </x:c>
      <x:c r="Z391" s="2" t="str">
        <x:v>checklist</x:v>
      </x:c>
      <x:c r="AA391" s="2" t="n">
        <x:f>IF(Q391=1,IF(P391&gt;B391,1,0),0)</x:f>
        <x:v>0</x:v>
      </x:c>
      <x:c r="AB391" s="2" t="n">
        <x:f>IF(AND(Q391=1,P391&lt;='Dashboard'!$B$5),0,MAX(0,'Dashboard'!$B$5-B391))</x:f>
        <x:v>0</x:v>
      </x:c>
      <x:c r="AC391" s="28" t="str"/>
      <x:c r="AD391" s="2" t="str">
        <x:f>IF(AND(ISNUMBER(F391),ISNUMBER(G391)),G391-F391,"")</x:f>
      </x:c>
      <x:c r="AE391" s="2" t="n">
        <x:f>IF(AND(I391="Accepted",K391&lt;&gt;"",O391&lt;&gt;"",ISNUMBER(P391),P391&gt;0,P391&lt;='Dashboard'!$B$5,IF(ISNUMBER(F391),ISNUMBER(G391),TRUE),IF(ISNUMBER(F391),G391&gt;=F391,TRUE)),1,0)</x:f>
        <x:v>0</x:v>
      </x:c>
    </x:row>
    <x:row r="392" ht="58" customHeight="1">
      <x:c r="A392" s="2" t="str">
        <x:v>T0336</x:v>
      </x:c>
      <x:c r="B392" s="30" t="n">
        <x:v>46364</x:v>
      </x:c>
      <x:c r="C392" s="2" t="str">
        <x:v>Dexter</x:v>
      </x:c>
      <x:c r="D392" s="2" t="str">
        <x:v>LinkedIn Execution</x:v>
      </x:c>
      <x:c r="E392" s="26" t="str">
        <x:v>CQL logged DMs/accepts; eligible requests; referred interested replies; approved post evidence Publish approved post SOC15 (Engage); capture the live URL.</x:v>
      </x:c>
      <x:c r="F392" s="2" t="n">
        <x:v>25</x:v>
      </x:c>
      <x:c r="G392" s="20"/>
      <x:c r="H392" s="2" t="str">
        <x:v>new request working target; eligible pool required</x:v>
      </x:c>
      <x:c r="I392" s="20" t="str">
        <x:v>Ready</x:v>
      </x:c>
      <x:c r="J392" s="2" t="str">
        <x:v>16:45</x:v>
      </x:c>
      <x:c r="K392" s="28" t="str"/>
      <x:c r="L392" s="28" t="str"/>
      <x:c r="M392" s="20" t="str"/>
      <x:c r="N392" s="33"/>
      <x:c r="O392" s="20" t="str"/>
      <x:c r="P392" s="33"/>
      <x:c r="Q392" s="2" t="n">
        <x:f>IF(AND(AE392=1,COUNTIFS($A$7:$A$500,"T0067",$AE$7:$AE$500,1)=1,COUNTIFS($A$7:$A$500,"T0055",$AE$7:$AE$500,1)=1),1,0)</x:f>
        <x:v>0</x:v>
      </x:c>
      <x:c r="R392" s="2" t="str">
        <x:f>IF(AND(Q392=1,P392&lt;='Dashboard'!$B$5),IF(P392&gt;B392,"Accepted late","Accepted"),IF(B392&lt;'Dashboard'!$B$5,"Overdue",IF(I392="Blocked","Blocked",IF(B392='Dashboard'!$B$5,"Due today","Planned"))))</x:f>
        <x:v>Planned</x:v>
      </x:c>
      <x:c r="S392" s="26" t="str">
        <x:f>IF(I392="Accepted",IF(K392="","Add evidence",IF(O392="","Add reviewer",IF(P392="","Add accepted date",IF(AND(ISNUMBER(F392),COUNT(G392)=0),"Add actual quantity",IF(Q392=0,"Review target / date / dependencies","Complete"))))),IF(OR(I392="Blocked",I392="Deferred"),IF(L392="","Record blocker / reason",IF(M392="","Assign rescue owner",IF(N392="","Set recovery date","Recovery assigned"))),IF(B392&lt;'Dashboard'!$B$5,"Escalate and record recovery","Work to acceptance standard")))</x:f>
        <x:v>Work to acceptance standard</x:v>
      </x:c>
      <x:c r="T392" s="26" t="str">
        <x:v>T0067</x:v>
      </x:c>
      <x:c r="U392"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392" s="31" t="n">
        <x:v>3</x:v>
      </x:c>
      <x:c r="W392" s="26" t="str"/>
      <x:c r="X392" s="26" t="str">
        <x:v>DSI Reset PDF: lane responsibilities and dated runbook; dated allocation proposed for this tracker.</x:v>
      </x:c>
      <x:c r="Y392" s="30" t="n">
        <x:f>B392-WEEKDAY(B392,2)+1</x:f>
        <x:v>46363</x:v>
      </x:c>
      <x:c r="Z392" s="2" t="str">
        <x:v>capacity</x:v>
      </x:c>
      <x:c r="AA392" s="2" t="n">
        <x:f>IF(Q392=1,IF(P392&gt;B392,1,0),0)</x:f>
        <x:v>0</x:v>
      </x:c>
      <x:c r="AB392" s="2" t="n">
        <x:f>IF(AND(Q392=1,P392&lt;='Dashboard'!$B$5),0,MAX(0,'Dashboard'!$B$5-B392))</x:f>
        <x:v>0</x:v>
      </x:c>
      <x:c r="AC392" s="28" t="str"/>
      <x:c r="AD392" s="2" t="str">
        <x:f>IF(AND(ISNUMBER(F392),ISNUMBER(G392)),G392-F392,"")</x:f>
      </x:c>
      <x:c r="AE392" s="2" t="n">
        <x:f>IF(AND(I392="Accepted",K392&lt;&gt;"",O392&lt;&gt;"",ISNUMBER(P392),P392&gt;0,P392&lt;='Dashboard'!$B$5,IF(ISNUMBER(F392),ISNUMBER(G392),TRUE),IF(ISNUMBER(F392),OR(G392&gt;=F392,AC392&lt;&gt;""),TRUE)),1,0)</x:f>
        <x:v>0</x:v>
      </x:c>
    </x:row>
    <x:row r="393" ht="58" customHeight="1">
      <x:c r="A393" s="2" t="str">
        <x:v>T0337</x:v>
      </x:c>
      <x:c r="B393" s="30" t="n">
        <x:v>46364</x:v>
      </x:c>
      <x:c r="C393" s="2" t="str">
        <x:v>Setter 1</x:v>
      </x:c>
      <x:c r="D393" s="2" t="str">
        <x:v>Reply and Phone Setter</x:v>
      </x:c>
      <x:c r="E393" s="26" t="str">
        <x:v>SLA/call outcome log; bookings and next steps; handoff to Nova</x:v>
      </x:c>
      <x:c r="F393" s="2" t="n">
        <x:v>50</x:v>
      </x:c>
      <x:c r="G393" s="20"/>
      <x:c r="H393" s="2" t="str">
        <x:v>dial working target; inbound SLA takes priority</x:v>
      </x:c>
      <x:c r="I393" s="20" t="str">
        <x:v>Ready</x:v>
      </x:c>
      <x:c r="J393" s="2" t="str">
        <x:v>16:45</x:v>
      </x:c>
      <x:c r="K393" s="28" t="str"/>
      <x:c r="L393" s="28" t="str"/>
      <x:c r="M393" s="20" t="str"/>
      <x:c r="N393" s="33"/>
      <x:c r="O393" s="20" t="str"/>
      <x:c r="P393" s="33"/>
      <x:c r="Q393" s="2" t="n">
        <x:f>IF(AND(AE393=1,COUNTIFS($A$7:$A$500,"T0013",$AE$7:$AE$500,1)=1,COUNTIFS($A$7:$A$500,"T0055",$AE$7:$AE$500,1)=1),1,0)</x:f>
        <x:v>0</x:v>
      </x:c>
      <x:c r="R393" s="2" t="str">
        <x:f>IF(AND(Q393=1,P393&lt;='Dashboard'!$B$5),IF(P393&gt;B393,"Accepted late","Accepted"),IF(B393&lt;'Dashboard'!$B$5,"Overdue",IF(I393="Blocked","Blocked",IF(B393='Dashboard'!$B$5,"Due today","Planned"))))</x:f>
        <x:v>Planned</x:v>
      </x:c>
      <x:c r="S393" s="26" t="str">
        <x:f>IF(I393="Accepted",IF(K393="","Add evidence",IF(O393="","Add reviewer",IF(P393="","Add accepted date",IF(AND(ISNUMBER(F393),COUNT(G393)=0),"Add actual quantity",IF(Q393=0,"Review target / date / dependencies","Complete"))))),IF(OR(I393="Blocked",I393="Deferred"),IF(L393="","Record blocker / reason",IF(M393="","Assign rescue owner",IF(N393="","Set recovery date","Recovery assigned"))),IF(B393&lt;'Dashboard'!$B$5,"Escalate and record recovery","Work to acceptance standard")))</x:f>
        <x:v>Work to acceptance standard</x:v>
      </x:c>
      <x:c r="T393" s="26" t="str">
        <x:v>T0013; T0055</x:v>
      </x:c>
      <x:c r="U393"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93" s="31" t="n">
        <x:v>7.5</x:v>
      </x:c>
      <x:c r="W393" s="26" t="str"/>
      <x:c r="X393" s="26" t="str">
        <x:v>DSI Reset PDF: lane responsibilities and dated runbook; dated allocation proposed for this tracker.</x:v>
      </x:c>
      <x:c r="Y393" s="30" t="n">
        <x:f>B393-WEEKDAY(B393,2)+1</x:f>
        <x:v>46363</x:v>
      </x:c>
      <x:c r="Z393" s="2" t="str">
        <x:v>capacity</x:v>
      </x:c>
      <x:c r="AA393" s="2" t="n">
        <x:f>IF(Q393=1,IF(P393&gt;B393,1,0),0)</x:f>
        <x:v>0</x:v>
      </x:c>
      <x:c r="AB393" s="2" t="n">
        <x:f>IF(AND(Q393=1,P393&lt;='Dashboard'!$B$5),0,MAX(0,'Dashboard'!$B$5-B393))</x:f>
        <x:v>0</x:v>
      </x:c>
      <x:c r="AC393" s="28" t="str"/>
      <x:c r="AD393" s="2" t="str">
        <x:f>IF(AND(ISNUMBER(F393),ISNUMBER(G393)),G393-F393,"")</x:f>
      </x:c>
      <x:c r="AE393" s="2" t="n">
        <x:f>IF(AND(I393="Accepted",K393&lt;&gt;"",O393&lt;&gt;"",ISNUMBER(P393),P393&gt;0,P393&lt;='Dashboard'!$B$5,IF(ISNUMBER(F393),ISNUMBER(G393),TRUE),IF(ISNUMBER(F393),OR(G393&gt;=F393,AC393&lt;&gt;""),TRUE)),1,0)</x:f>
        <x:v>0</x:v>
      </x:c>
    </x:row>
    <x:row r="394" ht="58" customHeight="1">
      <x:c r="A394" s="2" t="str">
        <x:v>T0338</x:v>
      </x:c>
      <x:c r="B394" s="30" t="n">
        <x:v>46364</x:v>
      </x:c>
      <x:c r="C394" s="2" t="str">
        <x:v>Setter 2</x:v>
      </x:c>
      <x:c r="D394" s="2" t="str">
        <x:v>Reply and Phone Setter</x:v>
      </x:c>
      <x:c r="E394" s="26" t="str">
        <x:v>SLA/call outcome log; bookings and next steps; handoff to Nova</x:v>
      </x:c>
      <x:c r="F394" s="2" t="n">
        <x:v>50</x:v>
      </x:c>
      <x:c r="G394" s="20"/>
      <x:c r="H394" s="2" t="str">
        <x:v>dial working target; inbound SLA takes priority</x:v>
      </x:c>
      <x:c r="I394" s="20" t="str">
        <x:v>Ready</x:v>
      </x:c>
      <x:c r="J394" s="2" t="str">
        <x:v>16:45</x:v>
      </x:c>
      <x:c r="K394" s="28" t="str"/>
      <x:c r="L394" s="28" t="str"/>
      <x:c r="M394" s="20" t="str"/>
      <x:c r="N394" s="33"/>
      <x:c r="O394" s="20" t="str"/>
      <x:c r="P394" s="33"/>
      <x:c r="Q394" s="2" t="n">
        <x:f>IF(AND(AE394=1,COUNTIFS($A$7:$A$500,"T0013",$AE$7:$AE$500,1)=1,COUNTIFS($A$7:$A$500,"T0055",$AE$7:$AE$500,1)=1),1,0)</x:f>
        <x:v>0</x:v>
      </x:c>
      <x:c r="R394" s="2" t="str">
        <x:f>IF(AND(Q394=1,P394&lt;='Dashboard'!$B$5),IF(P394&gt;B394,"Accepted late","Accepted"),IF(B394&lt;'Dashboard'!$B$5,"Overdue",IF(I394="Blocked","Blocked",IF(B394='Dashboard'!$B$5,"Due today","Planned"))))</x:f>
        <x:v>Planned</x:v>
      </x:c>
      <x:c r="S394" s="26" t="str">
        <x:f>IF(I394="Accepted",IF(K394="","Add evidence",IF(O394="","Add reviewer",IF(P394="","Add accepted date",IF(AND(ISNUMBER(F394),COUNT(G394)=0),"Add actual quantity",IF(Q394=0,"Review target / date / dependencies","Complete"))))),IF(OR(I394="Blocked",I394="Deferred"),IF(L394="","Record blocker / reason",IF(M394="","Assign rescue owner",IF(N394="","Set recovery date","Recovery assigned"))),IF(B394&lt;'Dashboard'!$B$5,"Escalate and record recovery","Work to acceptance standard")))</x:f>
        <x:v>Work to acceptance standard</x:v>
      </x:c>
      <x:c r="T394" s="26" t="str">
        <x:v>T0013; T0055</x:v>
      </x:c>
      <x:c r="U39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394" s="31" t="n">
        <x:v>7.5</x:v>
      </x:c>
      <x:c r="W394" s="26" t="str"/>
      <x:c r="X394" s="26" t="str">
        <x:v>DSI Reset PDF: lane responsibilities and dated runbook; dated allocation proposed for this tracker.</x:v>
      </x:c>
      <x:c r="Y394" s="30" t="n">
        <x:f>B394-WEEKDAY(B394,2)+1</x:f>
        <x:v>46363</x:v>
      </x:c>
      <x:c r="Z394" s="2" t="str">
        <x:v>capacity</x:v>
      </x:c>
      <x:c r="AA394" s="2" t="n">
        <x:f>IF(Q394=1,IF(P394&gt;B394,1,0),0)</x:f>
        <x:v>0</x:v>
      </x:c>
      <x:c r="AB394" s="2" t="n">
        <x:f>IF(AND(Q394=1,P394&lt;='Dashboard'!$B$5),0,MAX(0,'Dashboard'!$B$5-B394))</x:f>
        <x:v>0</x:v>
      </x:c>
      <x:c r="AC394" s="28" t="str"/>
      <x:c r="AD394" s="2" t="str">
        <x:f>IF(AND(ISNUMBER(F394),ISNUMBER(G394)),G394-F394,"")</x:f>
      </x:c>
      <x:c r="AE394" s="2" t="n">
        <x:f>IF(AND(I394="Accepted",K394&lt;&gt;"",O394&lt;&gt;"",ISNUMBER(P394),P394&gt;0,P394&lt;='Dashboard'!$B$5,IF(ISNUMBER(F394),ISNUMBER(G394),TRUE),IF(ISNUMBER(F394),OR(G394&gt;=F394,AC394&lt;&gt;""),TRUE)),1,0)</x:f>
        <x:v>0</x:v>
      </x:c>
    </x:row>
    <x:row r="395" ht="58" customHeight="1">
      <x:c r="A395" s="2" t="str">
        <x:v>T0479</x:v>
      </x:c>
      <x:c r="B395" s="30" t="n">
        <x:v>46364</x:v>
      </x:c>
      <x:c r="C395" s="2" t="str">
        <x:v>Nic</x:v>
      </x:c>
      <x:c r="D395" s="2" t="str">
        <x:v>Client dependency</x:v>
      </x:c>
      <x:c r="E395" s="26" t="str">
        <x:v>Call outcome/next step for every appointment due; first-case decisions</x:v>
      </x:c>
      <x:c r="F395" s="2" t="str"/>
      <x:c r="G395" s="20"/>
      <x:c r="H395" s="2" t="str">
        <x:v>all due appointments</x:v>
      </x:c>
      <x:c r="I395" s="20" t="str">
        <x:v>Ready</x:v>
      </x:c>
      <x:c r="J395" s="2" t="str">
        <x:v>16:45</x:v>
      </x:c>
      <x:c r="K395" s="28" t="str"/>
      <x:c r="L395" s="28" t="str"/>
      <x:c r="M395" s="20" t="str"/>
      <x:c r="N395" s="33"/>
      <x:c r="O395" s="20" t="str"/>
      <x:c r="P395" s="33"/>
      <x:c r="Q395" s="2" t="n">
        <x:f>IF(AND(AE395=1,COUNTIFS($A$7:$A$500,"T0028",$AE$7:$AE$500,1)=1),1,0)</x:f>
        <x:v>0</x:v>
      </x:c>
      <x:c r="R395" s="2" t="str">
        <x:f>IF(AND(Q395=1,P395&lt;='Dashboard'!$B$5),IF(P395&gt;B395,"Accepted late","Accepted"),IF(B395&lt;'Dashboard'!$B$5,"Overdue",IF(I395="Blocked","Blocked",IF(B395='Dashboard'!$B$5,"Due today","Planned"))))</x:f>
        <x:v>Planned</x:v>
      </x:c>
      <x:c r="S395" s="26" t="str">
        <x:f>IF(I395="Accepted",IF(K395="","Add evidence",IF(O395="","Add reviewer",IF(P395="","Add accepted date",IF(AND(ISNUMBER(F395),COUNT(G395)=0),"Add actual quantity",IF(Q395=0,"Review target / date / dependencies","Complete"))))),IF(OR(I395="Blocked",I395="Deferred"),IF(L395="","Record blocker / reason",IF(M395="","Assign rescue owner",IF(N395="","Set recovery date","Recovery assigned"))),IF(B395&lt;'Dashboard'!$B$5,"Escalate and record recovery","Work to acceptance standard")))</x:f>
        <x:v>Work to acceptance standard</x:v>
      </x:c>
      <x:c r="T395" s="26" t="str">
        <x:v>T0028</x:v>
      </x:c>
      <x:c r="U395" s="26" t="str">
        <x:v>Demand-linked: work actual approved calendar; setter brief present; outcome logged same day. No calls scheduled is N/A with calendar evidence.</x:v>
      </x:c>
      <x:c r="V395" s="31" t="n">
        <x:v>0.5</x:v>
      </x:c>
      <x:c r="W395" s="26" t="str"/>
      <x:c r="X395" s="26" t="str">
        <x:v>DSI Reset PDF: lane responsibilities and dated runbook; dated allocation proposed for this tracker.</x:v>
      </x:c>
      <x:c r="Y395" s="30" t="n">
        <x:f>B395-WEEKDAY(B395,2)+1</x:f>
        <x:v>46363</x:v>
      </x:c>
      <x:c r="Z395" s="2" t="str">
        <x:v>demand</x:v>
      </x:c>
      <x:c r="AA395" s="2" t="n">
        <x:f>IF(Q395=1,IF(P395&gt;B395,1,0),0)</x:f>
        <x:v>0</x:v>
      </x:c>
      <x:c r="AB395" s="2" t="n">
        <x:f>IF(AND(Q395=1,P395&lt;='Dashboard'!$B$5),0,MAX(0,'Dashboard'!$B$5-B395))</x:f>
        <x:v>0</x:v>
      </x:c>
      <x:c r="AC395" s="28" t="str"/>
      <x:c r="AD395" s="2" t="str">
        <x:f>IF(AND(ISNUMBER(F395),ISNUMBER(G395)),G395-F395,"")</x:f>
      </x:c>
      <x:c r="AE395" s="2" t="n">
        <x:f>IF(AND(I395="Accepted",K395&lt;&gt;"",O395&lt;&gt;"",ISNUMBER(P395),P395&gt;0,P395&lt;='Dashboard'!$B$5,IF(ISNUMBER(F395),ISNUMBER(G395),TRUE)),1,0)</x:f>
        <x:v>0</x:v>
      </x:c>
    </x:row>
    <x:row r="396" ht="58" customHeight="1">
      <x:c r="A396" s="2" t="str">
        <x:v>T0480</x:v>
      </x:c>
      <x:c r="B396" s="30" t="n">
        <x:v>46364</x:v>
      </x:c>
      <x:c r="C396" s="2" t="str">
        <x:v>Maseeha</x:v>
      </x:c>
      <x:c r="D396" s="2" t="str">
        <x:v>Client dependency</x:v>
      </x:c>
      <x:c r="E396" s="26" t="str">
        <x:v>Due intro verification; kit/case handoff; delivery/Day-30 dates; credit trigger log</x:v>
      </x:c>
      <x:c r="F396" s="2" t="str"/>
      <x:c r="G396" s="20"/>
      <x:c r="H396" s="2" t="str">
        <x:v>all due cases</x:v>
      </x:c>
      <x:c r="I396" s="20" t="str">
        <x:v>Ready</x:v>
      </x:c>
      <x:c r="J396" s="2" t="str">
        <x:v>16:45</x:v>
      </x:c>
      <x:c r="K396" s="28" t="str"/>
      <x:c r="L396" s="28" t="str"/>
      <x:c r="M396" s="20" t="str"/>
      <x:c r="N396" s="33"/>
      <x:c r="O396" s="20" t="str"/>
      <x:c r="P396" s="33"/>
      <x:c r="Q396" s="2" t="n">
        <x:f>IF(AND(AE396=1,COUNTIFS($A$7:$A$500,"T0028",$AE$7:$AE$500,1)=1),1,0)</x:f>
        <x:v>0</x:v>
      </x:c>
      <x:c r="R396" s="2" t="str">
        <x:f>IF(AND(Q396=1,P396&lt;='Dashboard'!$B$5),IF(P396&gt;B396,"Accepted late","Accepted"),IF(B396&lt;'Dashboard'!$B$5,"Overdue",IF(I396="Blocked","Blocked",IF(B396='Dashboard'!$B$5,"Due today","Planned"))))</x:f>
        <x:v>Planned</x:v>
      </x:c>
      <x:c r="S396" s="26" t="str">
        <x:f>IF(I396="Accepted",IF(K396="","Add evidence",IF(O396="","Add reviewer",IF(P396="","Add accepted date",IF(AND(ISNUMBER(F396),COUNT(G396)=0),"Add actual quantity",IF(Q396=0,"Review target / date / dependencies","Complete"))))),IF(OR(I396="Blocked",I396="Deferred"),IF(L396="","Record blocker / reason",IF(M396="","Assign rescue owner",IF(N396="","Set recovery date","Recovery assigned"))),IF(B396&lt;'Dashboard'!$B$5,"Escalate and record recovery","Work to acceptance standard")))</x:f>
        <x:v>Work to acceptance standard</x:v>
      </x:c>
      <x:c r="T396" s="26" t="str">
        <x:v>T0028</x:v>
      </x:c>
      <x:c r="U396" s="26" t="str">
        <x:v>Demand-linked: referral verification&lt;=2 business days; trial capacity respected; $200 credit only on eligible invoice paid.</x:v>
      </x:c>
      <x:c r="V396" s="31" t="n">
        <x:v>0.5</x:v>
      </x:c>
      <x:c r="W396" s="26" t="str"/>
      <x:c r="X396" s="26" t="str">
        <x:v>DSI Reset PDF: lane responsibilities and dated runbook; dated allocation proposed for this tracker.</x:v>
      </x:c>
      <x:c r="Y396" s="30" t="n">
        <x:f>B396-WEEKDAY(B396,2)+1</x:f>
        <x:v>46363</x:v>
      </x:c>
      <x:c r="Z396" s="2" t="str">
        <x:v>demand</x:v>
      </x:c>
      <x:c r="AA396" s="2" t="n">
        <x:f>IF(Q396=1,IF(P396&gt;B396,1,0),0)</x:f>
        <x:v>0</x:v>
      </x:c>
      <x:c r="AB396" s="2" t="n">
        <x:f>IF(AND(Q396=1,P396&lt;='Dashboard'!$B$5),0,MAX(0,'Dashboard'!$B$5-B396))</x:f>
        <x:v>0</x:v>
      </x:c>
      <x:c r="AC396" s="28" t="str"/>
      <x:c r="AD396" s="2" t="str">
        <x:f>IF(AND(ISNUMBER(F396),ISNUMBER(G396)),G396-F396,"")</x:f>
      </x:c>
      <x:c r="AE396" s="2" t="n">
        <x:f>IF(AND(I396="Accepted",K396&lt;&gt;"",O396&lt;&gt;"",ISNUMBER(P396),P396&gt;0,P396&lt;='Dashboard'!$B$5,IF(ISNUMBER(F396),ISNUMBER(G396),TRUE)),1,0)</x:f>
        <x:v>0</x:v>
      </x:c>
    </x:row>
    <x:row r="397" ht="58" customHeight="1">
      <x:c r="A397" s="2" t="str">
        <x:v>T0339</x:v>
      </x:c>
      <x:c r="B397" s="30" t="n">
        <x:v>46365</x:v>
      </x:c>
      <x:c r="C397" s="2" t="str">
        <x:v>Wyline</x:v>
      </x:c>
      <x:c r="D397" s="2" t="str">
        <x:v>Program Director</x:v>
      </x:c>
      <x:c r="E397" s="26" t="str">
        <x:v>Accepted-output register; actual-vs-target dashboard; blocker/rescue assignments</x:v>
      </x:c>
      <x:c r="F397" s="2" t="n">
        <x:v>1</x:v>
      </x:c>
      <x:c r="G397" s="20"/>
      <x:c r="H397" s="2" t="str">
        <x:v>accepted output</x:v>
      </x:c>
      <x:c r="I397" s="20" t="str">
        <x:v>Ready</x:v>
      </x:c>
      <x:c r="J397" s="2" t="str">
        <x:v>16:45</x:v>
      </x:c>
      <x:c r="K397" s="28" t="str"/>
      <x:c r="L397" s="28" t="str"/>
      <x:c r="M397" s="20" t="str"/>
      <x:c r="N397" s="33"/>
      <x:c r="O397" s="20" t="str"/>
      <x:c r="P397" s="33"/>
      <x:c r="Q397" s="2" t="n">
        <x:f>IF(AND(AE397=1,COUNTIFS($A$7:$A$500,"T0067",$AE$7:$AE$500,1)=1,COUNTIFS($A$7:$A$500,"T0055",$AE$7:$AE$500,1)=1),1,0)</x:f>
        <x:v>0</x:v>
      </x:c>
      <x:c r="R397" s="2" t="str">
        <x:f>IF(AND(Q397=1,P397&lt;='Dashboard'!$B$5),IF(P397&gt;B397,"Accepted late","Accepted"),IF(B397&lt;'Dashboard'!$B$5,"Overdue",IF(I397="Blocked","Blocked",IF(B397='Dashboard'!$B$5,"Due today","Planned"))))</x:f>
        <x:v>Planned</x:v>
      </x:c>
      <x:c r="S397" s="26" t="str">
        <x:f>IF(I397="Accepted",IF(K397="","Add evidence",IF(O397="","Add reviewer",IF(P397="","Add accepted date",IF(AND(ISNUMBER(F397),COUNT(G397)=0),"Add actual quantity",IF(Q397=0,"Review target / date / dependencies","Complete"))))),IF(OR(I397="Blocked",I397="Deferred"),IF(L397="","Record blocker / reason",IF(M397="","Assign rescue owner",IF(N397="","Set recovery date","Recovery assigned"))),IF(B397&lt;'Dashboard'!$B$5,"Escalate and record recovery","Work to acceptance standard")))</x:f>
        <x:v>Work to acceptance standard</x:v>
      </x:c>
      <x:c r="T397" s="26" t="str">
        <x:v>T0067</x:v>
      </x:c>
      <x:c r="U397" s="26" t="str">
        <x:v>09:00 standup; 13:00/16:30 recovery checks; 17:00 acceptance. Every overdue task keeps original date and named recovery owner.</x:v>
      </x:c>
      <x:c r="V397" s="31" t="n">
        <x:v>3</x:v>
      </x:c>
      <x:c r="W397" s="26" t="str"/>
      <x:c r="X397" s="26" t="str">
        <x:v>DSI Reset PDF: lane responsibilities and dated runbook; dated allocation proposed for this tracker.</x:v>
      </x:c>
      <x:c r="Y397" s="30" t="n">
        <x:f>B397-WEEKDAY(B397,2)+1</x:f>
        <x:v>46363</x:v>
      </x:c>
      <x:c r="Z397" s="2" t="str">
        <x:v>checklist</x:v>
      </x:c>
      <x:c r="AA397" s="2" t="n">
        <x:f>IF(Q397=1,IF(P397&gt;B397,1,0),0)</x:f>
        <x:v>0</x:v>
      </x:c>
      <x:c r="AB397" s="2" t="n">
        <x:f>IF(AND(Q397=1,P397&lt;='Dashboard'!$B$5),0,MAX(0,'Dashboard'!$B$5-B397))</x:f>
        <x:v>0</x:v>
      </x:c>
      <x:c r="AC397" s="28" t="str"/>
      <x:c r="AD397" s="2" t="str">
        <x:f>IF(AND(ISNUMBER(F397),ISNUMBER(G397)),G397-F397,"")</x:f>
      </x:c>
      <x:c r="AE397" s="2" t="n">
        <x:f>IF(AND(I397="Accepted",K397&lt;&gt;"",O397&lt;&gt;"",ISNUMBER(P397),P397&gt;0,P397&lt;='Dashboard'!$B$5,IF(ISNUMBER(F397),ISNUMBER(G397),TRUE),IF(ISNUMBER(F397),G397&gt;=F397,TRUE)),1,0)</x:f>
        <x:v>0</x:v>
      </x:c>
    </x:row>
    <x:row r="398" ht="58" customHeight="1">
      <x:c r="A398" s="2" t="str">
        <x:v>T0340</x:v>
      </x:c>
      <x:c r="B398" s="30" t="n">
        <x:v>46365</x:v>
      </x:c>
      <x:c r="C398" s="2" t="str">
        <x:v>Kenneth</x:v>
      </x:c>
      <x:c r="D398" s="2" t="str">
        <x:v>Message Orchestrator</x:v>
      </x:c>
      <x:c r="E398" s="26" t="str">
        <x:v>Human-reply insights; 5 Inbox draft checks; approved first lines; claim exceptions</x:v>
      </x:c>
      <x:c r="F398" s="2" t="n">
        <x:v>1</x:v>
      </x:c>
      <x:c r="G398" s="20"/>
      <x:c r="H398" s="2" t="str">
        <x:v>accepted output</x:v>
      </x:c>
      <x:c r="I398" s="20" t="str">
        <x:v>Ready</x:v>
      </x:c>
      <x:c r="J398" s="2" t="str">
        <x:v>16:45</x:v>
      </x:c>
      <x:c r="K398" s="28" t="str"/>
      <x:c r="L398" s="28" t="str"/>
      <x:c r="M398" s="20" t="str"/>
      <x:c r="N398" s="33"/>
      <x:c r="O398" s="20" t="str"/>
      <x:c r="P398" s="33"/>
      <x:c r="Q398" s="2" t="n">
        <x:f>IF(AND(AE398=1,COUNTIFS($A$7:$A$500,"T0067",$AE$7:$AE$500,1)=1,COUNTIFS($A$7:$A$500,"T0055",$AE$7:$AE$500,1)=1),1,0)</x:f>
        <x:v>0</x:v>
      </x:c>
      <x:c r="R398" s="2" t="str">
        <x:f>IF(AND(Q398=1,P398&lt;='Dashboard'!$B$5),IF(P398&gt;B398,"Accepted late","Accepted"),IF(B398&lt;'Dashboard'!$B$5,"Overdue",IF(I398="Blocked","Blocked",IF(B398='Dashboard'!$B$5,"Due today","Planned"))))</x:f>
        <x:v>Planned</x:v>
      </x:c>
      <x:c r="S398" s="26" t="str">
        <x:f>IF(I398="Accepted",IF(K398="","Add evidence",IF(O398="","Add reviewer",IF(P398="","Add accepted date",IF(AND(ISNUMBER(F398),COUNT(G398)=0),"Add actual quantity",IF(Q398=0,"Review target / date / dependencies","Complete"))))),IF(OR(I398="Blocked",I398="Deferred"),IF(L398="","Record blocker / reason",IF(M398="","Assign rescue owner",IF(N398="","Set recovery date","Recovery assigned"))),IF(B398&lt;'Dashboard'!$B$5,"Escalate and record recovery","Work to acceptance standard")))</x:f>
        <x:v>Work to acceptance standard</x:v>
      </x:c>
      <x:c r="T398" s="26" t="str">
        <x:v>T0067</x:v>
      </x:c>
      <x:c r="U398" s="26" t="str">
        <x:v>Zero invented claims. If any draft fails facts, stop drafting/retrain; no offer change without approval.</x:v>
      </x:c>
      <x:c r="V398" s="31" t="n">
        <x:v>2.4</x:v>
      </x:c>
      <x:c r="W398" s="26" t="str"/>
      <x:c r="X398" s="26" t="str">
        <x:v>DSI Reset PDF: lane responsibilities and dated runbook; dated allocation proposed for this tracker.</x:v>
      </x:c>
      <x:c r="Y398" s="30" t="n">
        <x:f>B398-WEEKDAY(B398,2)+1</x:f>
        <x:v>46363</x:v>
      </x:c>
      <x:c r="Z398" s="2" t="str">
        <x:v>checklist</x:v>
      </x:c>
      <x:c r="AA398" s="2" t="n">
        <x:f>IF(Q398=1,IF(P398&gt;B398,1,0),0)</x:f>
        <x:v>0</x:v>
      </x:c>
      <x:c r="AB398" s="2" t="n">
        <x:f>IF(AND(Q398=1,P398&lt;='Dashboard'!$B$5),0,MAX(0,'Dashboard'!$B$5-B398))</x:f>
        <x:v>0</x:v>
      </x:c>
      <x:c r="AC398" s="28" t="str"/>
      <x:c r="AD398" s="2" t="str">
        <x:f>IF(AND(ISNUMBER(F398),ISNUMBER(G398)),G398-F398,"")</x:f>
      </x:c>
      <x:c r="AE398" s="2" t="n">
        <x:f>IF(AND(I398="Accepted",K398&lt;&gt;"",O398&lt;&gt;"",ISNUMBER(P398),P398&gt;0,P398&lt;='Dashboard'!$B$5,IF(ISNUMBER(F398),ISNUMBER(G398),TRUE),IF(ISNUMBER(F398),G398&gt;=F398,TRUE)),1,0)</x:f>
        <x:v>0</x:v>
      </x:c>
    </x:row>
    <x:row r="399" ht="58" customHeight="1">
      <x:c r="A399" s="2" t="str">
        <x:v>T0341</x:v>
      </x:c>
      <x:c r="B399" s="30" t="n">
        <x:v>46365</x:v>
      </x:c>
      <x:c r="C399" s="2" t="str">
        <x:v>Joey</x:v>
      </x:c>
      <x:c r="D399" s="2" t="str">
        <x:v>Data Orchestrator</x:v>
      </x:c>
      <x:c r="E399" s="26" t="str">
        <x:v>Mailbox/bounce/suppression log; ready verified records; due-follow up versus new-send capacity plan. Planned list output today: 20 new verified contacts; cumulative ready pool 710.</x:v>
      </x:c>
      <x:c r="F399" s="2" t="n">
        <x:v>20</x:v>
      </x:c>
      <x:c r="G399" s="20"/>
      <x:c r="H399" s="2" t="str">
        <x:v>new verified contacts; proposed daily pace</x:v>
      </x:c>
      <x:c r="I399" s="20" t="str">
        <x:v>Ready</x:v>
      </x:c>
      <x:c r="J399" s="2" t="str">
        <x:v>16:45</x:v>
      </x:c>
      <x:c r="K399" s="28" t="str"/>
      <x:c r="L399" s="28" t="str"/>
      <x:c r="M399" s="20" t="str"/>
      <x:c r="N399" s="33"/>
      <x:c r="O399" s="20" t="str"/>
      <x:c r="P399" s="33"/>
      <x:c r="Q399" s="2" t="n">
        <x:f>IF(AND(AE399=1,COUNTIFS($A$7:$A$500,"T0067",$AE$7:$AE$500,1)=1,COUNTIFS($A$7:$A$500,"T0055",$AE$7:$AE$500,1)=1),1,0)</x:f>
        <x:v>0</x:v>
      </x:c>
      <x:c r="R399" s="2" t="str">
        <x:f>IF(AND(Q399=1,P399&lt;='Dashboard'!$B$5),IF(P399&gt;B399,"Accepted late","Accepted"),IF(B399&lt;'Dashboard'!$B$5,"Overdue",IF(I399="Blocked","Blocked",IF(B399='Dashboard'!$B$5,"Due today","Planned"))))</x:f>
        <x:v>Planned</x:v>
      </x:c>
      <x:c r="S399" s="26" t="str">
        <x:f>IF(I399="Accepted",IF(K399="","Add evidence",IF(O399="","Add reviewer",IF(P399="","Add accepted date",IF(AND(ISNUMBER(F399),COUNT(G399)=0),"Add actual quantity",IF(Q399=0,"Review target / date / dependencies","Complete"))))),IF(OR(I399="Blocked",I399="Deferred"),IF(L399="","Record blocker / reason",IF(M399="","Assign rescue owner",IF(N399="","Set recovery date","Recovery assigned"))),IF(B399&lt;'Dashboard'!$B$5,"Escalate and record recovery","Work to acceptance standard")))</x:f>
        <x:v>Work to acceptance standard</x:v>
      </x:c>
      <x:c r="T399" s="26" t="str">
        <x:v>T0067</x:v>
      </x:c>
      <x:c r="U399" s="26" t="str">
        <x:v>Planning pool addition 20 contacts today; quality gate wins over quota. Total sends&lt;=150/day;&gt;3% bounce affected mailbox held. No new cold enrollments on reduced/buffer days.</x:v>
      </x:c>
      <x:c r="V399" s="31" t="n">
        <x:v>3</x:v>
      </x:c>
      <x:c r="W399" s="26" t="str"/>
      <x:c r="X399" s="26" t="str">
        <x:v>DSI Reset PDF: lane responsibilities and dated runbook; dated allocation proposed for this tracker.</x:v>
      </x:c>
      <x:c r="Y399" s="30" t="n">
        <x:f>B399-WEEKDAY(B399,2)+1</x:f>
        <x:v>46363</x:v>
      </x:c>
      <x:c r="Z399" s="2" t="str">
        <x:v>goal</x:v>
      </x:c>
      <x:c r="AA399" s="2" t="n">
        <x:f>IF(Q399=1,IF(P399&gt;B399,1,0),0)</x:f>
        <x:v>0</x:v>
      </x:c>
      <x:c r="AB399" s="2" t="n">
        <x:f>IF(AND(Q399=1,P399&lt;='Dashboard'!$B$5),0,MAX(0,'Dashboard'!$B$5-B399))</x:f>
        <x:v>0</x:v>
      </x:c>
      <x:c r="AC399" s="28" t="str"/>
      <x:c r="AD399" s="2" t="str">
        <x:f>IF(AND(ISNUMBER(F399),ISNUMBER(G399)),G399-F399,"")</x:f>
      </x:c>
      <x:c r="AE399" s="2" t="n">
        <x:f>IF(AND(I399="Accepted",K399&lt;&gt;"",O399&lt;&gt;"",ISNUMBER(P399),P399&gt;0,P399&lt;='Dashboard'!$B$5,IF(ISNUMBER(F399),ISNUMBER(G399),TRUE),IF(ISNUMBER(F399),G399&gt;=F399,TRUE)),1,0)</x:f>
        <x:v>0</x:v>
      </x:c>
    </x:row>
    <x:row r="400" ht="58" customHeight="1">
      <x:c r="A400" s="2" t="str">
        <x:v>T0342</x:v>
      </x:c>
      <x:c r="B400" s="30" t="n">
        <x:v>46365</x:v>
      </x:c>
      <x:c r="C400" s="2" t="str">
        <x:v>Nova</x:v>
      </x:c>
      <x:c r="D400" s="2" t="str">
        <x:v>Conversion Orchestrator</x:v>
      </x:c>
      <x:c r="E400" s="26" t="str">
        <x:v>Coverage/SLA evidence; 2 call reviews; booked/held updates; next-step and trial handoffs. Log each unique qualified inquiry with practice type, decision-maker access, case volume, service need and readiness timing.</x:v>
      </x:c>
      <x:c r="F400" s="2" t="n">
        <x:v>1</x:v>
      </x:c>
      <x:c r="G400" s="20"/>
      <x:c r="H400" s="2" t="str">
        <x:v>accepted output</x:v>
      </x:c>
      <x:c r="I400" s="20" t="str">
        <x:v>Ready</x:v>
      </x:c>
      <x:c r="J400" s="2" t="str">
        <x:v>16:45</x:v>
      </x:c>
      <x:c r="K400" s="28" t="str"/>
      <x:c r="L400" s="28" t="str"/>
      <x:c r="M400" s="20" t="str"/>
      <x:c r="N400" s="33"/>
      <x:c r="O400" s="20" t="str"/>
      <x:c r="P400" s="33"/>
      <x:c r="Q400" s="2" t="n">
        <x:f>IF(AND(AE400=1,COUNTIFS($A$7:$A$500,"T0067",$AE$7:$AE$500,1)=1,COUNTIFS($A$7:$A$500,"T0055",$AE$7:$AE$500,1)=1),1,0)</x:f>
        <x:v>0</x:v>
      </x:c>
      <x:c r="R400" s="2" t="str">
        <x:f>IF(AND(Q400=1,P400&lt;='Dashboard'!$B$5),IF(P400&gt;B400,"Accepted late","Accepted"),IF(B400&lt;'Dashboard'!$B$5,"Overdue",IF(I400="Blocked","Blocked",IF(B400='Dashboard'!$B$5,"Due today","Planned"))))</x:f>
        <x:v>Planned</x:v>
      </x:c>
      <x:c r="S400" s="26" t="str">
        <x:f>IF(I400="Accepted",IF(K400="","Add evidence",IF(O400="","Add reviewer",IF(P400="","Add accepted date",IF(AND(ISNUMBER(F400),COUNT(G400)=0),"Add actual quantity",IF(Q400=0,"Review target / date / dependencies","Complete"))))),IF(OR(I400="Blocked",I400="Deferred"),IF(L400="","Record blocker / reason",IF(M400="","Assign rescue owner",IF(N400="","Set recovery date","Recovery assigned"))),IF(B400&lt;'Dashboard'!$B$5,"Escalate and record recovery","Work to acceptance standard")))</x:f>
        <x:v>Work to acceptance standard</x:v>
      </x:c>
      <x:c r="T400" s="26" t="str">
        <x:v>T0067</x:v>
      </x:c>
      <x:c r="U400" s="26" t="str">
        <x:v>Every eligible reply&lt;=15 min; positive call&lt;=60 min; no opportunity without next step; booked brief to Nic; trial logistics to Maseeha. Raw contacts, opens and accepts never count as qualified inquiries; deduplicate across channels.</x:v>
      </x:c>
      <x:c r="V400" s="31" t="n">
        <x:v>4</x:v>
      </x:c>
      <x:c r="W400" s="26" t="str"/>
      <x:c r="X400" s="26" t="str">
        <x:v>DSI Reset PDF: lane responsibilities and dated runbook; dated allocation proposed for this tracker.</x:v>
      </x:c>
      <x:c r="Y400" s="30" t="n">
        <x:f>B400-WEEKDAY(B400,2)+1</x:f>
        <x:v>46363</x:v>
      </x:c>
      <x:c r="Z400" s="2" t="str">
        <x:v>checklist</x:v>
      </x:c>
      <x:c r="AA400" s="2" t="n">
        <x:f>IF(Q400=1,IF(P400&gt;B400,1,0),0)</x:f>
        <x:v>0</x:v>
      </x:c>
      <x:c r="AB400" s="2" t="n">
        <x:f>IF(AND(Q400=1,P400&lt;='Dashboard'!$B$5),0,MAX(0,'Dashboard'!$B$5-B400))</x:f>
        <x:v>0</x:v>
      </x:c>
      <x:c r="AC400" s="28" t="str"/>
      <x:c r="AD400" s="2" t="str">
        <x:f>IF(AND(ISNUMBER(F400),ISNUMBER(G400)),G400-F400,"")</x:f>
      </x:c>
      <x:c r="AE400" s="2" t="n">
        <x:f>IF(AND(I400="Accepted",K400&lt;&gt;"",O400&lt;&gt;"",ISNUMBER(P400),P400&gt;0,P400&lt;='Dashboard'!$B$5,IF(ISNUMBER(F400),ISNUMBER(G400),TRUE),IF(ISNUMBER(F400),G400&gt;=F400,TRUE)),1,0)</x:f>
        <x:v>0</x:v>
      </x:c>
    </x:row>
    <x:row r="401" ht="58" customHeight="1">
      <x:c r="A401" s="2" t="str">
        <x:v>T0343</x:v>
      </x:c>
      <x:c r="B401" s="30" t="n">
        <x:v>46365</x:v>
      </x:c>
      <x:c r="C401" s="2" t="str">
        <x:v>Emman</x:v>
      </x:c>
      <x:c r="D401" s="2" t="str">
        <x:v>AI Build Orchestrator</x:v>
      </x:c>
      <x:c r="E401" s="26" t="str">
        <x:v>Health/retry log; one acceptance-backed build increment; updated change log</x:v>
      </x:c>
      <x:c r="F401" s="2" t="n">
        <x:v>1</x:v>
      </x:c>
      <x:c r="G401" s="20"/>
      <x:c r="H401" s="2" t="str">
        <x:v>accepted output</x:v>
      </x:c>
      <x:c r="I401" s="20" t="str">
        <x:v>Ready</x:v>
      </x:c>
      <x:c r="J401" s="2" t="str">
        <x:v>16:45</x:v>
      </x:c>
      <x:c r="K401" s="28" t="str"/>
      <x:c r="L401" s="28" t="str"/>
      <x:c r="M401" s="20" t="str"/>
      <x:c r="N401" s="33"/>
      <x:c r="O401" s="20" t="str"/>
      <x:c r="P401" s="33"/>
      <x:c r="Q401" s="2" t="n">
        <x:f>IF(AND(AE401=1,COUNTIFS($A$7:$A$500,"T0067",$AE$7:$AE$500,1)=1,COUNTIFS($A$7:$A$500,"T0055",$AE$7:$AE$500,1)=1),1,0)</x:f>
        <x:v>0</x:v>
      </x:c>
      <x:c r="R401" s="2" t="str">
        <x:f>IF(AND(Q401=1,P401&lt;='Dashboard'!$B$5),IF(P401&gt;B401,"Accepted late","Accepted"),IF(B401&lt;'Dashboard'!$B$5,"Overdue",IF(I401="Blocked","Blocked",IF(B401='Dashboard'!$B$5,"Due today","Planned"))))</x:f>
        <x:v>Planned</x:v>
      </x:c>
      <x:c r="S401" s="26" t="str">
        <x:f>IF(I401="Accepted",IF(K401="","Add evidence",IF(O401="","Add reviewer",IF(P401="","Add accepted date",IF(AND(ISNUMBER(F401),COUNT(G401)=0),"Add actual quantity",IF(Q401=0,"Review target / date / dependencies","Complete"))))),IF(OR(I401="Blocked",I401="Deferred"),IF(L401="","Record blocker / reason",IF(M401="","Assign rescue owner",IF(N401="","Set recovery date","Recovery assigned"))),IF(B401&lt;'Dashboard'!$B$5,"Escalate and record recovery","Work to acceptance standard")))</x:f>
        <x:v>Work to acceptance standard</x:v>
      </x:c>
      <x:c r="T401" s="26" t="str">
        <x:v>T0067</x:v>
      </x:c>
      <x:c r="U401" s="26" t="str">
        <x:v>Fix a failing live agent beforestarting the next build. If an agent is still not working 48 hours after its due date, activate the manual SOP. Roll back a live failure within 1 hour. Release build reserve when no approved work remains.</x:v>
      </x:c>
      <x:c r="V401" s="31" t="n">
        <x:v>4</x:v>
      </x:c>
      <x:c r="W401" s="26" t="str"/>
      <x:c r="X401" s="26" t="str">
        <x:v>DSI Reset PDF: lane responsibilities and dated runbook; dated allocation proposed for this tracker.</x:v>
      </x:c>
      <x:c r="Y401" s="30" t="n">
        <x:f>B401-WEEKDAY(B401,2)+1</x:f>
        <x:v>46363</x:v>
      </x:c>
      <x:c r="Z401" s="2" t="str">
        <x:v>checklist</x:v>
      </x:c>
      <x:c r="AA401" s="2" t="n">
        <x:f>IF(Q401=1,IF(P401&gt;B401,1,0),0)</x:f>
        <x:v>0</x:v>
      </x:c>
      <x:c r="AB401" s="2" t="n">
        <x:f>IF(AND(Q401=1,P401&lt;='Dashboard'!$B$5),0,MAX(0,'Dashboard'!$B$5-B401))</x:f>
        <x:v>0</x:v>
      </x:c>
      <x:c r="AC401" s="28" t="str"/>
      <x:c r="AD401" s="2" t="str">
        <x:f>IF(AND(ISNUMBER(F401),ISNUMBER(G401)),G401-F401,"")</x:f>
      </x:c>
      <x:c r="AE401" s="2" t="n">
        <x:f>IF(AND(I401="Accepted",K401&lt;&gt;"",O401&lt;&gt;"",ISNUMBER(P401),P401&gt;0,P401&lt;='Dashboard'!$B$5,IF(ISNUMBER(F401),ISNUMBER(G401),TRUE),IF(ISNUMBER(F401),G401&gt;=F401,TRUE)),1,0)</x:f>
        <x:v>0</x:v>
      </x:c>
    </x:row>
    <x:row r="402" ht="58" customHeight="1">
      <x:c r="A402" s="2" t="str">
        <x:v>T0344</x:v>
      </x:c>
      <x:c r="B402" s="30" t="n">
        <x:v>46365</x:v>
      </x:c>
      <x:c r="C402" s="2" t="str">
        <x:v>Ludwig</x:v>
      </x:c>
      <x:c r="D402" s="2" t="str">
        <x:v>Integration Engineer</x:v>
      </x:c>
      <x:c r="E402" s="26" t="str">
        <x:v>Webhook/error/dead-letter check; top assigned integration ticket or verified no-ticket note</x:v>
      </x:c>
      <x:c r="F402" s="2" t="n">
        <x:v>1</x:v>
      </x:c>
      <x:c r="G402" s="20"/>
      <x:c r="H402" s="2" t="str">
        <x:v>accepted output</x:v>
      </x:c>
      <x:c r="I402" s="20" t="str">
        <x:v>Ready</x:v>
      </x:c>
      <x:c r="J402" s="2" t="str">
        <x:v>16:45</x:v>
      </x:c>
      <x:c r="K402" s="28" t="str"/>
      <x:c r="L402" s="28" t="str"/>
      <x:c r="M402" s="20" t="str"/>
      <x:c r="N402" s="33"/>
      <x:c r="O402" s="20" t="str"/>
      <x:c r="P402" s="33"/>
      <x:c r="Q402" s="2" t="n">
        <x:f>IF(AND(AE402=1,COUNTIFS($A$7:$A$500,"T0067",$AE$7:$AE$500,1)=1,COUNTIFS($A$7:$A$500,"T0055",$AE$7:$AE$500,1)=1),1,0)</x:f>
        <x:v>0</x:v>
      </x:c>
      <x:c r="R402" s="2" t="str">
        <x:f>IF(AND(Q402=1,P402&lt;='Dashboard'!$B$5),IF(P402&gt;B402,"Accepted late","Accepted"),IF(B402&lt;'Dashboard'!$B$5,"Overdue",IF(I402="Blocked","Blocked",IF(B402='Dashboard'!$B$5,"Due today","Planned"))))</x:f>
        <x:v>Planned</x:v>
      </x:c>
      <x:c r="S402" s="26" t="str">
        <x:f>IF(I402="Accepted",IF(K402="","Add evidence",IF(O402="","Add reviewer",IF(P402="","Add accepted date",IF(AND(ISNUMBER(F402),COUNT(G402)=0),"Add actual quantity",IF(Q402=0,"Review target / date / dependencies","Complete"))))),IF(OR(I402="Blocked",I402="Deferred"),IF(L402="","Record blocker / reason",IF(M402="","Assign rescue owner",IF(N402="","Set recovery date","Recovery assigned"))),IF(B402&lt;'Dashboard'!$B$5,"Escalate and record recovery","Work to acceptance standard")))</x:f>
        <x:v>Work to acceptance standard</x:v>
      </x:c>
      <x:c r="T402" s="26" t="str">
        <x:v>T0067</x:v>
      </x:c>
      <x:c r="U402" s="26" t="str">
        <x:v>Only Emman’s priority queue; 100% test capture; runbook/retry/rollback evidence. If no fault/ticket, release reserve; do not invent work.</x:v>
      </x:c>
      <x:c r="V402" s="31" t="n">
        <x:v>1.6</x:v>
      </x:c>
      <x:c r="W402" s="26" t="str"/>
      <x:c r="X402" s="26" t="str">
        <x:v>DSI Reset PDF: lane responsibilities and dated runbook; dated allocation proposed for this tracker.</x:v>
      </x:c>
      <x:c r="Y402" s="30" t="n">
        <x:f>B402-WEEKDAY(B402,2)+1</x:f>
        <x:v>46363</x:v>
      </x:c>
      <x:c r="Z402" s="2" t="str">
        <x:v>checklist</x:v>
      </x:c>
      <x:c r="AA402" s="2" t="n">
        <x:f>IF(Q402=1,IF(P402&gt;B402,1,0),0)</x:f>
        <x:v>0</x:v>
      </x:c>
      <x:c r="AB402" s="2" t="n">
        <x:f>IF(AND(Q402=1,P402&lt;='Dashboard'!$B$5),0,MAX(0,'Dashboard'!$B$5-B402))</x:f>
        <x:v>0</x:v>
      </x:c>
      <x:c r="AC402" s="28" t="str"/>
      <x:c r="AD402" s="2" t="str">
        <x:f>IF(AND(ISNUMBER(F402),ISNUMBER(G402)),G402-F402,"")</x:f>
      </x:c>
      <x:c r="AE402" s="2" t="n">
        <x:f>IF(AND(I402="Accepted",K402&lt;&gt;"",O402&lt;&gt;"",ISNUMBER(P402),P402&gt;0,P402&lt;='Dashboard'!$B$5,IF(ISNUMBER(F402),ISNUMBER(G402),TRUE),IF(ISNUMBER(F402),G402&gt;=F402,TRUE)),1,0)</x:f>
        <x:v>0</x:v>
      </x:c>
    </x:row>
    <x:row r="403" ht="58" customHeight="1">
      <x:c r="A403" s="2" t="str">
        <x:v>T0345</x:v>
      </x:c>
      <x:c r="B403" s="30" t="n">
        <x:v>46365</x:v>
      </x:c>
      <x:c r="C403" s="2" t="str">
        <x:v>Alvin</x:v>
      </x:c>
      <x:c r="D403" s="2" t="str">
        <x:v>CQL/GHL Implementation</x:v>
      </x:c>
      <x:c r="E403" s="26" t="str">
        <x:v>Stage/calendar/reminder QA; due workflow fixes; approved post mirrors/evidence Publish approved post SOC16 (Educate); capture the live URL.</x:v>
      </x:c>
      <x:c r="F403" s="2" t="n">
        <x:v>1</x:v>
      </x:c>
      <x:c r="G403" s="20"/>
      <x:c r="H403" s="2" t="str">
        <x:v>accepted output</x:v>
      </x:c>
      <x:c r="I403" s="20" t="str">
        <x:v>Ready</x:v>
      </x:c>
      <x:c r="J403" s="2" t="str">
        <x:v>16:45</x:v>
      </x:c>
      <x:c r="K403" s="28" t="str"/>
      <x:c r="L403" s="28" t="str"/>
      <x:c r="M403" s="20" t="str"/>
      <x:c r="N403" s="33"/>
      <x:c r="O403" s="20" t="str"/>
      <x:c r="P403" s="33"/>
      <x:c r="Q403" s="2" t="n">
        <x:f>IF(AND(AE403=1,COUNTIFS($A$7:$A$500,"T0067",$AE$7:$AE$500,1)=1,COUNTIFS($A$7:$A$500,"T0055",$AE$7:$AE$500,1)=1),1,0)</x:f>
        <x:v>0</x:v>
      </x:c>
      <x:c r="R403" s="2" t="str">
        <x:f>IF(AND(Q403=1,P403&lt;='Dashboard'!$B$5),IF(P403&gt;B403,"Accepted late","Accepted"),IF(B403&lt;'Dashboard'!$B$5,"Overdue",IF(I403="Blocked","Blocked",IF(B403='Dashboard'!$B$5,"Due today","Planned"))))</x:f>
        <x:v>Planned</x:v>
      </x:c>
      <x:c r="S403" s="26" t="str">
        <x:f>IF(I403="Accepted",IF(K403="","Add evidence",IF(O403="","Add reviewer",IF(P403="","Add accepted date",IF(AND(ISNUMBER(F403),COUNT(G403)=0),"Add actual quantity",IF(Q403=0,"Review target / date / dependencies","Complete"))))),IF(OR(I403="Blocked",I403="Deferred"),IF(L403="","Record blocker / reason",IF(M403="","Assign rescue owner",IF(N403="","Set recovery date","Recovery assigned"))),IF(B403&lt;'Dashboard'!$B$5,"Escalate and record recovery","Work to acceptance standard")))</x:f>
        <x:v>Work to acceptance standard</x:v>
      </x:c>
      <x:c r="T403" s="26" t="str">
        <x:v>T0067</x:v>
      </x:c>
      <x:c r="U403" s="26" t="str">
        <x:v>No-show task&lt;=10 min; form/source fields correct; finish critical CRM defect same day. Facebook mirrors exact approved post; Instagram requires permissioned image.</x:v>
      </x:c>
      <x:c r="V403" s="31" t="n">
        <x:v>2</x:v>
      </x:c>
      <x:c r="W403" s="26" t="str"/>
      <x:c r="X403" s="26" t="str">
        <x:v>DSI Reset PDF: lane responsibilities and dated runbook; dated allocation proposed for this tracker.</x:v>
      </x:c>
      <x:c r="Y403" s="30" t="n">
        <x:f>B403-WEEKDAY(B403,2)+1</x:f>
        <x:v>46363</x:v>
      </x:c>
      <x:c r="Z403" s="2" t="str">
        <x:v>checklist</x:v>
      </x:c>
      <x:c r="AA403" s="2" t="n">
        <x:f>IF(Q403=1,IF(P403&gt;B403,1,0),0)</x:f>
        <x:v>0</x:v>
      </x:c>
      <x:c r="AB403" s="2" t="n">
        <x:f>IF(AND(Q403=1,P403&lt;='Dashboard'!$B$5),0,MAX(0,'Dashboard'!$B$5-B403))</x:f>
        <x:v>0</x:v>
      </x:c>
      <x:c r="AC403" s="28" t="str"/>
      <x:c r="AD403" s="2" t="str">
        <x:f>IF(AND(ISNUMBER(F403),ISNUMBER(G403)),G403-F403,"")</x:f>
      </x:c>
      <x:c r="AE403" s="2" t="n">
        <x:f>IF(AND(I403="Accepted",K403&lt;&gt;"",O403&lt;&gt;"",ISNUMBER(P403),P403&gt;0,P403&lt;='Dashboard'!$B$5,IF(ISNUMBER(F403),ISNUMBER(G403),TRUE),IF(ISNUMBER(F403),G403&gt;=F403,TRUE)),1,0)</x:f>
        <x:v>0</x:v>
      </x:c>
    </x:row>
    <x:row r="404" ht="58" customHeight="1">
      <x:c r="A404" s="2" t="str">
        <x:v>T0346</x:v>
      </x:c>
      <x:c r="B404" s="30" t="n">
        <x:v>46365</x:v>
      </x:c>
      <x:c r="C404" s="2" t="str">
        <x:v>Brian</x:v>
      </x:c>
      <x:c r="D404" s="2" t="str">
        <x:v>Web and Tracking</x:v>
      </x:c>
      <x:c r="E404" s="26" t="str">
        <x:v>One health-check result; at most one weekly change ticket or no-ticket note</x:v>
      </x:c>
      <x:c r="F404" s="2" t="n">
        <x:v>1</x:v>
      </x:c>
      <x:c r="G404" s="20"/>
      <x:c r="H404" s="2" t="str">
        <x:v>accepted output</x:v>
      </x:c>
      <x:c r="I404" s="20" t="str">
        <x:v>Ready</x:v>
      </x:c>
      <x:c r="J404" s="2" t="str">
        <x:v>16:45</x:v>
      </x:c>
      <x:c r="K404" s="28" t="str"/>
      <x:c r="L404" s="28" t="str"/>
      <x:c r="M404" s="20" t="str"/>
      <x:c r="N404" s="33"/>
      <x:c r="O404" s="20" t="str"/>
      <x:c r="P404" s="33"/>
      <x:c r="Q404" s="2" t="n">
        <x:f>IF(AND(AE404=1,COUNTIFS($A$7:$A$500,"T0067",$AE$7:$AE$500,1)=1,COUNTIFS($A$7:$A$500,"T0055",$AE$7:$AE$500,1)=1),1,0)</x:f>
        <x:v>0</x:v>
      </x:c>
      <x:c r="R404" s="2" t="str">
        <x:f>IF(AND(Q404=1,P404&lt;='Dashboard'!$B$5),IF(P404&gt;B404,"Accepted late","Accepted"),IF(B404&lt;'Dashboard'!$B$5,"Overdue",IF(I404="Blocked","Blocked",IF(B404='Dashboard'!$B$5,"Due today","Planned"))))</x:f>
        <x:v>Planned</x:v>
      </x:c>
      <x:c r="S404" s="26" t="str">
        <x:f>IF(I404="Accepted",IF(K404="","Add evidence",IF(O404="","Add reviewer",IF(P404="","Add accepted date",IF(AND(ISNUMBER(F404),COUNT(G404)=0),"Add actual quantity",IF(Q404=0,"Review target / date / dependencies","Complete"))))),IF(OR(I404="Blocked",I404="Deferred"),IF(L404="","Record blocker / reason",IF(M404="","Assign rescue owner",IF(N404="","Set recovery date","Recovery assigned"))),IF(B404&lt;'Dashboard'!$B$5,"Escalate and record recovery","Work to acceptance standard")))</x:f>
        <x:v>Work to acceptance standard</x:v>
      </x:c>
      <x:c r="T404" s="26" t="str">
        <x:v>T0067</x:v>
      </x:c>
      <x:c r="U404" s="26" t="str">
        <x:v>Form to CQL&lt;1 min; approved copy unchanged; no work manufactured if healthy; ongoing reserve&lt;=2 h/week.</x:v>
      </x:c>
      <x:c r="V404" s="31" t="n">
        <x:v>0.4</x:v>
      </x:c>
      <x:c r="W404" s="26" t="str"/>
      <x:c r="X404" s="26" t="str">
        <x:v>DSI Reset PDF: lane responsibilities and dated runbook; dated allocation proposed for this tracker.</x:v>
      </x:c>
      <x:c r="Y404" s="30" t="n">
        <x:f>B404-WEEKDAY(B404,2)+1</x:f>
        <x:v>46363</x:v>
      </x:c>
      <x:c r="Z404" s="2" t="str">
        <x:v>checklist</x:v>
      </x:c>
      <x:c r="AA404" s="2" t="n">
        <x:f>IF(Q404=1,IF(P404&gt;B404,1,0),0)</x:f>
        <x:v>0</x:v>
      </x:c>
      <x:c r="AB404" s="2" t="n">
        <x:f>IF(AND(Q404=1,P404&lt;='Dashboard'!$B$5),0,MAX(0,'Dashboard'!$B$5-B404))</x:f>
        <x:v>0</x:v>
      </x:c>
      <x:c r="AC404" s="28" t="str"/>
      <x:c r="AD404" s="2" t="str">
        <x:f>IF(AND(ISNUMBER(F404),ISNUMBER(G404)),G404-F404,"")</x:f>
      </x:c>
      <x:c r="AE404" s="2" t="n">
        <x:f>IF(AND(I404="Accepted",K404&lt;&gt;"",O404&lt;&gt;"",ISNUMBER(P404),P404&gt;0,P404&lt;='Dashboard'!$B$5,IF(ISNUMBER(F404),ISNUMBER(G404),TRUE),IF(ISNUMBER(F404),G404&gt;=F404,TRUE)),1,0)</x:f>
        <x:v>0</x:v>
      </x:c>
    </x:row>
    <x:row r="405" ht="58" customHeight="1">
      <x:c r="A405" s="2" t="str">
        <x:v>T0347</x:v>
      </x:c>
      <x:c r="B405" s="30" t="n">
        <x:v>46365</x:v>
      </x:c>
      <x:c r="C405" s="2" t="str">
        <x:v>Dexter</x:v>
      </x:c>
      <x:c r="D405" s="2" t="str">
        <x:v>LinkedIn Execution</x:v>
      </x:c>
      <x:c r="E405" s="26" t="str">
        <x:v>CQL logged DMs/accepts; eligible requests; referred interested replies; approved post evidence Publish approved post SOC16 (Educate); capture the live URL.</x:v>
      </x:c>
      <x:c r="F405" s="2" t="n">
        <x:v>25</x:v>
      </x:c>
      <x:c r="G405" s="20"/>
      <x:c r="H405" s="2" t="str">
        <x:v>new request working target; eligible pool required</x:v>
      </x:c>
      <x:c r="I405" s="20" t="str">
        <x:v>Ready</x:v>
      </x:c>
      <x:c r="J405" s="2" t="str">
        <x:v>16:45</x:v>
      </x:c>
      <x:c r="K405" s="28" t="str"/>
      <x:c r="L405" s="28" t="str"/>
      <x:c r="M405" s="20" t="str"/>
      <x:c r="N405" s="33"/>
      <x:c r="O405" s="20" t="str"/>
      <x:c r="P405" s="33"/>
      <x:c r="Q405" s="2" t="n">
        <x:f>IF(AND(AE405=1,COUNTIFS($A$7:$A$500,"T0067",$AE$7:$AE$500,1)=1,COUNTIFS($A$7:$A$500,"T0055",$AE$7:$AE$500,1)=1),1,0)</x:f>
        <x:v>0</x:v>
      </x:c>
      <x:c r="R405" s="2" t="str">
        <x:f>IF(AND(Q405=1,P405&lt;='Dashboard'!$B$5),IF(P405&gt;B405,"Accepted late","Accepted"),IF(B405&lt;'Dashboard'!$B$5,"Overdue",IF(I405="Blocked","Blocked",IF(B405='Dashboard'!$B$5,"Due today","Planned"))))</x:f>
        <x:v>Planned</x:v>
      </x:c>
      <x:c r="S405" s="26" t="str">
        <x:f>IF(I405="Accepted",IF(K405="","Add evidence",IF(O405="","Add reviewer",IF(P405="","Add accepted date",IF(AND(ISNUMBER(F405),COUNT(G405)=0),"Add actual quantity",IF(Q405=0,"Review target / date / dependencies","Complete"))))),IF(OR(I405="Blocked",I405="Deferred"),IF(L405="","Record blocker / reason",IF(M405="","Assign rescue owner",IF(N405="","Set recovery date","Recovery assigned"))),IF(B405&lt;'Dashboard'!$B$5,"Escalate and record recovery","Work to acceptance standard")))</x:f>
        <x:v>Work to acceptance standard</x:v>
      </x:c>
      <x:c r="T405" s="26" t="str">
        <x:v>T0067</x:v>
      </x:c>
      <x:c r="U405"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05" s="31" t="n">
        <x:v>3</x:v>
      </x:c>
      <x:c r="W405" s="26" t="str"/>
      <x:c r="X405" s="26" t="str">
        <x:v>DSI Reset PDF: lane responsibilities and dated runbook; dated allocation proposed for this tracker.</x:v>
      </x:c>
      <x:c r="Y405" s="30" t="n">
        <x:f>B405-WEEKDAY(B405,2)+1</x:f>
        <x:v>46363</x:v>
      </x:c>
      <x:c r="Z405" s="2" t="str">
        <x:v>capacity</x:v>
      </x:c>
      <x:c r="AA405" s="2" t="n">
        <x:f>IF(Q405=1,IF(P405&gt;B405,1,0),0)</x:f>
        <x:v>0</x:v>
      </x:c>
      <x:c r="AB405" s="2" t="n">
        <x:f>IF(AND(Q405=1,P405&lt;='Dashboard'!$B$5),0,MAX(0,'Dashboard'!$B$5-B405))</x:f>
        <x:v>0</x:v>
      </x:c>
      <x:c r="AC405" s="28" t="str"/>
      <x:c r="AD405" s="2" t="str">
        <x:f>IF(AND(ISNUMBER(F405),ISNUMBER(G405)),G405-F405,"")</x:f>
      </x:c>
      <x:c r="AE405" s="2" t="n">
        <x:f>IF(AND(I405="Accepted",K405&lt;&gt;"",O405&lt;&gt;"",ISNUMBER(P405),P405&gt;0,P405&lt;='Dashboard'!$B$5,IF(ISNUMBER(F405),ISNUMBER(G405),TRUE),IF(ISNUMBER(F405),OR(G405&gt;=F405,AC405&lt;&gt;""),TRUE)),1,0)</x:f>
        <x:v>0</x:v>
      </x:c>
    </x:row>
    <x:row r="406" ht="58" customHeight="1">
      <x:c r="A406" s="2" t="str">
        <x:v>T0348</x:v>
      </x:c>
      <x:c r="B406" s="30" t="n">
        <x:v>46365</x:v>
      </x:c>
      <x:c r="C406" s="2" t="str">
        <x:v>Setter 1</x:v>
      </x:c>
      <x:c r="D406" s="2" t="str">
        <x:v>Reply and Phone Setter</x:v>
      </x:c>
      <x:c r="E406" s="26" t="str">
        <x:v>SLA/call outcome log; bookings and next steps; handoff to Nova</x:v>
      </x:c>
      <x:c r="F406" s="2" t="n">
        <x:v>50</x:v>
      </x:c>
      <x:c r="G406" s="20"/>
      <x:c r="H406" s="2" t="str">
        <x:v>dial working target; inbound SLA takes priority</x:v>
      </x:c>
      <x:c r="I406" s="20" t="str">
        <x:v>Ready</x:v>
      </x:c>
      <x:c r="J406" s="2" t="str">
        <x:v>16:45</x:v>
      </x:c>
      <x:c r="K406" s="28" t="str"/>
      <x:c r="L406" s="28" t="str"/>
      <x:c r="M406" s="20" t="str"/>
      <x:c r="N406" s="33"/>
      <x:c r="O406" s="20" t="str"/>
      <x:c r="P406" s="33"/>
      <x:c r="Q406" s="2" t="n">
        <x:f>IF(AND(AE406=1,COUNTIFS($A$7:$A$500,"T0013",$AE$7:$AE$500,1)=1,COUNTIFS($A$7:$A$500,"T0055",$AE$7:$AE$500,1)=1),1,0)</x:f>
        <x:v>0</x:v>
      </x:c>
      <x:c r="R406" s="2" t="str">
        <x:f>IF(AND(Q406=1,P406&lt;='Dashboard'!$B$5),IF(P406&gt;B406,"Accepted late","Accepted"),IF(B406&lt;'Dashboard'!$B$5,"Overdue",IF(I406="Blocked","Blocked",IF(B406='Dashboard'!$B$5,"Due today","Planned"))))</x:f>
        <x:v>Planned</x:v>
      </x:c>
      <x:c r="S406" s="26" t="str">
        <x:f>IF(I406="Accepted",IF(K406="","Add evidence",IF(O406="","Add reviewer",IF(P406="","Add accepted date",IF(AND(ISNUMBER(F406),COUNT(G406)=0),"Add actual quantity",IF(Q406=0,"Review target / date / dependencies","Complete"))))),IF(OR(I406="Blocked",I406="Deferred"),IF(L406="","Record blocker / reason",IF(M406="","Assign rescue owner",IF(N406="","Set recovery date","Recovery assigned"))),IF(B406&lt;'Dashboard'!$B$5,"Escalate and record recovery","Work to acceptance standard")))</x:f>
        <x:v>Work to acceptance standard</x:v>
      </x:c>
      <x:c r="T406" s="26" t="str">
        <x:v>T0013; T0055</x:v>
      </x:c>
      <x:c r="U406"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06" s="31" t="n">
        <x:v>7.5</x:v>
      </x:c>
      <x:c r="W406" s="26" t="str"/>
      <x:c r="X406" s="26" t="str">
        <x:v>DSI Reset PDF: lane responsibilities and dated runbook; dated allocation proposed for this tracker.</x:v>
      </x:c>
      <x:c r="Y406" s="30" t="n">
        <x:f>B406-WEEKDAY(B406,2)+1</x:f>
        <x:v>46363</x:v>
      </x:c>
      <x:c r="Z406" s="2" t="str">
        <x:v>capacity</x:v>
      </x:c>
      <x:c r="AA406" s="2" t="n">
        <x:f>IF(Q406=1,IF(P406&gt;B406,1,0),0)</x:f>
        <x:v>0</x:v>
      </x:c>
      <x:c r="AB406" s="2" t="n">
        <x:f>IF(AND(Q406=1,P406&lt;='Dashboard'!$B$5),0,MAX(0,'Dashboard'!$B$5-B406))</x:f>
        <x:v>0</x:v>
      </x:c>
      <x:c r="AC406" s="28" t="str"/>
      <x:c r="AD406" s="2" t="str">
        <x:f>IF(AND(ISNUMBER(F406),ISNUMBER(G406)),G406-F406,"")</x:f>
      </x:c>
      <x:c r="AE406" s="2" t="n">
        <x:f>IF(AND(I406="Accepted",K406&lt;&gt;"",O406&lt;&gt;"",ISNUMBER(P406),P406&gt;0,P406&lt;='Dashboard'!$B$5,IF(ISNUMBER(F406),ISNUMBER(G406),TRUE),IF(ISNUMBER(F406),OR(G406&gt;=F406,AC406&lt;&gt;""),TRUE)),1,0)</x:f>
        <x:v>0</x:v>
      </x:c>
    </x:row>
    <x:row r="407" ht="58" customHeight="1">
      <x:c r="A407" s="2" t="str">
        <x:v>T0349</x:v>
      </x:c>
      <x:c r="B407" s="30" t="n">
        <x:v>46365</x:v>
      </x:c>
      <x:c r="C407" s="2" t="str">
        <x:v>Setter 2</x:v>
      </x:c>
      <x:c r="D407" s="2" t="str">
        <x:v>Reply and Phone Setter</x:v>
      </x:c>
      <x:c r="E407" s="26" t="str">
        <x:v>SLA/call outcome log; bookings and next steps; handoff to Nova</x:v>
      </x:c>
      <x:c r="F407" s="2" t="n">
        <x:v>50</x:v>
      </x:c>
      <x:c r="G407" s="20"/>
      <x:c r="H407" s="2" t="str">
        <x:v>dial working target; inbound SLA takes priority</x:v>
      </x:c>
      <x:c r="I407" s="20" t="str">
        <x:v>Ready</x:v>
      </x:c>
      <x:c r="J407" s="2" t="str">
        <x:v>16:45</x:v>
      </x:c>
      <x:c r="K407" s="28" t="str"/>
      <x:c r="L407" s="28" t="str"/>
      <x:c r="M407" s="20" t="str"/>
      <x:c r="N407" s="33"/>
      <x:c r="O407" s="20" t="str"/>
      <x:c r="P407" s="33"/>
      <x:c r="Q407" s="2" t="n">
        <x:f>IF(AND(AE407=1,COUNTIFS($A$7:$A$500,"T0013",$AE$7:$AE$500,1)=1,COUNTIFS($A$7:$A$500,"T0055",$AE$7:$AE$500,1)=1),1,0)</x:f>
        <x:v>0</x:v>
      </x:c>
      <x:c r="R407" s="2" t="str">
        <x:f>IF(AND(Q407=1,P407&lt;='Dashboard'!$B$5),IF(P407&gt;B407,"Accepted late","Accepted"),IF(B407&lt;'Dashboard'!$B$5,"Overdue",IF(I407="Blocked","Blocked",IF(B407='Dashboard'!$B$5,"Due today","Planned"))))</x:f>
        <x:v>Planned</x:v>
      </x:c>
      <x:c r="S407" s="26" t="str">
        <x:f>IF(I407="Accepted",IF(K407="","Add evidence",IF(O407="","Add reviewer",IF(P407="","Add accepted date",IF(AND(ISNUMBER(F407),COUNT(G407)=0),"Add actual quantity",IF(Q407=0,"Review target / date / dependencies","Complete"))))),IF(OR(I407="Blocked",I407="Deferred"),IF(L407="","Record blocker / reason",IF(M407="","Assign rescue owner",IF(N407="","Set recovery date","Recovery assigned"))),IF(B407&lt;'Dashboard'!$B$5,"Escalate and record recovery","Work to acceptance standard")))</x:f>
        <x:v>Work to acceptance standard</x:v>
      </x:c>
      <x:c r="T407" s="26" t="str">
        <x:v>T0013; T0055</x:v>
      </x:c>
      <x:c r="U40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07" s="31" t="n">
        <x:v>7.5</x:v>
      </x:c>
      <x:c r="W407" s="26" t="str"/>
      <x:c r="X407" s="26" t="str">
        <x:v>DSI Reset PDF: lane responsibilities and dated runbook; dated allocation proposed for this tracker.</x:v>
      </x:c>
      <x:c r="Y407" s="30" t="n">
        <x:f>B407-WEEKDAY(B407,2)+1</x:f>
        <x:v>46363</x:v>
      </x:c>
      <x:c r="Z407" s="2" t="str">
        <x:v>capacity</x:v>
      </x:c>
      <x:c r="AA407" s="2" t="n">
        <x:f>IF(Q407=1,IF(P407&gt;B407,1,0),0)</x:f>
        <x:v>0</x:v>
      </x:c>
      <x:c r="AB407" s="2" t="n">
        <x:f>IF(AND(Q407=1,P407&lt;='Dashboard'!$B$5),0,MAX(0,'Dashboard'!$B$5-B407))</x:f>
        <x:v>0</x:v>
      </x:c>
      <x:c r="AC407" s="28" t="str"/>
      <x:c r="AD407" s="2" t="str">
        <x:f>IF(AND(ISNUMBER(F407),ISNUMBER(G407)),G407-F407,"")</x:f>
      </x:c>
      <x:c r="AE407" s="2" t="n">
        <x:f>IF(AND(I407="Accepted",K407&lt;&gt;"",O407&lt;&gt;"",ISNUMBER(P407),P407&gt;0,P407&lt;='Dashboard'!$B$5,IF(ISNUMBER(F407),ISNUMBER(G407),TRUE),IF(ISNUMBER(F407),OR(G407&gt;=F407,AC407&lt;&gt;""),TRUE)),1,0)</x:f>
        <x:v>0</x:v>
      </x:c>
    </x:row>
    <x:row r="408" ht="58" customHeight="1">
      <x:c r="A408" s="2" t="str">
        <x:v>T0481</x:v>
      </x:c>
      <x:c r="B408" s="30" t="n">
        <x:v>46365</x:v>
      </x:c>
      <x:c r="C408" s="2" t="str">
        <x:v>Nic</x:v>
      </x:c>
      <x:c r="D408" s="2" t="str">
        <x:v>Client dependency</x:v>
      </x:c>
      <x:c r="E408" s="26" t="str">
        <x:v>Call outcome/next step for every appointment due; first-case decisions</x:v>
      </x:c>
      <x:c r="F408" s="2" t="str"/>
      <x:c r="G408" s="20"/>
      <x:c r="H408" s="2" t="str">
        <x:v>all due appointments</x:v>
      </x:c>
      <x:c r="I408" s="20" t="str">
        <x:v>Ready</x:v>
      </x:c>
      <x:c r="J408" s="2" t="str">
        <x:v>16:45</x:v>
      </x:c>
      <x:c r="K408" s="28" t="str"/>
      <x:c r="L408" s="28" t="str"/>
      <x:c r="M408" s="20" t="str"/>
      <x:c r="N408" s="33"/>
      <x:c r="O408" s="20" t="str"/>
      <x:c r="P408" s="33"/>
      <x:c r="Q408" s="2" t="n">
        <x:f>IF(AND(AE408=1,COUNTIFS($A$7:$A$500,"T0028",$AE$7:$AE$500,1)=1),1,0)</x:f>
        <x:v>0</x:v>
      </x:c>
      <x:c r="R408" s="2" t="str">
        <x:f>IF(AND(Q408=1,P408&lt;='Dashboard'!$B$5),IF(P408&gt;B408,"Accepted late","Accepted"),IF(B408&lt;'Dashboard'!$B$5,"Overdue",IF(I408="Blocked","Blocked",IF(B408='Dashboard'!$B$5,"Due today","Planned"))))</x:f>
        <x:v>Planned</x:v>
      </x:c>
      <x:c r="S408" s="26" t="str">
        <x:f>IF(I408="Accepted",IF(K408="","Add evidence",IF(O408="","Add reviewer",IF(P408="","Add accepted date",IF(AND(ISNUMBER(F408),COUNT(G408)=0),"Add actual quantity",IF(Q408=0,"Review target / date / dependencies","Complete"))))),IF(OR(I408="Blocked",I408="Deferred"),IF(L408="","Record blocker / reason",IF(M408="","Assign rescue owner",IF(N408="","Set recovery date","Recovery assigned"))),IF(B408&lt;'Dashboard'!$B$5,"Escalate and record recovery","Work to acceptance standard")))</x:f>
        <x:v>Work to acceptance standard</x:v>
      </x:c>
      <x:c r="T408" s="26" t="str">
        <x:v>T0028</x:v>
      </x:c>
      <x:c r="U408" s="26" t="str">
        <x:v>Demand-linked: work actual approved calendar; setter brief present; outcome logged same day. No calls scheduled is N/A with calendar evidence.</x:v>
      </x:c>
      <x:c r="V408" s="31" t="n">
        <x:v>0.5</x:v>
      </x:c>
      <x:c r="W408" s="26" t="str"/>
      <x:c r="X408" s="26" t="str">
        <x:v>DSI Reset PDF: lane responsibilities and dated runbook; dated allocation proposed for this tracker.</x:v>
      </x:c>
      <x:c r="Y408" s="30" t="n">
        <x:f>B408-WEEKDAY(B408,2)+1</x:f>
        <x:v>46363</x:v>
      </x:c>
      <x:c r="Z408" s="2" t="str">
        <x:v>demand</x:v>
      </x:c>
      <x:c r="AA408" s="2" t="n">
        <x:f>IF(Q408=1,IF(P408&gt;B408,1,0),0)</x:f>
        <x:v>0</x:v>
      </x:c>
      <x:c r="AB408" s="2" t="n">
        <x:f>IF(AND(Q408=1,P408&lt;='Dashboard'!$B$5),0,MAX(0,'Dashboard'!$B$5-B408))</x:f>
        <x:v>0</x:v>
      </x:c>
      <x:c r="AC408" s="28" t="str"/>
      <x:c r="AD408" s="2" t="str">
        <x:f>IF(AND(ISNUMBER(F408),ISNUMBER(G408)),G408-F408,"")</x:f>
      </x:c>
      <x:c r="AE408" s="2" t="n">
        <x:f>IF(AND(I408="Accepted",K408&lt;&gt;"",O408&lt;&gt;"",ISNUMBER(P408),P408&gt;0,P408&lt;='Dashboard'!$B$5,IF(ISNUMBER(F408),ISNUMBER(G408),TRUE)),1,0)</x:f>
        <x:v>0</x:v>
      </x:c>
    </x:row>
    <x:row r="409" ht="58" customHeight="1">
      <x:c r="A409" s="2" t="str">
        <x:v>T0482</x:v>
      </x:c>
      <x:c r="B409" s="30" t="n">
        <x:v>46365</x:v>
      </x:c>
      <x:c r="C409" s="2" t="str">
        <x:v>Maseeha</x:v>
      </x:c>
      <x:c r="D409" s="2" t="str">
        <x:v>Client dependency</x:v>
      </x:c>
      <x:c r="E409" s="26" t="str">
        <x:v>Due intro verification; kit/case handoff; delivery/Day-30 dates; credit trigger log</x:v>
      </x:c>
      <x:c r="F409" s="2" t="str"/>
      <x:c r="G409" s="20"/>
      <x:c r="H409" s="2" t="str">
        <x:v>all due cases</x:v>
      </x:c>
      <x:c r="I409" s="20" t="str">
        <x:v>Ready</x:v>
      </x:c>
      <x:c r="J409" s="2" t="str">
        <x:v>16:45</x:v>
      </x:c>
      <x:c r="K409" s="28" t="str"/>
      <x:c r="L409" s="28" t="str"/>
      <x:c r="M409" s="20" t="str"/>
      <x:c r="N409" s="33"/>
      <x:c r="O409" s="20" t="str"/>
      <x:c r="P409" s="33"/>
      <x:c r="Q409" s="2" t="n">
        <x:f>IF(AND(AE409=1,COUNTIFS($A$7:$A$500,"T0028",$AE$7:$AE$500,1)=1),1,0)</x:f>
        <x:v>0</x:v>
      </x:c>
      <x:c r="R409" s="2" t="str">
        <x:f>IF(AND(Q409=1,P409&lt;='Dashboard'!$B$5),IF(P409&gt;B409,"Accepted late","Accepted"),IF(B409&lt;'Dashboard'!$B$5,"Overdue",IF(I409="Blocked","Blocked",IF(B409='Dashboard'!$B$5,"Due today","Planned"))))</x:f>
        <x:v>Planned</x:v>
      </x:c>
      <x:c r="S409" s="26" t="str">
        <x:f>IF(I409="Accepted",IF(K409="","Add evidence",IF(O409="","Add reviewer",IF(P409="","Add accepted date",IF(AND(ISNUMBER(F409),COUNT(G409)=0),"Add actual quantity",IF(Q409=0,"Review target / date / dependencies","Complete"))))),IF(OR(I409="Blocked",I409="Deferred"),IF(L409="","Record blocker / reason",IF(M409="","Assign rescue owner",IF(N409="","Set recovery date","Recovery assigned"))),IF(B409&lt;'Dashboard'!$B$5,"Escalate and record recovery","Work to acceptance standard")))</x:f>
        <x:v>Work to acceptance standard</x:v>
      </x:c>
      <x:c r="T409" s="26" t="str">
        <x:v>T0028</x:v>
      </x:c>
      <x:c r="U409" s="26" t="str">
        <x:v>Demand-linked: referral verification&lt;=2 business days; trial capacity respected; $200 credit only on eligible invoice paid.</x:v>
      </x:c>
      <x:c r="V409" s="31" t="n">
        <x:v>0.5</x:v>
      </x:c>
      <x:c r="W409" s="26" t="str"/>
      <x:c r="X409" s="26" t="str">
        <x:v>DSI Reset PDF: lane responsibilities and dated runbook; dated allocation proposed for this tracker.</x:v>
      </x:c>
      <x:c r="Y409" s="30" t="n">
        <x:f>B409-WEEKDAY(B409,2)+1</x:f>
        <x:v>46363</x:v>
      </x:c>
      <x:c r="Z409" s="2" t="str">
        <x:v>demand</x:v>
      </x:c>
      <x:c r="AA409" s="2" t="n">
        <x:f>IF(Q409=1,IF(P409&gt;B409,1,0),0)</x:f>
        <x:v>0</x:v>
      </x:c>
      <x:c r="AB409" s="2" t="n">
        <x:f>IF(AND(Q409=1,P409&lt;='Dashboard'!$B$5),0,MAX(0,'Dashboard'!$B$5-B409))</x:f>
        <x:v>0</x:v>
      </x:c>
      <x:c r="AC409" s="28" t="str"/>
      <x:c r="AD409" s="2" t="str">
        <x:f>IF(AND(ISNUMBER(F409),ISNUMBER(G409)),G409-F409,"")</x:f>
      </x:c>
      <x:c r="AE409" s="2" t="n">
        <x:f>IF(AND(I409="Accepted",K409&lt;&gt;"",O409&lt;&gt;"",ISNUMBER(P409),P409&gt;0,P409&lt;='Dashboard'!$B$5,IF(ISNUMBER(F409),ISNUMBER(G409),TRUE)),1,0)</x:f>
        <x:v>0</x:v>
      </x:c>
    </x:row>
    <x:row r="410" ht="58" customHeight="1">
      <x:c r="A410" s="2" t="str">
        <x:v>T0350</x:v>
      </x:c>
      <x:c r="B410" s="30" t="n">
        <x:v>46366</x:v>
      </x:c>
      <x:c r="C410" s="2" t="str">
        <x:v>Wyline</x:v>
      </x:c>
      <x:c r="D410" s="2" t="str">
        <x:v>Program Director</x:v>
      </x:c>
      <x:c r="E410" s="26" t="str">
        <x:v>Accepted-output register; actual-vs-target dashboard; blocker/rescue assignments</x:v>
      </x:c>
      <x:c r="F410" s="2" t="n">
        <x:v>1</x:v>
      </x:c>
      <x:c r="G410" s="20"/>
      <x:c r="H410" s="2" t="str">
        <x:v>accepted output</x:v>
      </x:c>
      <x:c r="I410" s="20" t="str">
        <x:v>Ready</x:v>
      </x:c>
      <x:c r="J410" s="2" t="str">
        <x:v>16:45</x:v>
      </x:c>
      <x:c r="K410" s="28" t="str"/>
      <x:c r="L410" s="28" t="str"/>
      <x:c r="M410" s="20" t="str"/>
      <x:c r="N410" s="33"/>
      <x:c r="O410" s="20" t="str"/>
      <x:c r="P410" s="33"/>
      <x:c r="Q410" s="2" t="n">
        <x:f>IF(AND(AE410=1,COUNTIFS($A$7:$A$500,"T0067",$AE$7:$AE$500,1)=1,COUNTIFS($A$7:$A$500,"T0055",$AE$7:$AE$500,1)=1),1,0)</x:f>
        <x:v>0</x:v>
      </x:c>
      <x:c r="R410" s="2" t="str">
        <x:f>IF(AND(Q410=1,P410&lt;='Dashboard'!$B$5),IF(P410&gt;B410,"Accepted late","Accepted"),IF(B410&lt;'Dashboard'!$B$5,"Overdue",IF(I410="Blocked","Blocked",IF(B410='Dashboard'!$B$5,"Due today","Planned"))))</x:f>
        <x:v>Planned</x:v>
      </x:c>
      <x:c r="S410" s="26" t="str">
        <x:f>IF(I410="Accepted",IF(K410="","Add evidence",IF(O410="","Add reviewer",IF(P410="","Add accepted date",IF(AND(ISNUMBER(F410),COUNT(G410)=0),"Add actual quantity",IF(Q410=0,"Review target / date / dependencies","Complete"))))),IF(OR(I410="Blocked",I410="Deferred"),IF(L410="","Record blocker / reason",IF(M410="","Assign rescue owner",IF(N410="","Set recovery date","Recovery assigned"))),IF(B410&lt;'Dashboard'!$B$5,"Escalate and record recovery","Work to acceptance standard")))</x:f>
        <x:v>Work to acceptance standard</x:v>
      </x:c>
      <x:c r="T410" s="26" t="str">
        <x:v>T0067</x:v>
      </x:c>
      <x:c r="U410" s="26" t="str">
        <x:v>09:00 standup; 13:00/16:30 recovery checks; 17:00 acceptance. Every overdue task keeps original date and named recovery owner.</x:v>
      </x:c>
      <x:c r="V410" s="31" t="n">
        <x:v>3</x:v>
      </x:c>
      <x:c r="W410" s="26" t="str"/>
      <x:c r="X410" s="26" t="str">
        <x:v>DSI Reset PDF: lane responsibilities and dated runbook; dated allocation proposed for this tracker.</x:v>
      </x:c>
      <x:c r="Y410" s="30" t="n">
        <x:f>B410-WEEKDAY(B410,2)+1</x:f>
        <x:v>46363</x:v>
      </x:c>
      <x:c r="Z410" s="2" t="str">
        <x:v>checklist</x:v>
      </x:c>
      <x:c r="AA410" s="2" t="n">
        <x:f>IF(Q410=1,IF(P410&gt;B410,1,0),0)</x:f>
        <x:v>0</x:v>
      </x:c>
      <x:c r="AB410" s="2" t="n">
        <x:f>IF(AND(Q410=1,P410&lt;='Dashboard'!$B$5),0,MAX(0,'Dashboard'!$B$5-B410))</x:f>
        <x:v>0</x:v>
      </x:c>
      <x:c r="AC410" s="28" t="str"/>
      <x:c r="AD410" s="2" t="str">
        <x:f>IF(AND(ISNUMBER(F410),ISNUMBER(G410)),G410-F410,"")</x:f>
      </x:c>
      <x:c r="AE410" s="2" t="n">
        <x:f>IF(AND(I410="Accepted",K410&lt;&gt;"",O410&lt;&gt;"",ISNUMBER(P410),P410&gt;0,P410&lt;='Dashboard'!$B$5,IF(ISNUMBER(F410),ISNUMBER(G410),TRUE),IF(ISNUMBER(F410),G410&gt;=F410,TRUE)),1,0)</x:f>
        <x:v>0</x:v>
      </x:c>
    </x:row>
    <x:row r="411" ht="58" customHeight="1">
      <x:c r="A411" s="2" t="str">
        <x:v>T0351</x:v>
      </x:c>
      <x:c r="B411" s="30" t="n">
        <x:v>46366</x:v>
      </x:c>
      <x:c r="C411" s="2" t="str">
        <x:v>Kenneth</x:v>
      </x:c>
      <x:c r="D411" s="2" t="str">
        <x:v>Message Orchestrator</x:v>
      </x:c>
      <x:c r="E411" s="26" t="str">
        <x:v>Human-reply insights; 5 Inbox draft checks; approved first lines; claim exceptions</x:v>
      </x:c>
      <x:c r="F411" s="2" t="n">
        <x:v>1</x:v>
      </x:c>
      <x:c r="G411" s="20"/>
      <x:c r="H411" s="2" t="str">
        <x:v>accepted output</x:v>
      </x:c>
      <x:c r="I411" s="20" t="str">
        <x:v>Ready</x:v>
      </x:c>
      <x:c r="J411" s="2" t="str">
        <x:v>16:45</x:v>
      </x:c>
      <x:c r="K411" s="28" t="str"/>
      <x:c r="L411" s="28" t="str"/>
      <x:c r="M411" s="20" t="str"/>
      <x:c r="N411" s="33"/>
      <x:c r="O411" s="20" t="str"/>
      <x:c r="P411" s="33"/>
      <x:c r="Q411" s="2" t="n">
        <x:f>IF(AND(AE411=1,COUNTIFS($A$7:$A$500,"T0067",$AE$7:$AE$500,1)=1,COUNTIFS($A$7:$A$500,"T0055",$AE$7:$AE$500,1)=1),1,0)</x:f>
        <x:v>0</x:v>
      </x:c>
      <x:c r="R411" s="2" t="str">
        <x:f>IF(AND(Q411=1,P411&lt;='Dashboard'!$B$5),IF(P411&gt;B411,"Accepted late","Accepted"),IF(B411&lt;'Dashboard'!$B$5,"Overdue",IF(I411="Blocked","Blocked",IF(B411='Dashboard'!$B$5,"Due today","Planned"))))</x:f>
        <x:v>Planned</x:v>
      </x:c>
      <x:c r="S411" s="26" t="str">
        <x:f>IF(I411="Accepted",IF(K411="","Add evidence",IF(O411="","Add reviewer",IF(P411="","Add accepted date",IF(AND(ISNUMBER(F411),COUNT(G411)=0),"Add actual quantity",IF(Q411=0,"Review target / date / dependencies","Complete"))))),IF(OR(I411="Blocked",I411="Deferred"),IF(L411="","Record blocker / reason",IF(M411="","Assign rescue owner",IF(N411="","Set recovery date","Recovery assigned"))),IF(B411&lt;'Dashboard'!$B$5,"Escalate and record recovery","Work to acceptance standard")))</x:f>
        <x:v>Work to acceptance standard</x:v>
      </x:c>
      <x:c r="T411" s="26" t="str">
        <x:v>T0067</x:v>
      </x:c>
      <x:c r="U411" s="26" t="str">
        <x:v>Zero invented claims. If any draft fails facts, stop drafting/retrain; no offer change without approval.</x:v>
      </x:c>
      <x:c r="V411" s="31" t="n">
        <x:v>2.4</x:v>
      </x:c>
      <x:c r="W411" s="26" t="str"/>
      <x:c r="X411" s="26" t="str">
        <x:v>DSI Reset PDF: lane responsibilities and dated runbook; dated allocation proposed for this tracker.</x:v>
      </x:c>
      <x:c r="Y411" s="30" t="n">
        <x:f>B411-WEEKDAY(B411,2)+1</x:f>
        <x:v>46363</x:v>
      </x:c>
      <x:c r="Z411" s="2" t="str">
        <x:v>checklist</x:v>
      </x:c>
      <x:c r="AA411" s="2" t="n">
        <x:f>IF(Q411=1,IF(P411&gt;B411,1,0),0)</x:f>
        <x:v>0</x:v>
      </x:c>
      <x:c r="AB411" s="2" t="n">
        <x:f>IF(AND(Q411=1,P411&lt;='Dashboard'!$B$5),0,MAX(0,'Dashboard'!$B$5-B411))</x:f>
        <x:v>0</x:v>
      </x:c>
      <x:c r="AC411" s="28" t="str"/>
      <x:c r="AD411" s="2" t="str">
        <x:f>IF(AND(ISNUMBER(F411),ISNUMBER(G411)),G411-F411,"")</x:f>
      </x:c>
      <x:c r="AE411" s="2" t="n">
        <x:f>IF(AND(I411="Accepted",K411&lt;&gt;"",O411&lt;&gt;"",ISNUMBER(P411),P411&gt;0,P411&lt;='Dashboard'!$B$5,IF(ISNUMBER(F411),ISNUMBER(G411),TRUE),IF(ISNUMBER(F411),G411&gt;=F411,TRUE)),1,0)</x:f>
        <x:v>0</x:v>
      </x:c>
    </x:row>
    <x:row r="412" ht="58" customHeight="1">
      <x:c r="A412" s="2" t="str">
        <x:v>T0352</x:v>
      </x:c>
      <x:c r="B412" s="30" t="n">
        <x:v>46366</x:v>
      </x:c>
      <x:c r="C412" s="2" t="str">
        <x:v>Joey</x:v>
      </x:c>
      <x:c r="D412" s="2" t="str">
        <x:v>Data Orchestrator</x:v>
      </x:c>
      <x:c r="E412" s="26" t="str">
        <x:v>Mailbox/bounce/suppression log; ready verified records; due-follow up versus new-send capacity plan. Planned list output today: 20 new verified contacts; cumulative ready pool 730.</x:v>
      </x:c>
      <x:c r="F412" s="2" t="n">
        <x:v>20</x:v>
      </x:c>
      <x:c r="G412" s="20"/>
      <x:c r="H412" s="2" t="str">
        <x:v>new verified contacts; proposed daily pace</x:v>
      </x:c>
      <x:c r="I412" s="20" t="str">
        <x:v>Ready</x:v>
      </x:c>
      <x:c r="J412" s="2" t="str">
        <x:v>16:45</x:v>
      </x:c>
      <x:c r="K412" s="28" t="str"/>
      <x:c r="L412" s="28" t="str"/>
      <x:c r="M412" s="20" t="str"/>
      <x:c r="N412" s="33"/>
      <x:c r="O412" s="20" t="str"/>
      <x:c r="P412" s="33"/>
      <x:c r="Q412" s="2" t="n">
        <x:f>IF(AND(AE412=1,COUNTIFS($A$7:$A$500,"T0067",$AE$7:$AE$500,1)=1,COUNTIFS($A$7:$A$500,"T0055",$AE$7:$AE$500,1)=1),1,0)</x:f>
        <x:v>0</x:v>
      </x:c>
      <x:c r="R412" s="2" t="str">
        <x:f>IF(AND(Q412=1,P412&lt;='Dashboard'!$B$5),IF(P412&gt;B412,"Accepted late","Accepted"),IF(B412&lt;'Dashboard'!$B$5,"Overdue",IF(I412="Blocked","Blocked",IF(B412='Dashboard'!$B$5,"Due today","Planned"))))</x:f>
        <x:v>Planned</x:v>
      </x:c>
      <x:c r="S412" s="26" t="str">
        <x:f>IF(I412="Accepted",IF(K412="","Add evidence",IF(O412="","Add reviewer",IF(P412="","Add accepted date",IF(AND(ISNUMBER(F412),COUNT(G412)=0),"Add actual quantity",IF(Q412=0,"Review target / date / dependencies","Complete"))))),IF(OR(I412="Blocked",I412="Deferred"),IF(L412="","Record blocker / reason",IF(M412="","Assign rescue owner",IF(N412="","Set recovery date","Recovery assigned"))),IF(B412&lt;'Dashboard'!$B$5,"Escalate and record recovery","Work to acceptance standard")))</x:f>
        <x:v>Work to acceptance standard</x:v>
      </x:c>
      <x:c r="T412" s="26" t="str">
        <x:v>T0067</x:v>
      </x:c>
      <x:c r="U412" s="26" t="str">
        <x:v>Planning pool addition 20 contacts today; quality gate wins over quota. Total sends&lt;=150/day;&gt;3% bounce affected mailbox held. No new cold enrollments on reduced/buffer days.</x:v>
      </x:c>
      <x:c r="V412" s="31" t="n">
        <x:v>3</x:v>
      </x:c>
      <x:c r="W412" s="26" t="str"/>
      <x:c r="X412" s="26" t="str">
        <x:v>DSI Reset PDF: lane responsibilities and dated runbook; dated allocation proposed for this tracker.</x:v>
      </x:c>
      <x:c r="Y412" s="30" t="n">
        <x:f>B412-WEEKDAY(B412,2)+1</x:f>
        <x:v>46363</x:v>
      </x:c>
      <x:c r="Z412" s="2" t="str">
        <x:v>goal</x:v>
      </x:c>
      <x:c r="AA412" s="2" t="n">
        <x:f>IF(Q412=1,IF(P412&gt;B412,1,0),0)</x:f>
        <x:v>0</x:v>
      </x:c>
      <x:c r="AB412" s="2" t="n">
        <x:f>IF(AND(Q412=1,P412&lt;='Dashboard'!$B$5),0,MAX(0,'Dashboard'!$B$5-B412))</x:f>
        <x:v>0</x:v>
      </x:c>
      <x:c r="AC412" s="28" t="str"/>
      <x:c r="AD412" s="2" t="str">
        <x:f>IF(AND(ISNUMBER(F412),ISNUMBER(G412)),G412-F412,"")</x:f>
      </x:c>
      <x:c r="AE412" s="2" t="n">
        <x:f>IF(AND(I412="Accepted",K412&lt;&gt;"",O412&lt;&gt;"",ISNUMBER(P412),P412&gt;0,P412&lt;='Dashboard'!$B$5,IF(ISNUMBER(F412),ISNUMBER(G412),TRUE),IF(ISNUMBER(F412),G412&gt;=F412,TRUE)),1,0)</x:f>
        <x:v>0</x:v>
      </x:c>
    </x:row>
    <x:row r="413" ht="58" customHeight="1">
      <x:c r="A413" s="2" t="str">
        <x:v>T0353</x:v>
      </x:c>
      <x:c r="B413" s="30" t="n">
        <x:v>46366</x:v>
      </x:c>
      <x:c r="C413" s="2" t="str">
        <x:v>Nova</x:v>
      </x:c>
      <x:c r="D413" s="2" t="str">
        <x:v>Conversion Orchestrator</x:v>
      </x:c>
      <x:c r="E413" s="26" t="str">
        <x:v>Coverage/SLA evidence; 2 call reviews; booked/held updates; next-step and trial handoffs. Log each unique qualified inquiry with practice type, decision-maker access, case volume, service need and readiness timing.</x:v>
      </x:c>
      <x:c r="F413" s="2" t="n">
        <x:v>1</x:v>
      </x:c>
      <x:c r="G413" s="20"/>
      <x:c r="H413" s="2" t="str">
        <x:v>accepted output</x:v>
      </x:c>
      <x:c r="I413" s="20" t="str">
        <x:v>Ready</x:v>
      </x:c>
      <x:c r="J413" s="2" t="str">
        <x:v>16:45</x:v>
      </x:c>
      <x:c r="K413" s="28" t="str"/>
      <x:c r="L413" s="28" t="str"/>
      <x:c r="M413" s="20" t="str"/>
      <x:c r="N413" s="33"/>
      <x:c r="O413" s="20" t="str"/>
      <x:c r="P413" s="33"/>
      <x:c r="Q413" s="2" t="n">
        <x:f>IF(AND(AE413=1,COUNTIFS($A$7:$A$500,"T0067",$AE$7:$AE$500,1)=1,COUNTIFS($A$7:$A$500,"T0055",$AE$7:$AE$500,1)=1),1,0)</x:f>
        <x:v>0</x:v>
      </x:c>
      <x:c r="R413" s="2" t="str">
        <x:f>IF(AND(Q413=1,P413&lt;='Dashboard'!$B$5),IF(P413&gt;B413,"Accepted late","Accepted"),IF(B413&lt;'Dashboard'!$B$5,"Overdue",IF(I413="Blocked","Blocked",IF(B413='Dashboard'!$B$5,"Due today","Planned"))))</x:f>
        <x:v>Planned</x:v>
      </x:c>
      <x:c r="S413" s="26" t="str">
        <x:f>IF(I413="Accepted",IF(K413="","Add evidence",IF(O413="","Add reviewer",IF(P413="","Add accepted date",IF(AND(ISNUMBER(F413),COUNT(G413)=0),"Add actual quantity",IF(Q413=0,"Review target / date / dependencies","Complete"))))),IF(OR(I413="Blocked",I413="Deferred"),IF(L413="","Record blocker / reason",IF(M413="","Assign rescue owner",IF(N413="","Set recovery date","Recovery assigned"))),IF(B413&lt;'Dashboard'!$B$5,"Escalate and record recovery","Work to acceptance standard")))</x:f>
        <x:v>Work to acceptance standard</x:v>
      </x:c>
      <x:c r="T413" s="26" t="str">
        <x:v>T0067</x:v>
      </x:c>
      <x:c r="U413" s="26" t="str">
        <x:v>Every eligible reply&lt;=15 min; positive call&lt;=60 min; no opportunity without next step; booked brief to Nic; trial logistics to Maseeha. Raw contacts, opens and accepts never count as qualified inquiries; deduplicate across channels.</x:v>
      </x:c>
      <x:c r="V413" s="31" t="n">
        <x:v>4</x:v>
      </x:c>
      <x:c r="W413" s="26" t="str"/>
      <x:c r="X413" s="26" t="str">
        <x:v>DSI Reset PDF: lane responsibilities and dated runbook; dated allocation proposed for this tracker.</x:v>
      </x:c>
      <x:c r="Y413" s="30" t="n">
        <x:f>B413-WEEKDAY(B413,2)+1</x:f>
        <x:v>46363</x:v>
      </x:c>
      <x:c r="Z413" s="2" t="str">
        <x:v>checklist</x:v>
      </x:c>
      <x:c r="AA413" s="2" t="n">
        <x:f>IF(Q413=1,IF(P413&gt;B413,1,0),0)</x:f>
        <x:v>0</x:v>
      </x:c>
      <x:c r="AB413" s="2" t="n">
        <x:f>IF(AND(Q413=1,P413&lt;='Dashboard'!$B$5),0,MAX(0,'Dashboard'!$B$5-B413))</x:f>
        <x:v>0</x:v>
      </x:c>
      <x:c r="AC413" s="28" t="str"/>
      <x:c r="AD413" s="2" t="str">
        <x:f>IF(AND(ISNUMBER(F413),ISNUMBER(G413)),G413-F413,"")</x:f>
      </x:c>
      <x:c r="AE413" s="2" t="n">
        <x:f>IF(AND(I413="Accepted",K413&lt;&gt;"",O413&lt;&gt;"",ISNUMBER(P413),P413&gt;0,P413&lt;='Dashboard'!$B$5,IF(ISNUMBER(F413),ISNUMBER(G413),TRUE),IF(ISNUMBER(F413),G413&gt;=F413,TRUE)),1,0)</x:f>
        <x:v>0</x:v>
      </x:c>
    </x:row>
    <x:row r="414" ht="58" customHeight="1">
      <x:c r="A414" s="2" t="str">
        <x:v>T0354</x:v>
      </x:c>
      <x:c r="B414" s="30" t="n">
        <x:v>46366</x:v>
      </x:c>
      <x:c r="C414" s="2" t="str">
        <x:v>Emman</x:v>
      </x:c>
      <x:c r="D414" s="2" t="str">
        <x:v>AI Build Orchestrator</x:v>
      </x:c>
      <x:c r="E414" s="26" t="str">
        <x:v>Health/retry log; one acceptance-backed build increment; updated change log</x:v>
      </x:c>
      <x:c r="F414" s="2" t="n">
        <x:v>1</x:v>
      </x:c>
      <x:c r="G414" s="20"/>
      <x:c r="H414" s="2" t="str">
        <x:v>accepted output</x:v>
      </x:c>
      <x:c r="I414" s="20" t="str">
        <x:v>Ready</x:v>
      </x:c>
      <x:c r="J414" s="2" t="str">
        <x:v>16:45</x:v>
      </x:c>
      <x:c r="K414" s="28" t="str"/>
      <x:c r="L414" s="28" t="str"/>
      <x:c r="M414" s="20" t="str"/>
      <x:c r="N414" s="33"/>
      <x:c r="O414" s="20" t="str"/>
      <x:c r="P414" s="33"/>
      <x:c r="Q414" s="2" t="n">
        <x:f>IF(AND(AE414=1,COUNTIFS($A$7:$A$500,"T0067",$AE$7:$AE$500,1)=1,COUNTIFS($A$7:$A$500,"T0055",$AE$7:$AE$500,1)=1),1,0)</x:f>
        <x:v>0</x:v>
      </x:c>
      <x:c r="R414" s="2" t="str">
        <x:f>IF(AND(Q414=1,P414&lt;='Dashboard'!$B$5),IF(P414&gt;B414,"Accepted late","Accepted"),IF(B414&lt;'Dashboard'!$B$5,"Overdue",IF(I414="Blocked","Blocked",IF(B414='Dashboard'!$B$5,"Due today","Planned"))))</x:f>
        <x:v>Planned</x:v>
      </x:c>
      <x:c r="S414" s="26" t="str">
        <x:f>IF(I414="Accepted",IF(K414="","Add evidence",IF(O414="","Add reviewer",IF(P414="","Add accepted date",IF(AND(ISNUMBER(F414),COUNT(G414)=0),"Add actual quantity",IF(Q414=0,"Review target / date / dependencies","Complete"))))),IF(OR(I414="Blocked",I414="Deferred"),IF(L414="","Record blocker / reason",IF(M414="","Assign rescue owner",IF(N414="","Set recovery date","Recovery assigned"))),IF(B414&lt;'Dashboard'!$B$5,"Escalate and record recovery","Work to acceptance standard")))</x:f>
        <x:v>Work to acceptance standard</x:v>
      </x:c>
      <x:c r="T414" s="26" t="str">
        <x:v>T0067</x:v>
      </x:c>
      <x:c r="U414" s="26" t="str">
        <x:v>Fix a failing live agent beforestarting the next build. If an agent is still not working 48 hours after its due date, activate the manual SOP. Roll back a live failure within 1 hour. Release build reserve when no approved work remains.</x:v>
      </x:c>
      <x:c r="V414" s="31" t="n">
        <x:v>4</x:v>
      </x:c>
      <x:c r="W414" s="26" t="str"/>
      <x:c r="X414" s="26" t="str">
        <x:v>DSI Reset PDF: lane responsibilities and dated runbook; dated allocation proposed for this tracker.</x:v>
      </x:c>
      <x:c r="Y414" s="30" t="n">
        <x:f>B414-WEEKDAY(B414,2)+1</x:f>
        <x:v>46363</x:v>
      </x:c>
      <x:c r="Z414" s="2" t="str">
        <x:v>checklist</x:v>
      </x:c>
      <x:c r="AA414" s="2" t="n">
        <x:f>IF(Q414=1,IF(P414&gt;B414,1,0),0)</x:f>
        <x:v>0</x:v>
      </x:c>
      <x:c r="AB414" s="2" t="n">
        <x:f>IF(AND(Q414=1,P414&lt;='Dashboard'!$B$5),0,MAX(0,'Dashboard'!$B$5-B414))</x:f>
        <x:v>0</x:v>
      </x:c>
      <x:c r="AC414" s="28" t="str"/>
      <x:c r="AD414" s="2" t="str">
        <x:f>IF(AND(ISNUMBER(F414),ISNUMBER(G414)),G414-F414,"")</x:f>
      </x:c>
      <x:c r="AE414" s="2" t="n">
        <x:f>IF(AND(I414="Accepted",K414&lt;&gt;"",O414&lt;&gt;"",ISNUMBER(P414),P414&gt;0,P414&lt;='Dashboard'!$B$5,IF(ISNUMBER(F414),ISNUMBER(G414),TRUE),IF(ISNUMBER(F414),G414&gt;=F414,TRUE)),1,0)</x:f>
        <x:v>0</x:v>
      </x:c>
    </x:row>
    <x:row r="415" ht="58" customHeight="1">
      <x:c r="A415" s="2" t="str">
        <x:v>T0355</x:v>
      </x:c>
      <x:c r="B415" s="30" t="n">
        <x:v>46366</x:v>
      </x:c>
      <x:c r="C415" s="2" t="str">
        <x:v>Ludwig</x:v>
      </x:c>
      <x:c r="D415" s="2" t="str">
        <x:v>Integration Engineer</x:v>
      </x:c>
      <x:c r="E415" s="26" t="str">
        <x:v>Webhook/error/dead-letter check; top assigned integration ticket or verified no-ticket note</x:v>
      </x:c>
      <x:c r="F415" s="2" t="n">
        <x:v>1</x:v>
      </x:c>
      <x:c r="G415" s="20"/>
      <x:c r="H415" s="2" t="str">
        <x:v>accepted output</x:v>
      </x:c>
      <x:c r="I415" s="20" t="str">
        <x:v>Ready</x:v>
      </x:c>
      <x:c r="J415" s="2" t="str">
        <x:v>16:45</x:v>
      </x:c>
      <x:c r="K415" s="28" t="str"/>
      <x:c r="L415" s="28" t="str"/>
      <x:c r="M415" s="20" t="str"/>
      <x:c r="N415" s="33"/>
      <x:c r="O415" s="20" t="str"/>
      <x:c r="P415" s="33"/>
      <x:c r="Q415" s="2" t="n">
        <x:f>IF(AND(AE415=1,COUNTIFS($A$7:$A$500,"T0067",$AE$7:$AE$500,1)=1,COUNTIFS($A$7:$A$500,"T0055",$AE$7:$AE$500,1)=1),1,0)</x:f>
        <x:v>0</x:v>
      </x:c>
      <x:c r="R415" s="2" t="str">
        <x:f>IF(AND(Q415=1,P415&lt;='Dashboard'!$B$5),IF(P415&gt;B415,"Accepted late","Accepted"),IF(B415&lt;'Dashboard'!$B$5,"Overdue",IF(I415="Blocked","Blocked",IF(B415='Dashboard'!$B$5,"Due today","Planned"))))</x:f>
        <x:v>Planned</x:v>
      </x:c>
      <x:c r="S415" s="26" t="str">
        <x:f>IF(I415="Accepted",IF(K415="","Add evidence",IF(O415="","Add reviewer",IF(P415="","Add accepted date",IF(AND(ISNUMBER(F415),COUNT(G415)=0),"Add actual quantity",IF(Q415=0,"Review target / date / dependencies","Complete"))))),IF(OR(I415="Blocked",I415="Deferred"),IF(L415="","Record blocker / reason",IF(M415="","Assign rescue owner",IF(N415="","Set recovery date","Recovery assigned"))),IF(B415&lt;'Dashboard'!$B$5,"Escalate and record recovery","Work to acceptance standard")))</x:f>
        <x:v>Work to acceptance standard</x:v>
      </x:c>
      <x:c r="T415" s="26" t="str">
        <x:v>T0067</x:v>
      </x:c>
      <x:c r="U415" s="26" t="str">
        <x:v>Only Emman’s priority queue; 100% test capture; runbook/retry/rollback evidence. If no fault/ticket, release reserve; do not invent work.</x:v>
      </x:c>
      <x:c r="V415" s="31" t="n">
        <x:v>1.6</x:v>
      </x:c>
      <x:c r="W415" s="26" t="str"/>
      <x:c r="X415" s="26" t="str">
        <x:v>DSI Reset PDF: lane responsibilities and dated runbook; dated allocation proposed for this tracker.</x:v>
      </x:c>
      <x:c r="Y415" s="30" t="n">
        <x:f>B415-WEEKDAY(B415,2)+1</x:f>
        <x:v>46363</x:v>
      </x:c>
      <x:c r="Z415" s="2" t="str">
        <x:v>checklist</x:v>
      </x:c>
      <x:c r="AA415" s="2" t="n">
        <x:f>IF(Q415=1,IF(P415&gt;B415,1,0),0)</x:f>
        <x:v>0</x:v>
      </x:c>
      <x:c r="AB415" s="2" t="n">
        <x:f>IF(AND(Q415=1,P415&lt;='Dashboard'!$B$5),0,MAX(0,'Dashboard'!$B$5-B415))</x:f>
        <x:v>0</x:v>
      </x:c>
      <x:c r="AC415" s="28" t="str"/>
      <x:c r="AD415" s="2" t="str">
        <x:f>IF(AND(ISNUMBER(F415),ISNUMBER(G415)),G415-F415,"")</x:f>
      </x:c>
      <x:c r="AE415" s="2" t="n">
        <x:f>IF(AND(I415="Accepted",K415&lt;&gt;"",O415&lt;&gt;"",ISNUMBER(P415),P415&gt;0,P415&lt;='Dashboard'!$B$5,IF(ISNUMBER(F415),ISNUMBER(G415),TRUE),IF(ISNUMBER(F415),G415&gt;=F415,TRUE)),1,0)</x:f>
        <x:v>0</x:v>
      </x:c>
    </x:row>
    <x:row r="416" ht="58" customHeight="1">
      <x:c r="A416" s="2" t="str">
        <x:v>T0356</x:v>
      </x:c>
      <x:c r="B416" s="30" t="n">
        <x:v>46366</x:v>
      </x:c>
      <x:c r="C416" s="2" t="str">
        <x:v>Alvin</x:v>
      </x:c>
      <x:c r="D416" s="2" t="str">
        <x:v>CQL/GHL Implementation</x:v>
      </x:c>
      <x:c r="E416" s="26" t="str">
        <x:v>Stage/calendar/reminder QA; due workflow fixes; approved post mirrors/evidence Publish approved post SOC17 (Engage); capture the live URL.</x:v>
      </x:c>
      <x:c r="F416" s="2" t="n">
        <x:v>1</x:v>
      </x:c>
      <x:c r="G416" s="20"/>
      <x:c r="H416" s="2" t="str">
        <x:v>accepted output</x:v>
      </x:c>
      <x:c r="I416" s="20" t="str">
        <x:v>Ready</x:v>
      </x:c>
      <x:c r="J416" s="2" t="str">
        <x:v>16:45</x:v>
      </x:c>
      <x:c r="K416" s="28" t="str"/>
      <x:c r="L416" s="28" t="str"/>
      <x:c r="M416" s="20" t="str"/>
      <x:c r="N416" s="33"/>
      <x:c r="O416" s="20" t="str"/>
      <x:c r="P416" s="33"/>
      <x:c r="Q416" s="2" t="n">
        <x:f>IF(AND(AE416=1,COUNTIFS($A$7:$A$500,"T0067",$AE$7:$AE$500,1)=1,COUNTIFS($A$7:$A$500,"T0055",$AE$7:$AE$500,1)=1),1,0)</x:f>
        <x:v>0</x:v>
      </x:c>
      <x:c r="R416" s="2" t="str">
        <x:f>IF(AND(Q416=1,P416&lt;='Dashboard'!$B$5),IF(P416&gt;B416,"Accepted late","Accepted"),IF(B416&lt;'Dashboard'!$B$5,"Overdue",IF(I416="Blocked","Blocked",IF(B416='Dashboard'!$B$5,"Due today","Planned"))))</x:f>
        <x:v>Planned</x:v>
      </x:c>
      <x:c r="S416" s="26" t="str">
        <x:f>IF(I416="Accepted",IF(K416="","Add evidence",IF(O416="","Add reviewer",IF(P416="","Add accepted date",IF(AND(ISNUMBER(F416),COUNT(G416)=0),"Add actual quantity",IF(Q416=0,"Review target / date / dependencies","Complete"))))),IF(OR(I416="Blocked",I416="Deferred"),IF(L416="","Record blocker / reason",IF(M416="","Assign rescue owner",IF(N416="","Set recovery date","Recovery assigned"))),IF(B416&lt;'Dashboard'!$B$5,"Escalate and record recovery","Work to acceptance standard")))</x:f>
        <x:v>Work to acceptance standard</x:v>
      </x:c>
      <x:c r="T416" s="26" t="str">
        <x:v>T0067</x:v>
      </x:c>
      <x:c r="U416" s="26" t="str">
        <x:v>No-show task&lt;=10 min; form/source fields correct; finish critical CRM defect same day. Facebook mirrors exact approved post; Instagram requires permissioned image.</x:v>
      </x:c>
      <x:c r="V416" s="31" t="n">
        <x:v>2</x:v>
      </x:c>
      <x:c r="W416" s="26" t="str"/>
      <x:c r="X416" s="26" t="str">
        <x:v>DSI Reset PDF: lane responsibilities and dated runbook; dated allocation proposed for this tracker.</x:v>
      </x:c>
      <x:c r="Y416" s="30" t="n">
        <x:f>B416-WEEKDAY(B416,2)+1</x:f>
        <x:v>46363</x:v>
      </x:c>
      <x:c r="Z416" s="2" t="str">
        <x:v>checklist</x:v>
      </x:c>
      <x:c r="AA416" s="2" t="n">
        <x:f>IF(Q416=1,IF(P416&gt;B416,1,0),0)</x:f>
        <x:v>0</x:v>
      </x:c>
      <x:c r="AB416" s="2" t="n">
        <x:f>IF(AND(Q416=1,P416&lt;='Dashboard'!$B$5),0,MAX(0,'Dashboard'!$B$5-B416))</x:f>
        <x:v>0</x:v>
      </x:c>
      <x:c r="AC416" s="28" t="str"/>
      <x:c r="AD416" s="2" t="str">
        <x:f>IF(AND(ISNUMBER(F416),ISNUMBER(G416)),G416-F416,"")</x:f>
      </x:c>
      <x:c r="AE416" s="2" t="n">
        <x:f>IF(AND(I416="Accepted",K416&lt;&gt;"",O416&lt;&gt;"",ISNUMBER(P416),P416&gt;0,P416&lt;='Dashboard'!$B$5,IF(ISNUMBER(F416),ISNUMBER(G416),TRUE),IF(ISNUMBER(F416),G416&gt;=F416,TRUE)),1,0)</x:f>
        <x:v>0</x:v>
      </x:c>
    </x:row>
    <x:row r="417" ht="58" customHeight="1">
      <x:c r="A417" s="2" t="str">
        <x:v>T0357</x:v>
      </x:c>
      <x:c r="B417" s="30" t="n">
        <x:v>46366</x:v>
      </x:c>
      <x:c r="C417" s="2" t="str">
        <x:v>Brian</x:v>
      </x:c>
      <x:c r="D417" s="2" t="str">
        <x:v>Web and Tracking</x:v>
      </x:c>
      <x:c r="E417" s="26" t="str">
        <x:v>One health-check result; at most one weekly change ticket or no-ticket note</x:v>
      </x:c>
      <x:c r="F417" s="2" t="n">
        <x:v>1</x:v>
      </x:c>
      <x:c r="G417" s="20"/>
      <x:c r="H417" s="2" t="str">
        <x:v>accepted output</x:v>
      </x:c>
      <x:c r="I417" s="20" t="str">
        <x:v>Ready</x:v>
      </x:c>
      <x:c r="J417" s="2" t="str">
        <x:v>16:45</x:v>
      </x:c>
      <x:c r="K417" s="28" t="str"/>
      <x:c r="L417" s="28" t="str"/>
      <x:c r="M417" s="20" t="str"/>
      <x:c r="N417" s="33"/>
      <x:c r="O417" s="20" t="str"/>
      <x:c r="P417" s="33"/>
      <x:c r="Q417" s="2" t="n">
        <x:f>IF(AND(AE417=1,COUNTIFS($A$7:$A$500,"T0067",$AE$7:$AE$500,1)=1,COUNTIFS($A$7:$A$500,"T0055",$AE$7:$AE$500,1)=1),1,0)</x:f>
        <x:v>0</x:v>
      </x:c>
      <x:c r="R417" s="2" t="str">
        <x:f>IF(AND(Q417=1,P417&lt;='Dashboard'!$B$5),IF(P417&gt;B417,"Accepted late","Accepted"),IF(B417&lt;'Dashboard'!$B$5,"Overdue",IF(I417="Blocked","Blocked",IF(B417='Dashboard'!$B$5,"Due today","Planned"))))</x:f>
        <x:v>Planned</x:v>
      </x:c>
      <x:c r="S417" s="26" t="str">
        <x:f>IF(I417="Accepted",IF(K417="","Add evidence",IF(O417="","Add reviewer",IF(P417="","Add accepted date",IF(AND(ISNUMBER(F417),COUNT(G417)=0),"Add actual quantity",IF(Q417=0,"Review target / date / dependencies","Complete"))))),IF(OR(I417="Blocked",I417="Deferred"),IF(L417="","Record blocker / reason",IF(M417="","Assign rescue owner",IF(N417="","Set recovery date","Recovery assigned"))),IF(B417&lt;'Dashboard'!$B$5,"Escalate and record recovery","Work to acceptance standard")))</x:f>
        <x:v>Work to acceptance standard</x:v>
      </x:c>
      <x:c r="T417" s="26" t="str">
        <x:v>T0067</x:v>
      </x:c>
      <x:c r="U417" s="26" t="str">
        <x:v>Form to CQL&lt;1 min; approved copy unchanged; no work manufactured if healthy; ongoing reserve&lt;=2 h/week.</x:v>
      </x:c>
      <x:c r="V417" s="31" t="n">
        <x:v>0.4</x:v>
      </x:c>
      <x:c r="W417" s="26" t="str"/>
      <x:c r="X417" s="26" t="str">
        <x:v>DSI Reset PDF: lane responsibilities and dated runbook; dated allocation proposed for this tracker.</x:v>
      </x:c>
      <x:c r="Y417" s="30" t="n">
        <x:f>B417-WEEKDAY(B417,2)+1</x:f>
        <x:v>46363</x:v>
      </x:c>
      <x:c r="Z417" s="2" t="str">
        <x:v>checklist</x:v>
      </x:c>
      <x:c r="AA417" s="2" t="n">
        <x:f>IF(Q417=1,IF(P417&gt;B417,1,0),0)</x:f>
        <x:v>0</x:v>
      </x:c>
      <x:c r="AB417" s="2" t="n">
        <x:f>IF(AND(Q417=1,P417&lt;='Dashboard'!$B$5),0,MAX(0,'Dashboard'!$B$5-B417))</x:f>
        <x:v>0</x:v>
      </x:c>
      <x:c r="AC417" s="28" t="str"/>
      <x:c r="AD417" s="2" t="str">
        <x:f>IF(AND(ISNUMBER(F417),ISNUMBER(G417)),G417-F417,"")</x:f>
      </x:c>
      <x:c r="AE417" s="2" t="n">
        <x:f>IF(AND(I417="Accepted",K417&lt;&gt;"",O417&lt;&gt;"",ISNUMBER(P417),P417&gt;0,P417&lt;='Dashboard'!$B$5,IF(ISNUMBER(F417),ISNUMBER(G417),TRUE),IF(ISNUMBER(F417),G417&gt;=F417,TRUE)),1,0)</x:f>
        <x:v>0</x:v>
      </x:c>
    </x:row>
    <x:row r="418" ht="58" customHeight="1">
      <x:c r="A418" s="2" t="str">
        <x:v>T0358</x:v>
      </x:c>
      <x:c r="B418" s="30" t="n">
        <x:v>46366</x:v>
      </x:c>
      <x:c r="C418" s="2" t="str">
        <x:v>Dexter</x:v>
      </x:c>
      <x:c r="D418" s="2" t="str">
        <x:v>LinkedIn Execution</x:v>
      </x:c>
      <x:c r="E418" s="26" t="str">
        <x:v>CQL logged DMs/accepts; eligible requests; referred interested replies; approved post evidence Publish approved post SOC17 (Engage); capture the live URL.</x:v>
      </x:c>
      <x:c r="F418" s="2" t="n">
        <x:v>25</x:v>
      </x:c>
      <x:c r="G418" s="20"/>
      <x:c r="H418" s="2" t="str">
        <x:v>new request working target; eligible pool required</x:v>
      </x:c>
      <x:c r="I418" s="20" t="str">
        <x:v>Ready</x:v>
      </x:c>
      <x:c r="J418" s="2" t="str">
        <x:v>16:45</x:v>
      </x:c>
      <x:c r="K418" s="28" t="str"/>
      <x:c r="L418" s="28" t="str"/>
      <x:c r="M418" s="20" t="str"/>
      <x:c r="N418" s="33"/>
      <x:c r="O418" s="20" t="str"/>
      <x:c r="P418" s="33"/>
      <x:c r="Q418" s="2" t="n">
        <x:f>IF(AND(AE418=1,COUNTIFS($A$7:$A$500,"T0067",$AE$7:$AE$500,1)=1,COUNTIFS($A$7:$A$500,"T0055",$AE$7:$AE$500,1)=1),1,0)</x:f>
        <x:v>0</x:v>
      </x:c>
      <x:c r="R418" s="2" t="str">
        <x:f>IF(AND(Q418=1,P418&lt;='Dashboard'!$B$5),IF(P418&gt;B418,"Accepted late","Accepted"),IF(B418&lt;'Dashboard'!$B$5,"Overdue",IF(I418="Blocked","Blocked",IF(B418='Dashboard'!$B$5,"Due today","Planned"))))</x:f>
        <x:v>Planned</x:v>
      </x:c>
      <x:c r="S418" s="26" t="str">
        <x:f>IF(I418="Accepted",IF(K418="","Add evidence",IF(O418="","Add reviewer",IF(P418="","Add accepted date",IF(AND(ISNUMBER(F418),COUNT(G418)=0),"Add actual quantity",IF(Q418=0,"Review target / date / dependencies","Complete"))))),IF(OR(I418="Blocked",I418="Deferred"),IF(L418="","Record blocker / reason",IF(M418="","Assign rescue owner",IF(N418="","Set recovery date","Recovery assigned"))),IF(B418&lt;'Dashboard'!$B$5,"Escalate and record recovery","Work to acceptance standard")))</x:f>
        <x:v>Work to acceptance standard</x:v>
      </x:c>
      <x:c r="T418" s="26" t="str">
        <x:v>T0067</x:v>
      </x:c>
      <x:c r="U418"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18" s="31" t="n">
        <x:v>3</x:v>
      </x:c>
      <x:c r="W418" s="26" t="str"/>
      <x:c r="X418" s="26" t="str">
        <x:v>DSI Reset PDF: lane responsibilities and dated runbook; dated allocation proposed for this tracker.</x:v>
      </x:c>
      <x:c r="Y418" s="30" t="n">
        <x:f>B418-WEEKDAY(B418,2)+1</x:f>
        <x:v>46363</x:v>
      </x:c>
      <x:c r="Z418" s="2" t="str">
        <x:v>capacity</x:v>
      </x:c>
      <x:c r="AA418" s="2" t="n">
        <x:f>IF(Q418=1,IF(P418&gt;B418,1,0),0)</x:f>
        <x:v>0</x:v>
      </x:c>
      <x:c r="AB418" s="2" t="n">
        <x:f>IF(AND(Q418=1,P418&lt;='Dashboard'!$B$5),0,MAX(0,'Dashboard'!$B$5-B418))</x:f>
        <x:v>0</x:v>
      </x:c>
      <x:c r="AC418" s="28" t="str"/>
      <x:c r="AD418" s="2" t="str">
        <x:f>IF(AND(ISNUMBER(F418),ISNUMBER(G418)),G418-F418,"")</x:f>
      </x:c>
      <x:c r="AE418" s="2" t="n">
        <x:f>IF(AND(I418="Accepted",K418&lt;&gt;"",O418&lt;&gt;"",ISNUMBER(P418),P418&gt;0,P418&lt;='Dashboard'!$B$5,IF(ISNUMBER(F418),ISNUMBER(G418),TRUE),IF(ISNUMBER(F418),OR(G418&gt;=F418,AC418&lt;&gt;""),TRUE)),1,0)</x:f>
        <x:v>0</x:v>
      </x:c>
    </x:row>
    <x:row r="419" ht="58" customHeight="1">
      <x:c r="A419" s="2" t="str">
        <x:v>T0359</x:v>
      </x:c>
      <x:c r="B419" s="30" t="n">
        <x:v>46366</x:v>
      </x:c>
      <x:c r="C419" s="2" t="str">
        <x:v>Setter 1</x:v>
      </x:c>
      <x:c r="D419" s="2" t="str">
        <x:v>Reply and Phone Setter</x:v>
      </x:c>
      <x:c r="E419" s="26" t="str">
        <x:v>SLA/call outcome log; bookings and next steps; handoff to Nova</x:v>
      </x:c>
      <x:c r="F419" s="2" t="n">
        <x:v>50</x:v>
      </x:c>
      <x:c r="G419" s="20"/>
      <x:c r="H419" s="2" t="str">
        <x:v>dial working target; inbound SLA takes priority</x:v>
      </x:c>
      <x:c r="I419" s="20" t="str">
        <x:v>Ready</x:v>
      </x:c>
      <x:c r="J419" s="2" t="str">
        <x:v>16:45</x:v>
      </x:c>
      <x:c r="K419" s="28" t="str"/>
      <x:c r="L419" s="28" t="str"/>
      <x:c r="M419" s="20" t="str"/>
      <x:c r="N419" s="33"/>
      <x:c r="O419" s="20" t="str"/>
      <x:c r="P419" s="33"/>
      <x:c r="Q419" s="2" t="n">
        <x:f>IF(AND(AE419=1,COUNTIFS($A$7:$A$500,"T0013",$AE$7:$AE$500,1)=1,COUNTIFS($A$7:$A$500,"T0055",$AE$7:$AE$500,1)=1),1,0)</x:f>
        <x:v>0</x:v>
      </x:c>
      <x:c r="R419" s="2" t="str">
        <x:f>IF(AND(Q419=1,P419&lt;='Dashboard'!$B$5),IF(P419&gt;B419,"Accepted late","Accepted"),IF(B419&lt;'Dashboard'!$B$5,"Overdue",IF(I419="Blocked","Blocked",IF(B419='Dashboard'!$B$5,"Due today","Planned"))))</x:f>
        <x:v>Planned</x:v>
      </x:c>
      <x:c r="S419" s="26" t="str">
        <x:f>IF(I419="Accepted",IF(K419="","Add evidence",IF(O419="","Add reviewer",IF(P419="","Add accepted date",IF(AND(ISNUMBER(F419),COUNT(G419)=0),"Add actual quantity",IF(Q419=0,"Review target / date / dependencies","Complete"))))),IF(OR(I419="Blocked",I419="Deferred"),IF(L419="","Record blocker / reason",IF(M419="","Assign rescue owner",IF(N419="","Set recovery date","Recovery assigned"))),IF(B419&lt;'Dashboard'!$B$5,"Escalate and record recovery","Work to acceptance standard")))</x:f>
        <x:v>Work to acceptance standard</x:v>
      </x:c>
      <x:c r="T419" s="26" t="str">
        <x:v>T0013; T0055</x:v>
      </x:c>
      <x:c r="U419"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19" s="31" t="n">
        <x:v>7.5</x:v>
      </x:c>
      <x:c r="W419" s="26" t="str"/>
      <x:c r="X419" s="26" t="str">
        <x:v>DSI Reset PDF: lane responsibilities and dated runbook; dated allocation proposed for this tracker.</x:v>
      </x:c>
      <x:c r="Y419" s="30" t="n">
        <x:f>B419-WEEKDAY(B419,2)+1</x:f>
        <x:v>46363</x:v>
      </x:c>
      <x:c r="Z419" s="2" t="str">
        <x:v>capacity</x:v>
      </x:c>
      <x:c r="AA419" s="2" t="n">
        <x:f>IF(Q419=1,IF(P419&gt;B419,1,0),0)</x:f>
        <x:v>0</x:v>
      </x:c>
      <x:c r="AB419" s="2" t="n">
        <x:f>IF(AND(Q419=1,P419&lt;='Dashboard'!$B$5),0,MAX(0,'Dashboard'!$B$5-B419))</x:f>
        <x:v>0</x:v>
      </x:c>
      <x:c r="AC419" s="28" t="str"/>
      <x:c r="AD419" s="2" t="str">
        <x:f>IF(AND(ISNUMBER(F419),ISNUMBER(G419)),G419-F419,"")</x:f>
      </x:c>
      <x:c r="AE419" s="2" t="n">
        <x:f>IF(AND(I419="Accepted",K419&lt;&gt;"",O419&lt;&gt;"",ISNUMBER(P419),P419&gt;0,P419&lt;='Dashboard'!$B$5,IF(ISNUMBER(F419),ISNUMBER(G419),TRUE),IF(ISNUMBER(F419),OR(G419&gt;=F419,AC419&lt;&gt;""),TRUE)),1,0)</x:f>
        <x:v>0</x:v>
      </x:c>
    </x:row>
    <x:row r="420" ht="58" customHeight="1">
      <x:c r="A420" s="2" t="str">
        <x:v>T0360</x:v>
      </x:c>
      <x:c r="B420" s="30" t="n">
        <x:v>46366</x:v>
      </x:c>
      <x:c r="C420" s="2" t="str">
        <x:v>Setter 2</x:v>
      </x:c>
      <x:c r="D420" s="2" t="str">
        <x:v>Reply and Phone Setter</x:v>
      </x:c>
      <x:c r="E420" s="26" t="str">
        <x:v>SLA/call outcome log; bookings and next steps; handoff to Nova</x:v>
      </x:c>
      <x:c r="F420" s="2" t="n">
        <x:v>50</x:v>
      </x:c>
      <x:c r="G420" s="20"/>
      <x:c r="H420" s="2" t="str">
        <x:v>dial working target; inbound SLA takes priority</x:v>
      </x:c>
      <x:c r="I420" s="20" t="str">
        <x:v>Ready</x:v>
      </x:c>
      <x:c r="J420" s="2" t="str">
        <x:v>16:45</x:v>
      </x:c>
      <x:c r="K420" s="28" t="str"/>
      <x:c r="L420" s="28" t="str"/>
      <x:c r="M420" s="20" t="str"/>
      <x:c r="N420" s="33"/>
      <x:c r="O420" s="20" t="str"/>
      <x:c r="P420" s="33"/>
      <x:c r="Q420" s="2" t="n">
        <x:f>IF(AND(AE420=1,COUNTIFS($A$7:$A$500,"T0013",$AE$7:$AE$500,1)=1,COUNTIFS($A$7:$A$500,"T0055",$AE$7:$AE$500,1)=1),1,0)</x:f>
        <x:v>0</x:v>
      </x:c>
      <x:c r="R420" s="2" t="str">
        <x:f>IF(AND(Q420=1,P420&lt;='Dashboard'!$B$5),IF(P420&gt;B420,"Accepted late","Accepted"),IF(B420&lt;'Dashboard'!$B$5,"Overdue",IF(I420="Blocked","Blocked",IF(B420='Dashboard'!$B$5,"Due today","Planned"))))</x:f>
        <x:v>Planned</x:v>
      </x:c>
      <x:c r="S420" s="26" t="str">
        <x:f>IF(I420="Accepted",IF(K420="","Add evidence",IF(O420="","Add reviewer",IF(P420="","Add accepted date",IF(AND(ISNUMBER(F420),COUNT(G420)=0),"Add actual quantity",IF(Q420=0,"Review target / date / dependencies","Complete"))))),IF(OR(I420="Blocked",I420="Deferred"),IF(L420="","Record blocker / reason",IF(M420="","Assign rescue owner",IF(N420="","Set recovery date","Recovery assigned"))),IF(B420&lt;'Dashboard'!$B$5,"Escalate and record recovery","Work to acceptance standard")))</x:f>
        <x:v>Work to acceptance standard</x:v>
      </x:c>
      <x:c r="T420" s="26" t="str">
        <x:v>T0013; T0055</x:v>
      </x:c>
      <x:c r="U420"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20" s="31" t="n">
        <x:v>7.5</x:v>
      </x:c>
      <x:c r="W420" s="26" t="str"/>
      <x:c r="X420" s="26" t="str">
        <x:v>DSI Reset PDF: lane responsibilities and dated runbook; dated allocation proposed for this tracker.</x:v>
      </x:c>
      <x:c r="Y420" s="30" t="n">
        <x:f>B420-WEEKDAY(B420,2)+1</x:f>
        <x:v>46363</x:v>
      </x:c>
      <x:c r="Z420" s="2" t="str">
        <x:v>capacity</x:v>
      </x:c>
      <x:c r="AA420" s="2" t="n">
        <x:f>IF(Q420=1,IF(P420&gt;B420,1,0),0)</x:f>
        <x:v>0</x:v>
      </x:c>
      <x:c r="AB420" s="2" t="n">
        <x:f>IF(AND(Q420=1,P420&lt;='Dashboard'!$B$5),0,MAX(0,'Dashboard'!$B$5-B420))</x:f>
        <x:v>0</x:v>
      </x:c>
      <x:c r="AC420" s="28" t="str"/>
      <x:c r="AD420" s="2" t="str">
        <x:f>IF(AND(ISNUMBER(F420),ISNUMBER(G420)),G420-F420,"")</x:f>
      </x:c>
      <x:c r="AE420" s="2" t="n">
        <x:f>IF(AND(I420="Accepted",K420&lt;&gt;"",O420&lt;&gt;"",ISNUMBER(P420),P420&gt;0,P420&lt;='Dashboard'!$B$5,IF(ISNUMBER(F420),ISNUMBER(G420),TRUE),IF(ISNUMBER(F420),OR(G420&gt;=F420,AC420&lt;&gt;""),TRUE)),1,0)</x:f>
        <x:v>0</x:v>
      </x:c>
    </x:row>
    <x:row r="421" ht="58" customHeight="1">
      <x:c r="A421" s="2" t="str">
        <x:v>T0483</x:v>
      </x:c>
      <x:c r="B421" s="30" t="n">
        <x:v>46366</x:v>
      </x:c>
      <x:c r="C421" s="2" t="str">
        <x:v>Nic</x:v>
      </x:c>
      <x:c r="D421" s="2" t="str">
        <x:v>Client dependency</x:v>
      </x:c>
      <x:c r="E421" s="26" t="str">
        <x:v>Call outcome/next step for every appointment due; first-case decisions</x:v>
      </x:c>
      <x:c r="F421" s="2" t="str"/>
      <x:c r="G421" s="20"/>
      <x:c r="H421" s="2" t="str">
        <x:v>all due appointments</x:v>
      </x:c>
      <x:c r="I421" s="20" t="str">
        <x:v>Ready</x:v>
      </x:c>
      <x:c r="J421" s="2" t="str">
        <x:v>16:45</x:v>
      </x:c>
      <x:c r="K421" s="28" t="str"/>
      <x:c r="L421" s="28" t="str"/>
      <x:c r="M421" s="20" t="str"/>
      <x:c r="N421" s="33"/>
      <x:c r="O421" s="20" t="str"/>
      <x:c r="P421" s="33"/>
      <x:c r="Q421" s="2" t="n">
        <x:f>IF(AND(AE421=1,COUNTIFS($A$7:$A$500,"T0028",$AE$7:$AE$500,1)=1),1,0)</x:f>
        <x:v>0</x:v>
      </x:c>
      <x:c r="R421" s="2" t="str">
        <x:f>IF(AND(Q421=1,P421&lt;='Dashboard'!$B$5),IF(P421&gt;B421,"Accepted late","Accepted"),IF(B421&lt;'Dashboard'!$B$5,"Overdue",IF(I421="Blocked","Blocked",IF(B421='Dashboard'!$B$5,"Due today","Planned"))))</x:f>
        <x:v>Planned</x:v>
      </x:c>
      <x:c r="S421" s="26" t="str">
        <x:f>IF(I421="Accepted",IF(K421="","Add evidence",IF(O421="","Add reviewer",IF(P421="","Add accepted date",IF(AND(ISNUMBER(F421),COUNT(G421)=0),"Add actual quantity",IF(Q421=0,"Review target / date / dependencies","Complete"))))),IF(OR(I421="Blocked",I421="Deferred"),IF(L421="","Record blocker / reason",IF(M421="","Assign rescue owner",IF(N421="","Set recovery date","Recovery assigned"))),IF(B421&lt;'Dashboard'!$B$5,"Escalate and record recovery","Work to acceptance standard")))</x:f>
        <x:v>Work to acceptance standard</x:v>
      </x:c>
      <x:c r="T421" s="26" t="str">
        <x:v>T0028</x:v>
      </x:c>
      <x:c r="U421" s="26" t="str">
        <x:v>Demand-linked: work actual approved calendar; setter brief present; outcome logged same day. No calls scheduled is N/A with calendar evidence.</x:v>
      </x:c>
      <x:c r="V421" s="31" t="n">
        <x:v>0.5</x:v>
      </x:c>
      <x:c r="W421" s="26" t="str"/>
      <x:c r="X421" s="26" t="str">
        <x:v>DSI Reset PDF: lane responsibilities and dated runbook; dated allocation proposed for this tracker.</x:v>
      </x:c>
      <x:c r="Y421" s="30" t="n">
        <x:f>B421-WEEKDAY(B421,2)+1</x:f>
        <x:v>46363</x:v>
      </x:c>
      <x:c r="Z421" s="2" t="str">
        <x:v>demand</x:v>
      </x:c>
      <x:c r="AA421" s="2" t="n">
        <x:f>IF(Q421=1,IF(P421&gt;B421,1,0),0)</x:f>
        <x:v>0</x:v>
      </x:c>
      <x:c r="AB421" s="2" t="n">
        <x:f>IF(AND(Q421=1,P421&lt;='Dashboard'!$B$5),0,MAX(0,'Dashboard'!$B$5-B421))</x:f>
        <x:v>0</x:v>
      </x:c>
      <x:c r="AC421" s="28" t="str"/>
      <x:c r="AD421" s="2" t="str">
        <x:f>IF(AND(ISNUMBER(F421),ISNUMBER(G421)),G421-F421,"")</x:f>
      </x:c>
      <x:c r="AE421" s="2" t="n">
        <x:f>IF(AND(I421="Accepted",K421&lt;&gt;"",O421&lt;&gt;"",ISNUMBER(P421),P421&gt;0,P421&lt;='Dashboard'!$B$5,IF(ISNUMBER(F421),ISNUMBER(G421),TRUE)),1,0)</x:f>
        <x:v>0</x:v>
      </x:c>
    </x:row>
    <x:row r="422" ht="58" customHeight="1">
      <x:c r="A422" s="2" t="str">
        <x:v>T0484</x:v>
      </x:c>
      <x:c r="B422" s="30" t="n">
        <x:v>46366</x:v>
      </x:c>
      <x:c r="C422" s="2" t="str">
        <x:v>Maseeha</x:v>
      </x:c>
      <x:c r="D422" s="2" t="str">
        <x:v>Client dependency</x:v>
      </x:c>
      <x:c r="E422" s="26" t="str">
        <x:v>Due intro verification; kit/case handoff; delivery/Day-30 dates; credit trigger log</x:v>
      </x:c>
      <x:c r="F422" s="2" t="str"/>
      <x:c r="G422" s="20"/>
      <x:c r="H422" s="2" t="str">
        <x:v>all due cases</x:v>
      </x:c>
      <x:c r="I422" s="20" t="str">
        <x:v>Ready</x:v>
      </x:c>
      <x:c r="J422" s="2" t="str">
        <x:v>16:45</x:v>
      </x:c>
      <x:c r="K422" s="28" t="str"/>
      <x:c r="L422" s="28" t="str"/>
      <x:c r="M422" s="20" t="str"/>
      <x:c r="N422" s="33"/>
      <x:c r="O422" s="20" t="str"/>
      <x:c r="P422" s="33"/>
      <x:c r="Q422" s="2" t="n">
        <x:f>IF(AND(AE422=1,COUNTIFS($A$7:$A$500,"T0028",$AE$7:$AE$500,1)=1),1,0)</x:f>
        <x:v>0</x:v>
      </x:c>
      <x:c r="R422" s="2" t="str">
        <x:f>IF(AND(Q422=1,P422&lt;='Dashboard'!$B$5),IF(P422&gt;B422,"Accepted late","Accepted"),IF(B422&lt;'Dashboard'!$B$5,"Overdue",IF(I422="Blocked","Blocked",IF(B422='Dashboard'!$B$5,"Due today","Planned"))))</x:f>
        <x:v>Planned</x:v>
      </x:c>
      <x:c r="S422" s="26" t="str">
        <x:f>IF(I422="Accepted",IF(K422="","Add evidence",IF(O422="","Add reviewer",IF(P422="","Add accepted date",IF(AND(ISNUMBER(F422),COUNT(G422)=0),"Add actual quantity",IF(Q422=0,"Review target / date / dependencies","Complete"))))),IF(OR(I422="Blocked",I422="Deferred"),IF(L422="","Record blocker / reason",IF(M422="","Assign rescue owner",IF(N422="","Set recovery date","Recovery assigned"))),IF(B422&lt;'Dashboard'!$B$5,"Escalate and record recovery","Work to acceptance standard")))</x:f>
        <x:v>Work to acceptance standard</x:v>
      </x:c>
      <x:c r="T422" s="26" t="str">
        <x:v>T0028</x:v>
      </x:c>
      <x:c r="U422" s="26" t="str">
        <x:v>Demand-linked: referral verification&lt;=2 business days; trial capacity respected; $200 credit only on eligible invoice paid.</x:v>
      </x:c>
      <x:c r="V422" s="31" t="n">
        <x:v>0.5</x:v>
      </x:c>
      <x:c r="W422" s="26" t="str"/>
      <x:c r="X422" s="26" t="str">
        <x:v>DSI Reset PDF: lane responsibilities and dated runbook; dated allocation proposed for this tracker.</x:v>
      </x:c>
      <x:c r="Y422" s="30" t="n">
        <x:f>B422-WEEKDAY(B422,2)+1</x:f>
        <x:v>46363</x:v>
      </x:c>
      <x:c r="Z422" s="2" t="str">
        <x:v>demand</x:v>
      </x:c>
      <x:c r="AA422" s="2" t="n">
        <x:f>IF(Q422=1,IF(P422&gt;B422,1,0),0)</x:f>
        <x:v>0</x:v>
      </x:c>
      <x:c r="AB422" s="2" t="n">
        <x:f>IF(AND(Q422=1,P422&lt;='Dashboard'!$B$5),0,MAX(0,'Dashboard'!$B$5-B422))</x:f>
        <x:v>0</x:v>
      </x:c>
      <x:c r="AC422" s="28" t="str"/>
      <x:c r="AD422" s="2" t="str">
        <x:f>IF(AND(ISNUMBER(F422),ISNUMBER(G422)),G422-F422,"")</x:f>
      </x:c>
      <x:c r="AE422" s="2" t="n">
        <x:f>IF(AND(I422="Accepted",K422&lt;&gt;"",O422&lt;&gt;"",ISNUMBER(P422),P422&gt;0,P422&lt;='Dashboard'!$B$5,IF(ISNUMBER(F422),ISNUMBER(G422),TRUE)),1,0)</x:f>
        <x:v>0</x:v>
      </x:c>
    </x:row>
    <x:row r="423" ht="58" customHeight="1">
      <x:c r="A423" s="2" t="str">
        <x:v>T0361</x:v>
      </x:c>
      <x:c r="B423" s="30" t="n">
        <x:v>46367</x:v>
      </x:c>
      <x:c r="C423" s="2" t="str">
        <x:v>Wyline</x:v>
      </x:c>
      <x:c r="D423" s="2" t="str">
        <x:v>Program Director</x:v>
      </x:c>
      <x:c r="E423" s="26" t="str">
        <x:v>Checkpoint: 750 verified contacts, 40 qualified inquiries, 20 bookings, 15 held conversations and 6 received trials; evidence-backed recovery list.</x:v>
      </x:c>
      <x:c r="F423" s="2" t="n">
        <x:v>1</x:v>
      </x:c>
      <x:c r="G423" s="20"/>
      <x:c r="H423" s="2" t="str">
        <x:v>accepted output</x:v>
      </x:c>
      <x:c r="I423" s="20" t="str">
        <x:v>Ready</x:v>
      </x:c>
      <x:c r="J423" s="2" t="str">
        <x:v>16:45</x:v>
      </x:c>
      <x:c r="K423" s="28" t="str"/>
      <x:c r="L423" s="28" t="str"/>
      <x:c r="M423" s="20" t="str"/>
      <x:c r="N423" s="33"/>
      <x:c r="O423" s="20" t="str"/>
      <x:c r="P423" s="33"/>
      <x:c r="Q423" s="2" t="n">
        <x:f>IF(AND(AE423=1,COUNTIFS($A$7:$A$500,"T0067",$AE$7:$AE$500,1)=1,COUNTIFS($A$7:$A$500,"T0055",$AE$7:$AE$500,1)=1),1,0)</x:f>
        <x:v>0</x:v>
      </x:c>
      <x:c r="R423" s="2" t="str">
        <x:f>IF(AND(Q423=1,P423&lt;='Dashboard'!$B$5),IF(P423&gt;B423,"Accepted late","Accepted"),IF(B423&lt;'Dashboard'!$B$5,"Overdue",IF(I423="Blocked","Blocked",IF(B423='Dashboard'!$B$5,"Due today","Planned"))))</x:f>
        <x:v>Planned</x:v>
      </x:c>
      <x:c r="S423" s="26" t="str">
        <x:f>IF(I423="Accepted",IF(K423="","Add evidence",IF(O423="","Add reviewer",IF(P423="","Add accepted date",IF(AND(ISNUMBER(F423),COUNT(G423)=0),"Add actual quantity",IF(Q423=0,"Review target / date / dependencies","Complete"))))),IF(OR(I423="Blocked",I423="Deferred"),IF(L423="","Record blocker / reason",IF(M423="","Assign rescue owner",IF(N423="","Set recovery date","Recovery assigned"))),IF(B423&lt;'Dashboard'!$B$5,"Escalate and record recovery","Work to acceptance standard")))</x:f>
        <x:v>Work to acceptance standard</x:v>
      </x:c>
      <x:c r="T423" s="26" t="str">
        <x:v>T0067</x:v>
      </x:c>
      <x:c r="U423" s="26" t="str">
        <x:v>Bookings deduped by opportunity; trials received; rate cohorts reconciled; early renewal draft.</x:v>
      </x:c>
      <x:c r="V423" s="31" t="n">
        <x:v>3</x:v>
      </x:c>
      <x:c r="W423" s="26" t="str"/>
      <x:c r="X423" s="26" t="str">
        <x:v>DSI Reset PDF: lane responsibilities and dated runbook; dated allocation proposed for this tracker.</x:v>
      </x:c>
      <x:c r="Y423" s="30" t="n">
        <x:f>B423-WEEKDAY(B423,2)+1</x:f>
        <x:v>46363</x:v>
      </x:c>
      <x:c r="Z423" s="2" t="str">
        <x:v>checklist</x:v>
      </x:c>
      <x:c r="AA423" s="2" t="n">
        <x:f>IF(Q423=1,IF(P423&gt;B423,1,0),0)</x:f>
        <x:v>0</x:v>
      </x:c>
      <x:c r="AB423" s="2" t="n">
        <x:f>IF(AND(Q423=1,P423&lt;='Dashboard'!$B$5),0,MAX(0,'Dashboard'!$B$5-B423))</x:f>
        <x:v>0</x:v>
      </x:c>
      <x:c r="AC423" s="28" t="str"/>
      <x:c r="AD423" s="2" t="str">
        <x:f>IF(AND(ISNUMBER(F423),ISNUMBER(G423)),G423-F423,"")</x:f>
      </x:c>
      <x:c r="AE423" s="2" t="n">
        <x:f>IF(AND(I423="Accepted",K423&lt;&gt;"",O423&lt;&gt;"",ISNUMBER(P423),P423&gt;0,P423&lt;='Dashboard'!$B$5,IF(ISNUMBER(F423),ISNUMBER(G423),TRUE),IF(ISNUMBER(F423),G423&gt;=F423,TRUE)),1,0)</x:f>
        <x:v>0</x:v>
      </x:c>
    </x:row>
    <x:row r="424" ht="58" customHeight="1">
      <x:c r="A424" s="2" t="str">
        <x:v>T0362</x:v>
      </x:c>
      <x:c r="B424" s="30" t="n">
        <x:v>46367</x:v>
      </x:c>
      <x:c r="C424" s="2" t="str">
        <x:v>Kenneth</x:v>
      </x:c>
      <x:c r="D424" s="2" t="str">
        <x:v>Message Orchestrator</x:v>
      </x:c>
      <x:c r="E424" s="26" t="str">
        <x:v>Five-call review with Nova; 3 next-week posts with proof links; one controlled test decision</x:v>
      </x:c>
      <x:c r="F424" s="2" t="n">
        <x:v>1</x:v>
      </x:c>
      <x:c r="G424" s="20"/>
      <x:c r="H424" s="2" t="str">
        <x:v>accepted output</x:v>
      </x:c>
      <x:c r="I424" s="20" t="str">
        <x:v>Ready</x:v>
      </x:c>
      <x:c r="J424" s="2" t="str">
        <x:v>16:45</x:v>
      </x:c>
      <x:c r="K424" s="28" t="str"/>
      <x:c r="L424" s="28" t="str"/>
      <x:c r="M424" s="20" t="str"/>
      <x:c r="N424" s="33"/>
      <x:c r="O424" s="20" t="str"/>
      <x:c r="P424" s="33"/>
      <x:c r="Q424" s="2" t="n">
        <x:f>IF(AND(AE424=1,COUNTIFS($A$7:$A$500,"T0067",$AE$7:$AE$500,1)=1,COUNTIFS($A$7:$A$500,"T0055",$AE$7:$AE$500,1)=1),1,0)</x:f>
        <x:v>0</x:v>
      </x:c>
      <x:c r="R424" s="2" t="str">
        <x:f>IF(AND(Q424=1,P424&lt;='Dashboard'!$B$5),IF(P424&gt;B424,"Accepted late","Accepted"),IF(B424&lt;'Dashboard'!$B$5,"Overdue",IF(I424="Blocked","Blocked",IF(B424='Dashboard'!$B$5,"Due today","Planned"))))</x:f>
        <x:v>Planned</x:v>
      </x:c>
      <x:c r="S424" s="26" t="str">
        <x:f>IF(I424="Accepted",IF(K424="","Add evidence",IF(O424="","Add reviewer",IF(P424="","Add accepted date",IF(AND(ISNUMBER(F424),COUNT(G424)=0),"Add actual quantity",IF(Q424=0,"Review target / date / dependencies","Complete"))))),IF(OR(I424="Blocked",I424="Deferred"),IF(L424="","Record blocker / reason",IF(M424="","Assign rescue owner",IF(N424="","Set recovery date","Recovery assigned"))),IF(B424&lt;'Dashboard'!$B$5,"Escalate and record recovery","Work to acceptance standard")))</x:f>
        <x:v>Work to acceptance standard</x:v>
      </x:c>
      <x:c r="T424" s="26" t="str">
        <x:v>T0067</x:v>
      </x:c>
      <x:c r="U424" s="26" t="str">
        <x:v>Two hours per week reserved for social within Kenneth’s cap. Across each 12-post cycle use 6 Engage / 4 Educate / 2 Promote, with promotion no more than once per fortnight. Wyline approves the exact version before publishing.</x:v>
      </x:c>
      <x:c r="V424" s="31" t="n">
        <x:v>2.4</x:v>
      </x:c>
      <x:c r="W424" s="26" t="str"/>
      <x:c r="X424" s="26" t="str">
        <x:v>DSI Reset PDF: lane responsibilities and dated runbook; dated allocation proposed for this tracker.</x:v>
      </x:c>
      <x:c r="Y424" s="30" t="n">
        <x:f>B424-WEEKDAY(B424,2)+1</x:f>
        <x:v>46363</x:v>
      </x:c>
      <x:c r="Z424" s="2" t="str">
        <x:v>checklist</x:v>
      </x:c>
      <x:c r="AA424" s="2" t="n">
        <x:f>IF(Q424=1,IF(P424&gt;B424,1,0),0)</x:f>
        <x:v>0</x:v>
      </x:c>
      <x:c r="AB424" s="2" t="n">
        <x:f>IF(AND(Q424=1,P424&lt;='Dashboard'!$B$5),0,MAX(0,'Dashboard'!$B$5-B424))</x:f>
        <x:v>0</x:v>
      </x:c>
      <x:c r="AC424" s="28" t="str"/>
      <x:c r="AD424" s="2" t="str">
        <x:f>IF(AND(ISNUMBER(F424),ISNUMBER(G424)),G424-F424,"")</x:f>
      </x:c>
      <x:c r="AE424" s="2" t="n">
        <x:f>IF(AND(I424="Accepted",K424&lt;&gt;"",O424&lt;&gt;"",ISNUMBER(P424),P424&gt;0,P424&lt;='Dashboard'!$B$5,IF(ISNUMBER(F424),ISNUMBER(G424),TRUE),IF(ISNUMBER(F424),G424&gt;=F424,TRUE)),1,0)</x:f>
        <x:v>0</x:v>
      </x:c>
    </x:row>
    <x:row r="425" ht="58" customHeight="1">
      <x:c r="A425" s="2" t="str">
        <x:v>T0363</x:v>
      </x:c>
      <x:c r="B425" s="30" t="n">
        <x:v>46367</x:v>
      </x:c>
      <x:c r="C425" s="2" t="str">
        <x:v>Joey</x:v>
      </x:c>
      <x:c r="D425" s="2" t="str">
        <x:v>Data Orchestrator</x:v>
      </x:c>
      <x:c r="E425" s="26" t="str">
        <x:v>750 verified total and final suppression QA. Planned list output today: 20 new verified contacts; cumulative ready pool 750.</x:v>
      </x:c>
      <x:c r="F425" s="2" t="n">
        <x:v>20</x:v>
      </x:c>
      <x:c r="G425" s="20"/>
      <x:c r="H425" s="2" t="str">
        <x:v>new verified contacts; proposed daily pace</x:v>
      </x:c>
      <x:c r="I425" s="20" t="str">
        <x:v>Ready</x:v>
      </x:c>
      <x:c r="J425" s="2" t="str">
        <x:v>16:45</x:v>
      </x:c>
      <x:c r="K425" s="28" t="str"/>
      <x:c r="L425" s="28" t="str"/>
      <x:c r="M425" s="20" t="str"/>
      <x:c r="N425" s="33"/>
      <x:c r="O425" s="20" t="str"/>
      <x:c r="P425" s="33"/>
      <x:c r="Q425" s="2" t="n">
        <x:f>IF(AND(AE425=1,COUNTIFS($A$7:$A$500,"T0067",$AE$7:$AE$500,1)=1,COUNTIFS($A$7:$A$500,"T0055",$AE$7:$AE$500,1)=1),1,0)</x:f>
        <x:v>0</x:v>
      </x:c>
      <x:c r="R425" s="2" t="str">
        <x:f>IF(AND(Q425=1,P425&lt;='Dashboard'!$B$5),IF(P425&gt;B425,"Accepted late","Accepted"),IF(B425&lt;'Dashboard'!$B$5,"Overdue",IF(I425="Blocked","Blocked",IF(B425='Dashboard'!$B$5,"Due today","Planned"))))</x:f>
        <x:v>Planned</x:v>
      </x:c>
      <x:c r="S425" s="26" t="str">
        <x:f>IF(I425="Accepted",IF(K425="","Add evidence",IF(O425="","Add reviewer",IF(P425="","Add accepted date",IF(AND(ISNUMBER(F425),COUNT(G425)=0),"Add actual quantity",IF(Q425=0,"Review target / date / dependencies","Complete"))))),IF(OR(I425="Blocked",I425="Deferred"),IF(L425="","Record blocker / reason",IF(M425="","Assign rescue owner",IF(N425="","Set recovery date","Recovery assigned"))),IF(B425&lt;'Dashboard'!$B$5,"Escalate and record recovery","Work to acceptance standard")))</x:f>
        <x:v>Work to acceptance standard</x:v>
      </x:c>
      <x:c r="T425" s="26" t="str">
        <x:v>T0067</x:v>
      </x:c>
      <x:c r="U425" s="26" t="str">
        <x:v>Final 250 adhere to zone/eligibility; no expansion without Wyline evidence.</x:v>
      </x:c>
      <x:c r="V425" s="31" t="n">
        <x:v>3</x:v>
      </x:c>
      <x:c r="W425" s="26" t="str"/>
      <x:c r="X425" s="26" t="str">
        <x:v>DSI Reset PDF: lane responsibilities and dated runbook; dated allocation proposed for this tracker.</x:v>
      </x:c>
      <x:c r="Y425" s="30" t="n">
        <x:f>B425-WEEKDAY(B425,2)+1</x:f>
        <x:v>46363</x:v>
      </x:c>
      <x:c r="Z425" s="2" t="str">
        <x:v>goal</x:v>
      </x:c>
      <x:c r="AA425" s="2" t="n">
        <x:f>IF(Q425=1,IF(P425&gt;B425,1,0),0)</x:f>
        <x:v>0</x:v>
      </x:c>
      <x:c r="AB425" s="2" t="n">
        <x:f>IF(AND(Q425=1,P425&lt;='Dashboard'!$B$5),0,MAX(0,'Dashboard'!$B$5-B425))</x:f>
        <x:v>0</x:v>
      </x:c>
      <x:c r="AC425" s="28" t="str"/>
      <x:c r="AD425" s="2" t="str">
        <x:f>IF(AND(ISNUMBER(F425),ISNUMBER(G425)),G425-F425,"")</x:f>
      </x:c>
      <x:c r="AE425" s="2" t="n">
        <x:f>IF(AND(I425="Accepted",K425&lt;&gt;"",O425&lt;&gt;"",ISNUMBER(P425),P425&gt;0,P425&lt;='Dashboard'!$B$5,IF(ISNUMBER(F425),ISNUMBER(G425),TRUE),IF(ISNUMBER(F425),G425&gt;=F425,TRUE)),1,0)</x:f>
        <x:v>0</x:v>
      </x:c>
    </x:row>
    <x:row r="426" ht="58" customHeight="1">
      <x:c r="A426" s="2" t="str">
        <x:v>T0364</x:v>
      </x:c>
      <x:c r="B426" s="30" t="n">
        <x:v>46367</x:v>
      </x:c>
      <x:c r="C426" s="2" t="str">
        <x:v>Nova</x:v>
      </x:c>
      <x:c r="D426" s="2" t="str">
        <x:v>Conversion Orchestrator</x:v>
      </x:c>
      <x:c r="E426" s="26" t="str">
        <x:v>Coverage/SLA evidence; 2 call reviews; booked/held updates; next-step and trial handoffs. Log each unique qualified inquiry with practice type, decision-maker access, case volume, service need and readiness timing.</x:v>
      </x:c>
      <x:c r="F426" s="2" t="n">
        <x:v>1</x:v>
      </x:c>
      <x:c r="G426" s="20"/>
      <x:c r="H426" s="2" t="str">
        <x:v>accepted output</x:v>
      </x:c>
      <x:c r="I426" s="20" t="str">
        <x:v>Ready</x:v>
      </x:c>
      <x:c r="J426" s="2" t="str">
        <x:v>16:45</x:v>
      </x:c>
      <x:c r="K426" s="28" t="str"/>
      <x:c r="L426" s="28" t="str"/>
      <x:c r="M426" s="20" t="str"/>
      <x:c r="N426" s="33"/>
      <x:c r="O426" s="20" t="str"/>
      <x:c r="P426" s="33"/>
      <x:c r="Q426" s="2" t="n">
        <x:f>IF(AND(AE426=1,COUNTIFS($A$7:$A$500,"T0067",$AE$7:$AE$500,1)=1,COUNTIFS($A$7:$A$500,"T0055",$AE$7:$AE$500,1)=1),1,0)</x:f>
        <x:v>0</x:v>
      </x:c>
      <x:c r="R426" s="2" t="str">
        <x:f>IF(AND(Q426=1,P426&lt;='Dashboard'!$B$5),IF(P426&gt;B426,"Accepted late","Accepted"),IF(B426&lt;'Dashboard'!$B$5,"Overdue",IF(I426="Blocked","Blocked",IF(B426='Dashboard'!$B$5,"Due today","Planned"))))</x:f>
        <x:v>Planned</x:v>
      </x:c>
      <x:c r="S426" s="26" t="str">
        <x:f>IF(I426="Accepted",IF(K426="","Add evidence",IF(O426="","Add reviewer",IF(P426="","Add accepted date",IF(AND(ISNUMBER(F426),COUNT(G426)=0),"Add actual quantity",IF(Q426=0,"Review target / date / dependencies","Complete"))))),IF(OR(I426="Blocked",I426="Deferred"),IF(L426="","Record blocker / reason",IF(M426="","Assign rescue owner",IF(N426="","Set recovery date","Recovery assigned"))),IF(B426&lt;'Dashboard'!$B$5,"Escalate and record recovery","Work to acceptance standard")))</x:f>
        <x:v>Work to acceptance standard</x:v>
      </x:c>
      <x:c r="T426" s="26" t="str">
        <x:v>T0067</x:v>
      </x:c>
      <x:c r="U426" s="26" t="str">
        <x:v>Every eligible reply&lt;=15 min; positive call&lt;=60 min; no opportunity without next step; booked brief to Nic; trial logistics to Maseeha. Raw contacts, opens and accepts never count as qualified inquiries; deduplicate across channels.</x:v>
      </x:c>
      <x:c r="V426" s="31" t="n">
        <x:v>4</x:v>
      </x:c>
      <x:c r="W426" s="26" t="str"/>
      <x:c r="X426" s="26" t="str">
        <x:v>DSI Reset PDF: lane responsibilities and dated runbook; dated allocation proposed for this tracker.</x:v>
      </x:c>
      <x:c r="Y426" s="30" t="n">
        <x:f>B426-WEEKDAY(B426,2)+1</x:f>
        <x:v>46363</x:v>
      </x:c>
      <x:c r="Z426" s="2" t="str">
        <x:v>checklist</x:v>
      </x:c>
      <x:c r="AA426" s="2" t="n">
        <x:f>IF(Q426=1,IF(P426&gt;B426,1,0),0)</x:f>
        <x:v>0</x:v>
      </x:c>
      <x:c r="AB426" s="2" t="n">
        <x:f>IF(AND(Q426=1,P426&lt;='Dashboard'!$B$5),0,MAX(0,'Dashboard'!$B$5-B426))</x:f>
        <x:v>0</x:v>
      </x:c>
      <x:c r="AC426" s="28" t="str"/>
      <x:c r="AD426" s="2" t="str">
        <x:f>IF(AND(ISNUMBER(F426),ISNUMBER(G426)),G426-F426,"")</x:f>
      </x:c>
      <x:c r="AE426" s="2" t="n">
        <x:f>IF(AND(I426="Accepted",K426&lt;&gt;"",O426&lt;&gt;"",ISNUMBER(P426),P426&gt;0,P426&lt;='Dashboard'!$B$5,IF(ISNUMBER(F426),ISNUMBER(G426),TRUE),IF(ISNUMBER(F426),G426&gt;=F426,TRUE)),1,0)</x:f>
        <x:v>0</x:v>
      </x:c>
    </x:row>
    <x:row r="427" ht="58" customHeight="1">
      <x:c r="A427" s="2" t="str">
        <x:v>T0365</x:v>
      </x:c>
      <x:c r="B427" s="30" t="n">
        <x:v>46367</x:v>
      </x:c>
      <x:c r="C427" s="2" t="str">
        <x:v>Emman</x:v>
      </x:c>
      <x:c r="D427" s="2" t="str">
        <x:v>AI Build Orchestrator</x:v>
      </x:c>
      <x:c r="E427" s="26" t="str">
        <x:v>Health/retry log; one acceptance-backed build increment; updated change log</x:v>
      </x:c>
      <x:c r="F427" s="2" t="n">
        <x:v>1</x:v>
      </x:c>
      <x:c r="G427" s="20"/>
      <x:c r="H427" s="2" t="str">
        <x:v>accepted output</x:v>
      </x:c>
      <x:c r="I427" s="20" t="str">
        <x:v>Ready</x:v>
      </x:c>
      <x:c r="J427" s="2" t="str">
        <x:v>16:45</x:v>
      </x:c>
      <x:c r="K427" s="28" t="str"/>
      <x:c r="L427" s="28" t="str"/>
      <x:c r="M427" s="20" t="str"/>
      <x:c r="N427" s="33"/>
      <x:c r="O427" s="20" t="str"/>
      <x:c r="P427" s="33"/>
      <x:c r="Q427" s="2" t="n">
        <x:f>IF(AND(AE427=1,COUNTIFS($A$7:$A$500,"T0067",$AE$7:$AE$500,1)=1,COUNTIFS($A$7:$A$500,"T0055",$AE$7:$AE$500,1)=1),1,0)</x:f>
        <x:v>0</x:v>
      </x:c>
      <x:c r="R427" s="2" t="str">
        <x:f>IF(AND(Q427=1,P427&lt;='Dashboard'!$B$5),IF(P427&gt;B427,"Accepted late","Accepted"),IF(B427&lt;'Dashboard'!$B$5,"Overdue",IF(I427="Blocked","Blocked",IF(B427='Dashboard'!$B$5,"Due today","Planned"))))</x:f>
        <x:v>Planned</x:v>
      </x:c>
      <x:c r="S427" s="26" t="str">
        <x:f>IF(I427="Accepted",IF(K427="","Add evidence",IF(O427="","Add reviewer",IF(P427="","Add accepted date",IF(AND(ISNUMBER(F427),COUNT(G427)=0),"Add actual quantity",IF(Q427=0,"Review target / date / dependencies","Complete"))))),IF(OR(I427="Blocked",I427="Deferred"),IF(L427="","Record blocker / reason",IF(M427="","Assign rescue owner",IF(N427="","Set recovery date","Recovery assigned"))),IF(B427&lt;'Dashboard'!$B$5,"Escalate and record recovery","Work to acceptance standard")))</x:f>
        <x:v>Work to acceptance standard</x:v>
      </x:c>
      <x:c r="T427" s="26" t="str">
        <x:v>T0067</x:v>
      </x:c>
      <x:c r="U427" s="26" t="str">
        <x:v>Fix a failing live agent beforestarting the next build. If an agent is still not working 48 hours after its due date, activate the manual SOP. Roll back a live failure within 1 hour. Release build reserve when no approved work remains.</x:v>
      </x:c>
      <x:c r="V427" s="31" t="n">
        <x:v>4</x:v>
      </x:c>
      <x:c r="W427" s="26" t="str"/>
      <x:c r="X427" s="26" t="str">
        <x:v>DSI Reset PDF: lane responsibilities and dated runbook; dated allocation proposed for this tracker.</x:v>
      </x:c>
      <x:c r="Y427" s="30" t="n">
        <x:f>B427-WEEKDAY(B427,2)+1</x:f>
        <x:v>46363</x:v>
      </x:c>
      <x:c r="Z427" s="2" t="str">
        <x:v>checklist</x:v>
      </x:c>
      <x:c r="AA427" s="2" t="n">
        <x:f>IF(Q427=1,IF(P427&gt;B427,1,0),0)</x:f>
        <x:v>0</x:v>
      </x:c>
      <x:c r="AB427" s="2" t="n">
        <x:f>IF(AND(Q427=1,P427&lt;='Dashboard'!$B$5),0,MAX(0,'Dashboard'!$B$5-B427))</x:f>
        <x:v>0</x:v>
      </x:c>
      <x:c r="AC427" s="28" t="str"/>
      <x:c r="AD427" s="2" t="str">
        <x:f>IF(AND(ISNUMBER(F427),ISNUMBER(G427)),G427-F427,"")</x:f>
      </x:c>
      <x:c r="AE427" s="2" t="n">
        <x:f>IF(AND(I427="Accepted",K427&lt;&gt;"",O427&lt;&gt;"",ISNUMBER(P427),P427&gt;0,P427&lt;='Dashboard'!$B$5,IF(ISNUMBER(F427),ISNUMBER(G427),TRUE),IF(ISNUMBER(F427),G427&gt;=F427,TRUE)),1,0)</x:f>
        <x:v>0</x:v>
      </x:c>
    </x:row>
    <x:row r="428" ht="58" customHeight="1">
      <x:c r="A428" s="2" t="str">
        <x:v>T0366</x:v>
      </x:c>
      <x:c r="B428" s="30" t="n">
        <x:v>46367</x:v>
      </x:c>
      <x:c r="C428" s="2" t="str">
        <x:v>Ludwig</x:v>
      </x:c>
      <x:c r="D428" s="2" t="str">
        <x:v>Integration Engineer</x:v>
      </x:c>
      <x:c r="E428" s="26" t="str">
        <x:v>Webhook/error/dead-letter check; top assigned integration ticket or verified no-ticket note</x:v>
      </x:c>
      <x:c r="F428" s="2" t="n">
        <x:v>1</x:v>
      </x:c>
      <x:c r="G428" s="20"/>
      <x:c r="H428" s="2" t="str">
        <x:v>accepted output</x:v>
      </x:c>
      <x:c r="I428" s="20" t="str">
        <x:v>Ready</x:v>
      </x:c>
      <x:c r="J428" s="2" t="str">
        <x:v>16:45</x:v>
      </x:c>
      <x:c r="K428" s="28" t="str"/>
      <x:c r="L428" s="28" t="str"/>
      <x:c r="M428" s="20" t="str"/>
      <x:c r="N428" s="33"/>
      <x:c r="O428" s="20" t="str"/>
      <x:c r="P428" s="33"/>
      <x:c r="Q428" s="2" t="n">
        <x:f>IF(AND(AE428=1,COUNTIFS($A$7:$A$500,"T0067",$AE$7:$AE$500,1)=1,COUNTIFS($A$7:$A$500,"T0055",$AE$7:$AE$500,1)=1),1,0)</x:f>
        <x:v>0</x:v>
      </x:c>
      <x:c r="R428" s="2" t="str">
        <x:f>IF(AND(Q428=1,P428&lt;='Dashboard'!$B$5),IF(P428&gt;B428,"Accepted late","Accepted"),IF(B428&lt;'Dashboard'!$B$5,"Overdue",IF(I428="Blocked","Blocked",IF(B428='Dashboard'!$B$5,"Due today","Planned"))))</x:f>
        <x:v>Planned</x:v>
      </x:c>
      <x:c r="S428" s="26" t="str">
        <x:f>IF(I428="Accepted",IF(K428="","Add evidence",IF(O428="","Add reviewer",IF(P428="","Add accepted date",IF(AND(ISNUMBER(F428),COUNT(G428)=0),"Add actual quantity",IF(Q428=0,"Review target / date / dependencies","Complete"))))),IF(OR(I428="Blocked",I428="Deferred"),IF(L428="","Record blocker / reason",IF(M428="","Assign rescue owner",IF(N428="","Set recovery date","Recovery assigned"))),IF(B428&lt;'Dashboard'!$B$5,"Escalate and record recovery","Work to acceptance standard")))</x:f>
        <x:v>Work to acceptance standard</x:v>
      </x:c>
      <x:c r="T428" s="26" t="str">
        <x:v>T0067</x:v>
      </x:c>
      <x:c r="U428" s="26" t="str">
        <x:v>Only Emman’s priority queue; 100% test capture; runbook/retry/rollback evidence. If no fault/ticket, release reserve; do not invent work.</x:v>
      </x:c>
      <x:c r="V428" s="31" t="n">
        <x:v>1.6</x:v>
      </x:c>
      <x:c r="W428" s="26" t="str"/>
      <x:c r="X428" s="26" t="str">
        <x:v>DSI Reset PDF: lane responsibilities and dated runbook; dated allocation proposed for this tracker.</x:v>
      </x:c>
      <x:c r="Y428" s="30" t="n">
        <x:f>B428-WEEKDAY(B428,2)+1</x:f>
        <x:v>46363</x:v>
      </x:c>
      <x:c r="Z428" s="2" t="str">
        <x:v>checklist</x:v>
      </x:c>
      <x:c r="AA428" s="2" t="n">
        <x:f>IF(Q428=1,IF(P428&gt;B428,1,0),0)</x:f>
        <x:v>0</x:v>
      </x:c>
      <x:c r="AB428" s="2" t="n">
        <x:f>IF(AND(Q428=1,P428&lt;='Dashboard'!$B$5),0,MAX(0,'Dashboard'!$B$5-B428))</x:f>
        <x:v>0</x:v>
      </x:c>
      <x:c r="AC428" s="28" t="str"/>
      <x:c r="AD428" s="2" t="str">
        <x:f>IF(AND(ISNUMBER(F428),ISNUMBER(G428)),G428-F428,"")</x:f>
      </x:c>
      <x:c r="AE428" s="2" t="n">
        <x:f>IF(AND(I428="Accepted",K428&lt;&gt;"",O428&lt;&gt;"",ISNUMBER(P428),P428&gt;0,P428&lt;='Dashboard'!$B$5,IF(ISNUMBER(F428),ISNUMBER(G428),TRUE),IF(ISNUMBER(F428),G428&gt;=F428,TRUE)),1,0)</x:f>
        <x:v>0</x:v>
      </x:c>
    </x:row>
    <x:row r="429" ht="58" customHeight="1">
      <x:c r="A429" s="2" t="str">
        <x:v>T0367</x:v>
      </x:c>
      <x:c r="B429" s="30" t="n">
        <x:v>46367</x:v>
      </x:c>
      <x:c r="C429" s="2" t="str">
        <x:v>Alvin</x:v>
      </x:c>
      <x:c r="D429" s="2" t="str">
        <x:v>CQL/GHL Implementation</x:v>
      </x:c>
      <x:c r="E429" s="26" t="str">
        <x:v>Stage/calendar/reminder QA; due workflow fixes</x:v>
      </x:c>
      <x:c r="F429" s="2" t="n">
        <x:v>1</x:v>
      </x:c>
      <x:c r="G429" s="20"/>
      <x:c r="H429" s="2" t="str">
        <x:v>accepted output</x:v>
      </x:c>
      <x:c r="I429" s="20" t="str">
        <x:v>Ready</x:v>
      </x:c>
      <x:c r="J429" s="2" t="str">
        <x:v>16:45</x:v>
      </x:c>
      <x:c r="K429" s="28" t="str"/>
      <x:c r="L429" s="28" t="str"/>
      <x:c r="M429" s="20" t="str"/>
      <x:c r="N429" s="33"/>
      <x:c r="O429" s="20" t="str"/>
      <x:c r="P429" s="33"/>
      <x:c r="Q429" s="2" t="n">
        <x:f>IF(AND(AE429=1,COUNTIFS($A$7:$A$500,"T0067",$AE$7:$AE$500,1)=1,COUNTIFS($A$7:$A$500,"T0055",$AE$7:$AE$500,1)=1),1,0)</x:f>
        <x:v>0</x:v>
      </x:c>
      <x:c r="R429" s="2" t="str">
        <x:f>IF(AND(Q429=1,P429&lt;='Dashboard'!$B$5),IF(P429&gt;B429,"Accepted late","Accepted"),IF(B429&lt;'Dashboard'!$B$5,"Overdue",IF(I429="Blocked","Blocked",IF(B429='Dashboard'!$B$5,"Due today","Planned"))))</x:f>
        <x:v>Planned</x:v>
      </x:c>
      <x:c r="S429" s="26" t="str">
        <x:f>IF(I429="Accepted",IF(K429="","Add evidence",IF(O429="","Add reviewer",IF(P429="","Add accepted date",IF(AND(ISNUMBER(F429),COUNT(G429)=0),"Add actual quantity",IF(Q429=0,"Review target / date / dependencies","Complete"))))),IF(OR(I429="Blocked",I429="Deferred"),IF(L429="","Record blocker / reason",IF(M429="","Assign rescue owner",IF(N429="","Set recovery date","Recovery assigned"))),IF(B429&lt;'Dashboard'!$B$5,"Escalate and record recovery","Work to acceptance standard")))</x:f>
        <x:v>Work to acceptance standard</x:v>
      </x:c>
      <x:c r="T429" s="26" t="str">
        <x:v>T0067</x:v>
      </x:c>
      <x:c r="U429" s="26" t="str">
        <x:v>No-show task&lt;=10 min; form/source fields correct; finish critical CRM defect same day. Facebook mirrors exact approved post; Instagram requires permissioned image.</x:v>
      </x:c>
      <x:c r="V429" s="31" t="n">
        <x:v>2</x:v>
      </x:c>
      <x:c r="W429" s="26" t="str"/>
      <x:c r="X429" s="26" t="str">
        <x:v>DSI Reset PDF: lane responsibilities and dated runbook; dated allocation proposed for this tracker.</x:v>
      </x:c>
      <x:c r="Y429" s="30" t="n">
        <x:f>B429-WEEKDAY(B429,2)+1</x:f>
        <x:v>46363</x:v>
      </x:c>
      <x:c r="Z429" s="2" t="str">
        <x:v>checklist</x:v>
      </x:c>
      <x:c r="AA429" s="2" t="n">
        <x:f>IF(Q429=1,IF(P429&gt;B429,1,0),0)</x:f>
        <x:v>0</x:v>
      </x:c>
      <x:c r="AB429" s="2" t="n">
        <x:f>IF(AND(Q429=1,P429&lt;='Dashboard'!$B$5),0,MAX(0,'Dashboard'!$B$5-B429))</x:f>
        <x:v>0</x:v>
      </x:c>
      <x:c r="AC429" s="28" t="str"/>
      <x:c r="AD429" s="2" t="str">
        <x:f>IF(AND(ISNUMBER(F429),ISNUMBER(G429)),G429-F429,"")</x:f>
      </x:c>
      <x:c r="AE429" s="2" t="n">
        <x:f>IF(AND(I429="Accepted",K429&lt;&gt;"",O429&lt;&gt;"",ISNUMBER(P429),P429&gt;0,P429&lt;='Dashboard'!$B$5,IF(ISNUMBER(F429),ISNUMBER(G429),TRUE),IF(ISNUMBER(F429),G429&gt;=F429,TRUE)),1,0)</x:f>
        <x:v>0</x:v>
      </x:c>
    </x:row>
    <x:row r="430" ht="58" customHeight="1">
      <x:c r="A430" s="2" t="str">
        <x:v>T0368</x:v>
      </x:c>
      <x:c r="B430" s="30" t="n">
        <x:v>46367</x:v>
      </x:c>
      <x:c r="C430" s="2" t="str">
        <x:v>Brian</x:v>
      </x:c>
      <x:c r="D430" s="2" t="str">
        <x:v>Web and Tracking</x:v>
      </x:c>
      <x:c r="E430" s="26" t="str">
        <x:v>One health-check result; at most one weekly change ticket or no-ticket note</x:v>
      </x:c>
      <x:c r="F430" s="2" t="n">
        <x:v>1</x:v>
      </x:c>
      <x:c r="G430" s="20"/>
      <x:c r="H430" s="2" t="str">
        <x:v>accepted output</x:v>
      </x:c>
      <x:c r="I430" s="20" t="str">
        <x:v>Ready</x:v>
      </x:c>
      <x:c r="J430" s="2" t="str">
        <x:v>16:45</x:v>
      </x:c>
      <x:c r="K430" s="28" t="str"/>
      <x:c r="L430" s="28" t="str"/>
      <x:c r="M430" s="20" t="str"/>
      <x:c r="N430" s="33"/>
      <x:c r="O430" s="20" t="str"/>
      <x:c r="P430" s="33"/>
      <x:c r="Q430" s="2" t="n">
        <x:f>IF(AND(AE430=1,COUNTIFS($A$7:$A$500,"T0067",$AE$7:$AE$500,1)=1,COUNTIFS($A$7:$A$500,"T0055",$AE$7:$AE$500,1)=1),1,0)</x:f>
        <x:v>0</x:v>
      </x:c>
      <x:c r="R430" s="2" t="str">
        <x:f>IF(AND(Q430=1,P430&lt;='Dashboard'!$B$5),IF(P430&gt;B430,"Accepted late","Accepted"),IF(B430&lt;'Dashboard'!$B$5,"Overdue",IF(I430="Blocked","Blocked",IF(B430='Dashboard'!$B$5,"Due today","Planned"))))</x:f>
        <x:v>Planned</x:v>
      </x:c>
      <x:c r="S430" s="26" t="str">
        <x:f>IF(I430="Accepted",IF(K430="","Add evidence",IF(O430="","Add reviewer",IF(P430="","Add accepted date",IF(AND(ISNUMBER(F430),COUNT(G430)=0),"Add actual quantity",IF(Q430=0,"Review target / date / dependencies","Complete"))))),IF(OR(I430="Blocked",I430="Deferred"),IF(L430="","Record blocker / reason",IF(M430="","Assign rescue owner",IF(N430="","Set recovery date","Recovery assigned"))),IF(B430&lt;'Dashboard'!$B$5,"Escalate and record recovery","Work to acceptance standard")))</x:f>
        <x:v>Work to acceptance standard</x:v>
      </x:c>
      <x:c r="T430" s="26" t="str">
        <x:v>T0067</x:v>
      </x:c>
      <x:c r="U430" s="26" t="str">
        <x:v>Form to CQL&lt;1 min; approved copy unchanged; no work manufactured if healthy; ongoing reserve&lt;=2 h/week.</x:v>
      </x:c>
      <x:c r="V430" s="31" t="n">
        <x:v>0.4</x:v>
      </x:c>
      <x:c r="W430" s="26" t="str"/>
      <x:c r="X430" s="26" t="str">
        <x:v>DSI Reset PDF: lane responsibilities and dated runbook; dated allocation proposed for this tracker.</x:v>
      </x:c>
      <x:c r="Y430" s="30" t="n">
        <x:f>B430-WEEKDAY(B430,2)+1</x:f>
        <x:v>46363</x:v>
      </x:c>
      <x:c r="Z430" s="2" t="str">
        <x:v>checklist</x:v>
      </x:c>
      <x:c r="AA430" s="2" t="n">
        <x:f>IF(Q430=1,IF(P430&gt;B430,1,0),0)</x:f>
        <x:v>0</x:v>
      </x:c>
      <x:c r="AB430" s="2" t="n">
        <x:f>IF(AND(Q430=1,P430&lt;='Dashboard'!$B$5),0,MAX(0,'Dashboard'!$B$5-B430))</x:f>
        <x:v>0</x:v>
      </x:c>
      <x:c r="AC430" s="28" t="str"/>
      <x:c r="AD430" s="2" t="str">
        <x:f>IF(AND(ISNUMBER(F430),ISNUMBER(G430)),G430-F430,"")</x:f>
      </x:c>
      <x:c r="AE430" s="2" t="n">
        <x:f>IF(AND(I430="Accepted",K430&lt;&gt;"",O430&lt;&gt;"",ISNUMBER(P430),P430&gt;0,P430&lt;='Dashboard'!$B$5,IF(ISNUMBER(F430),ISNUMBER(G430),TRUE),IF(ISNUMBER(F430),G430&gt;=F430,TRUE)),1,0)</x:f>
        <x:v>0</x:v>
      </x:c>
    </x:row>
    <x:row r="431" ht="58" customHeight="1">
      <x:c r="A431" s="2" t="str">
        <x:v>T0369</x:v>
      </x:c>
      <x:c r="B431" s="30" t="n">
        <x:v>46367</x:v>
      </x:c>
      <x:c r="C431" s="2" t="str">
        <x:v>Dexter</x:v>
      </x:c>
      <x:c r="D431" s="2" t="str">
        <x:v>LinkedIn Execution</x:v>
      </x:c>
      <x:c r="E431" s="26" t="str">
        <x:v>CQL logged DMs/accepts; eligible requests; referred interested replies; approved post evidence</x:v>
      </x:c>
      <x:c r="F431" s="2" t="n">
        <x:v>25</x:v>
      </x:c>
      <x:c r="G431" s="20"/>
      <x:c r="H431" s="2" t="str">
        <x:v>new request working target; eligible pool required</x:v>
      </x:c>
      <x:c r="I431" s="20" t="str">
        <x:v>Ready</x:v>
      </x:c>
      <x:c r="J431" s="2" t="str">
        <x:v>16:45</x:v>
      </x:c>
      <x:c r="K431" s="28" t="str"/>
      <x:c r="L431" s="28" t="str"/>
      <x:c r="M431" s="20" t="str"/>
      <x:c r="N431" s="33"/>
      <x:c r="O431" s="20" t="str"/>
      <x:c r="P431" s="33"/>
      <x:c r="Q431" s="2" t="n">
        <x:f>IF(AND(AE431=1,COUNTIFS($A$7:$A$500,"T0067",$AE$7:$AE$500,1)=1,COUNTIFS($A$7:$A$500,"T0055",$AE$7:$AE$500,1)=1),1,0)</x:f>
        <x:v>0</x:v>
      </x:c>
      <x:c r="R431" s="2" t="str">
        <x:f>IF(AND(Q431=1,P431&lt;='Dashboard'!$B$5),IF(P431&gt;B431,"Accepted late","Accepted"),IF(B431&lt;'Dashboard'!$B$5,"Overdue",IF(I431="Blocked","Blocked",IF(B431='Dashboard'!$B$5,"Due today","Planned"))))</x:f>
        <x:v>Planned</x:v>
      </x:c>
      <x:c r="S431" s="26" t="str">
        <x:f>IF(I431="Accepted",IF(K431="","Add evidence",IF(O431="","Add reviewer",IF(P431="","Add accepted date",IF(AND(ISNUMBER(F431),COUNT(G431)=0),"Add actual quantity",IF(Q431=0,"Review target / date / dependencies","Complete"))))),IF(OR(I431="Blocked",I431="Deferred"),IF(L431="","Record blocker / reason",IF(M431="","Assign rescue owner",IF(N431="","Set recovery date","Recovery assigned"))),IF(B431&lt;'Dashboard'!$B$5,"Escalate and record recovery","Work to acceptance standard")))</x:f>
        <x:v>Work to acceptance standard</x:v>
      </x:c>
      <x:c r="T431" s="26" t="str">
        <x:v>T0067</x:v>
      </x:c>
      <x:c r="U431"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31" s="31" t="n">
        <x:v>3</x:v>
      </x:c>
      <x:c r="W431" s="26" t="str"/>
      <x:c r="X431" s="26" t="str">
        <x:v>DSI Reset PDF: lane responsibilities and dated runbook; dated allocation proposed for this tracker.</x:v>
      </x:c>
      <x:c r="Y431" s="30" t="n">
        <x:f>B431-WEEKDAY(B431,2)+1</x:f>
        <x:v>46363</x:v>
      </x:c>
      <x:c r="Z431" s="2" t="str">
        <x:v>capacity</x:v>
      </x:c>
      <x:c r="AA431" s="2" t="n">
        <x:f>IF(Q431=1,IF(P431&gt;B431,1,0),0)</x:f>
        <x:v>0</x:v>
      </x:c>
      <x:c r="AB431" s="2" t="n">
        <x:f>IF(AND(Q431=1,P431&lt;='Dashboard'!$B$5),0,MAX(0,'Dashboard'!$B$5-B431))</x:f>
        <x:v>0</x:v>
      </x:c>
      <x:c r="AC431" s="28" t="str"/>
      <x:c r="AD431" s="2" t="str">
        <x:f>IF(AND(ISNUMBER(F431),ISNUMBER(G431)),G431-F431,"")</x:f>
      </x:c>
      <x:c r="AE431" s="2" t="n">
        <x:f>IF(AND(I431="Accepted",K431&lt;&gt;"",O431&lt;&gt;"",ISNUMBER(P431),P431&gt;0,P431&lt;='Dashboard'!$B$5,IF(ISNUMBER(F431),ISNUMBER(G431),TRUE),IF(ISNUMBER(F431),OR(G431&gt;=F431,AC431&lt;&gt;""),TRUE)),1,0)</x:f>
        <x:v>0</x:v>
      </x:c>
    </x:row>
    <x:row r="432" ht="58" customHeight="1">
      <x:c r="A432" s="2" t="str">
        <x:v>T0370</x:v>
      </x:c>
      <x:c r="B432" s="30" t="n">
        <x:v>46367</x:v>
      </x:c>
      <x:c r="C432" s="2" t="str">
        <x:v>Setter 1</x:v>
      </x:c>
      <x:c r="D432" s="2" t="str">
        <x:v>Reply and Phone Setter</x:v>
      </x:c>
      <x:c r="E432" s="26" t="str">
        <x:v>SLA/call outcome log; bookings and next steps; handoff to Nova</x:v>
      </x:c>
      <x:c r="F432" s="2" t="n">
        <x:v>50</x:v>
      </x:c>
      <x:c r="G432" s="20"/>
      <x:c r="H432" s="2" t="str">
        <x:v>dial working target; inbound SLA takes priority</x:v>
      </x:c>
      <x:c r="I432" s="20" t="str">
        <x:v>Ready</x:v>
      </x:c>
      <x:c r="J432" s="2" t="str">
        <x:v>16:45</x:v>
      </x:c>
      <x:c r="K432" s="28" t="str"/>
      <x:c r="L432" s="28" t="str"/>
      <x:c r="M432" s="20" t="str"/>
      <x:c r="N432" s="33"/>
      <x:c r="O432" s="20" t="str"/>
      <x:c r="P432" s="33"/>
      <x:c r="Q432" s="2" t="n">
        <x:f>IF(AND(AE432=1,COUNTIFS($A$7:$A$500,"T0013",$AE$7:$AE$500,1)=1,COUNTIFS($A$7:$A$500,"T0055",$AE$7:$AE$500,1)=1),1,0)</x:f>
        <x:v>0</x:v>
      </x:c>
      <x:c r="R432" s="2" t="str">
        <x:f>IF(AND(Q432=1,P432&lt;='Dashboard'!$B$5),IF(P432&gt;B432,"Accepted late","Accepted"),IF(B432&lt;'Dashboard'!$B$5,"Overdue",IF(I432="Blocked","Blocked",IF(B432='Dashboard'!$B$5,"Due today","Planned"))))</x:f>
        <x:v>Planned</x:v>
      </x:c>
      <x:c r="S432" s="26" t="str">
        <x:f>IF(I432="Accepted",IF(K432="","Add evidence",IF(O432="","Add reviewer",IF(P432="","Add accepted date",IF(AND(ISNUMBER(F432),COUNT(G432)=0),"Add actual quantity",IF(Q432=0,"Review target / date / dependencies","Complete"))))),IF(OR(I432="Blocked",I432="Deferred"),IF(L432="","Record blocker / reason",IF(M432="","Assign rescue owner",IF(N432="","Set recovery date","Recovery assigned"))),IF(B432&lt;'Dashboard'!$B$5,"Escalate and record recovery","Work to acceptance standard")))</x:f>
        <x:v>Work to acceptance standard</x:v>
      </x:c>
      <x:c r="T432" s="26" t="str">
        <x:v>T0013; T0055</x:v>
      </x:c>
      <x:c r="U432"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32" s="31" t="n">
        <x:v>7.5</x:v>
      </x:c>
      <x:c r="W432" s="26" t="str"/>
      <x:c r="X432" s="26" t="str">
        <x:v>DSI Reset PDF: lane responsibilities and dated runbook; dated allocation proposed for this tracker.</x:v>
      </x:c>
      <x:c r="Y432" s="30" t="n">
        <x:f>B432-WEEKDAY(B432,2)+1</x:f>
        <x:v>46363</x:v>
      </x:c>
      <x:c r="Z432" s="2" t="str">
        <x:v>capacity</x:v>
      </x:c>
      <x:c r="AA432" s="2" t="n">
        <x:f>IF(Q432=1,IF(P432&gt;B432,1,0),0)</x:f>
        <x:v>0</x:v>
      </x:c>
      <x:c r="AB432" s="2" t="n">
        <x:f>IF(AND(Q432=1,P432&lt;='Dashboard'!$B$5),0,MAX(0,'Dashboard'!$B$5-B432))</x:f>
        <x:v>0</x:v>
      </x:c>
      <x:c r="AC432" s="28" t="str"/>
      <x:c r="AD432" s="2" t="str">
        <x:f>IF(AND(ISNUMBER(F432),ISNUMBER(G432)),G432-F432,"")</x:f>
      </x:c>
      <x:c r="AE432" s="2" t="n">
        <x:f>IF(AND(I432="Accepted",K432&lt;&gt;"",O432&lt;&gt;"",ISNUMBER(P432),P432&gt;0,P432&lt;='Dashboard'!$B$5,IF(ISNUMBER(F432),ISNUMBER(G432),TRUE),IF(ISNUMBER(F432),OR(G432&gt;=F432,AC432&lt;&gt;""),TRUE)),1,0)</x:f>
        <x:v>0</x:v>
      </x:c>
    </x:row>
    <x:row r="433" ht="58" customHeight="1">
      <x:c r="A433" s="2" t="str">
        <x:v>T0371</x:v>
      </x:c>
      <x:c r="B433" s="30" t="n">
        <x:v>46367</x:v>
      </x:c>
      <x:c r="C433" s="2" t="str">
        <x:v>Setter 2</x:v>
      </x:c>
      <x:c r="D433" s="2" t="str">
        <x:v>Reply and Phone Setter</x:v>
      </x:c>
      <x:c r="E433" s="26" t="str">
        <x:v>SLA/call outcome log; bookings and next steps; handoff to Nova</x:v>
      </x:c>
      <x:c r="F433" s="2" t="n">
        <x:v>50</x:v>
      </x:c>
      <x:c r="G433" s="20"/>
      <x:c r="H433" s="2" t="str">
        <x:v>dial working target; inbound SLA takes priority</x:v>
      </x:c>
      <x:c r="I433" s="20" t="str">
        <x:v>Ready</x:v>
      </x:c>
      <x:c r="J433" s="2" t="str">
        <x:v>16:45</x:v>
      </x:c>
      <x:c r="K433" s="28" t="str"/>
      <x:c r="L433" s="28" t="str"/>
      <x:c r="M433" s="20" t="str"/>
      <x:c r="N433" s="33"/>
      <x:c r="O433" s="20" t="str"/>
      <x:c r="P433" s="33"/>
      <x:c r="Q433" s="2" t="n">
        <x:f>IF(AND(AE433=1,COUNTIFS($A$7:$A$500,"T0013",$AE$7:$AE$500,1)=1,COUNTIFS($A$7:$A$500,"T0055",$AE$7:$AE$500,1)=1),1,0)</x:f>
        <x:v>0</x:v>
      </x:c>
      <x:c r="R433" s="2" t="str">
        <x:f>IF(AND(Q433=1,P433&lt;='Dashboard'!$B$5),IF(P433&gt;B433,"Accepted late","Accepted"),IF(B433&lt;'Dashboard'!$B$5,"Overdue",IF(I433="Blocked","Blocked",IF(B433='Dashboard'!$B$5,"Due today","Planned"))))</x:f>
        <x:v>Planned</x:v>
      </x:c>
      <x:c r="S433" s="26" t="str">
        <x:f>IF(I433="Accepted",IF(K433="","Add evidence",IF(O433="","Add reviewer",IF(P433="","Add accepted date",IF(AND(ISNUMBER(F433),COUNT(G433)=0),"Add actual quantity",IF(Q433=0,"Review target / date / dependencies","Complete"))))),IF(OR(I433="Blocked",I433="Deferred"),IF(L433="","Record blocker / reason",IF(M433="","Assign rescue owner",IF(N433="","Set recovery date","Recovery assigned"))),IF(B433&lt;'Dashboard'!$B$5,"Escalate and record recovery","Work to acceptance standard")))</x:f>
        <x:v>Work to acceptance standard</x:v>
      </x:c>
      <x:c r="T433" s="26" t="str">
        <x:v>T0013; T0055</x:v>
      </x:c>
      <x:c r="U433"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33" s="31" t="n">
        <x:v>7.5</x:v>
      </x:c>
      <x:c r="W433" s="26" t="str"/>
      <x:c r="X433" s="26" t="str">
        <x:v>DSI Reset PDF: lane responsibilities and dated runbook; dated allocation proposed for this tracker.</x:v>
      </x:c>
      <x:c r="Y433" s="30" t="n">
        <x:f>B433-WEEKDAY(B433,2)+1</x:f>
        <x:v>46363</x:v>
      </x:c>
      <x:c r="Z433" s="2" t="str">
        <x:v>capacity</x:v>
      </x:c>
      <x:c r="AA433" s="2" t="n">
        <x:f>IF(Q433=1,IF(P433&gt;B433,1,0),0)</x:f>
        <x:v>0</x:v>
      </x:c>
      <x:c r="AB433" s="2" t="n">
        <x:f>IF(AND(Q433=1,P433&lt;='Dashboard'!$B$5),0,MAX(0,'Dashboard'!$B$5-B433))</x:f>
        <x:v>0</x:v>
      </x:c>
      <x:c r="AC433" s="28" t="str"/>
      <x:c r="AD433" s="2" t="str">
        <x:f>IF(AND(ISNUMBER(F433),ISNUMBER(G433)),G433-F433,"")</x:f>
      </x:c>
      <x:c r="AE433" s="2" t="n">
        <x:f>IF(AND(I433="Accepted",K433&lt;&gt;"",O433&lt;&gt;"",ISNUMBER(P433),P433&gt;0,P433&lt;='Dashboard'!$B$5,IF(ISNUMBER(F433),ISNUMBER(G433),TRUE),IF(ISNUMBER(F433),OR(G433&gt;=F433,AC433&lt;&gt;""),TRUE)),1,0)</x:f>
        <x:v>0</x:v>
      </x:c>
    </x:row>
    <x:row r="434" ht="58" customHeight="1">
      <x:c r="A434" s="2" t="str">
        <x:v>T0485</x:v>
      </x:c>
      <x:c r="B434" s="30" t="n">
        <x:v>46367</x:v>
      </x:c>
      <x:c r="C434" s="2" t="str">
        <x:v>Nic</x:v>
      </x:c>
      <x:c r="D434" s="2" t="str">
        <x:v>Client dependency</x:v>
      </x:c>
      <x:c r="E434" s="26" t="str">
        <x:v>Call outcome/next step for every appointment due; first-case decisions</x:v>
      </x:c>
      <x:c r="F434" s="2" t="str"/>
      <x:c r="G434" s="20"/>
      <x:c r="H434" s="2" t="str">
        <x:v>all due appointments</x:v>
      </x:c>
      <x:c r="I434" s="20" t="str">
        <x:v>Ready</x:v>
      </x:c>
      <x:c r="J434" s="2" t="str">
        <x:v>16:45</x:v>
      </x:c>
      <x:c r="K434" s="28" t="str"/>
      <x:c r="L434" s="28" t="str"/>
      <x:c r="M434" s="20" t="str"/>
      <x:c r="N434" s="33"/>
      <x:c r="O434" s="20" t="str"/>
      <x:c r="P434" s="33"/>
      <x:c r="Q434" s="2" t="n">
        <x:f>IF(AND(AE434=1,COUNTIFS($A$7:$A$500,"T0028",$AE$7:$AE$500,1)=1),1,0)</x:f>
        <x:v>0</x:v>
      </x:c>
      <x:c r="R434" s="2" t="str">
        <x:f>IF(AND(Q434=1,P434&lt;='Dashboard'!$B$5),IF(P434&gt;B434,"Accepted late","Accepted"),IF(B434&lt;'Dashboard'!$B$5,"Overdue",IF(I434="Blocked","Blocked",IF(B434='Dashboard'!$B$5,"Due today","Planned"))))</x:f>
        <x:v>Planned</x:v>
      </x:c>
      <x:c r="S434" s="26" t="str">
        <x:f>IF(I434="Accepted",IF(K434="","Add evidence",IF(O434="","Add reviewer",IF(P434="","Add accepted date",IF(AND(ISNUMBER(F434),COUNT(G434)=0),"Add actual quantity",IF(Q434=0,"Review target / date / dependencies","Complete"))))),IF(OR(I434="Blocked",I434="Deferred"),IF(L434="","Record blocker / reason",IF(M434="","Assign rescue owner",IF(N434="","Set recovery date","Recovery assigned"))),IF(B434&lt;'Dashboard'!$B$5,"Escalate and record recovery","Work to acceptance standard")))</x:f>
        <x:v>Work to acceptance standard</x:v>
      </x:c>
      <x:c r="T434" s="26" t="str">
        <x:v>T0028</x:v>
      </x:c>
      <x:c r="U434" s="26" t="str">
        <x:v>Demand-linked: work actual approved calendar; setter brief present; outcome logged same day. No calls scheduled is N/A with calendar evidence.</x:v>
      </x:c>
      <x:c r="V434" s="31" t="n">
        <x:v>0.5</x:v>
      </x:c>
      <x:c r="W434" s="26" t="str"/>
      <x:c r="X434" s="26" t="str">
        <x:v>DSI Reset PDF: lane responsibilities and dated runbook; dated allocation proposed for this tracker.</x:v>
      </x:c>
      <x:c r="Y434" s="30" t="n">
        <x:f>B434-WEEKDAY(B434,2)+1</x:f>
        <x:v>46363</x:v>
      </x:c>
      <x:c r="Z434" s="2" t="str">
        <x:v>demand</x:v>
      </x:c>
      <x:c r="AA434" s="2" t="n">
        <x:f>IF(Q434=1,IF(P434&gt;B434,1,0),0)</x:f>
        <x:v>0</x:v>
      </x:c>
      <x:c r="AB434" s="2" t="n">
        <x:f>IF(AND(Q434=1,P434&lt;='Dashboard'!$B$5),0,MAX(0,'Dashboard'!$B$5-B434))</x:f>
        <x:v>0</x:v>
      </x:c>
      <x:c r="AC434" s="28" t="str"/>
      <x:c r="AD434" s="2" t="str">
        <x:f>IF(AND(ISNUMBER(F434),ISNUMBER(G434)),G434-F434,"")</x:f>
      </x:c>
      <x:c r="AE434" s="2" t="n">
        <x:f>IF(AND(I434="Accepted",K434&lt;&gt;"",O434&lt;&gt;"",ISNUMBER(P434),P434&gt;0,P434&lt;='Dashboard'!$B$5,IF(ISNUMBER(F434),ISNUMBER(G434),TRUE)),1,0)</x:f>
        <x:v>0</x:v>
      </x:c>
    </x:row>
    <x:row r="435" ht="58" customHeight="1">
      <x:c r="A435" s="2" t="str">
        <x:v>T0486</x:v>
      </x:c>
      <x:c r="B435" s="30" t="n">
        <x:v>46367</x:v>
      </x:c>
      <x:c r="C435" s="2" t="str">
        <x:v>Maseeha</x:v>
      </x:c>
      <x:c r="D435" s="2" t="str">
        <x:v>Client dependency</x:v>
      </x:c>
      <x:c r="E435" s="26" t="str">
        <x:v>Due intro verification; kit/case handoff; delivery/Day-30 dates; credit trigger log</x:v>
      </x:c>
      <x:c r="F435" s="2" t="str"/>
      <x:c r="G435" s="20"/>
      <x:c r="H435" s="2" t="str">
        <x:v>all due cases</x:v>
      </x:c>
      <x:c r="I435" s="20" t="str">
        <x:v>Ready</x:v>
      </x:c>
      <x:c r="J435" s="2" t="str">
        <x:v>16:45</x:v>
      </x:c>
      <x:c r="K435" s="28" t="str"/>
      <x:c r="L435" s="28" t="str"/>
      <x:c r="M435" s="20" t="str"/>
      <x:c r="N435" s="33"/>
      <x:c r="O435" s="20" t="str"/>
      <x:c r="P435" s="33"/>
      <x:c r="Q435" s="2" t="n">
        <x:f>IF(AND(AE435=1,COUNTIFS($A$7:$A$500,"T0028",$AE$7:$AE$500,1)=1),1,0)</x:f>
        <x:v>0</x:v>
      </x:c>
      <x:c r="R435" s="2" t="str">
        <x:f>IF(AND(Q435=1,P435&lt;='Dashboard'!$B$5),IF(P435&gt;B435,"Accepted late","Accepted"),IF(B435&lt;'Dashboard'!$B$5,"Overdue",IF(I435="Blocked","Blocked",IF(B435='Dashboard'!$B$5,"Due today","Planned"))))</x:f>
        <x:v>Planned</x:v>
      </x:c>
      <x:c r="S435" s="26" t="str">
        <x:f>IF(I435="Accepted",IF(K435="","Add evidence",IF(O435="","Add reviewer",IF(P435="","Add accepted date",IF(AND(ISNUMBER(F435),COUNT(G435)=0),"Add actual quantity",IF(Q435=0,"Review target / date / dependencies","Complete"))))),IF(OR(I435="Blocked",I435="Deferred"),IF(L435="","Record blocker / reason",IF(M435="","Assign rescue owner",IF(N435="","Set recovery date","Recovery assigned"))),IF(B435&lt;'Dashboard'!$B$5,"Escalate and record recovery","Work to acceptance standard")))</x:f>
        <x:v>Work to acceptance standard</x:v>
      </x:c>
      <x:c r="T435" s="26" t="str">
        <x:v>T0028</x:v>
      </x:c>
      <x:c r="U435" s="26" t="str">
        <x:v>Demand-linked: referral verification&lt;=2 business days; trial capacity respected; $200 credit only on eligible invoice paid.</x:v>
      </x:c>
      <x:c r="V435" s="31" t="n">
        <x:v>0.5</x:v>
      </x:c>
      <x:c r="W435" s="26" t="str"/>
      <x:c r="X435" s="26" t="str">
        <x:v>DSI Reset PDF: lane responsibilities and dated runbook; dated allocation proposed for this tracker.</x:v>
      </x:c>
      <x:c r="Y435" s="30" t="n">
        <x:f>B435-WEEKDAY(B435,2)+1</x:f>
        <x:v>46363</x:v>
      </x:c>
      <x:c r="Z435" s="2" t="str">
        <x:v>demand</x:v>
      </x:c>
      <x:c r="AA435" s="2" t="n">
        <x:f>IF(Q435=1,IF(P435&gt;B435,1,0),0)</x:f>
        <x:v>0</x:v>
      </x:c>
      <x:c r="AB435" s="2" t="n">
        <x:f>IF(AND(Q435=1,P435&lt;='Dashboard'!$B$5),0,MAX(0,'Dashboard'!$B$5-B435))</x:f>
        <x:v>0</x:v>
      </x:c>
      <x:c r="AC435" s="28" t="str"/>
      <x:c r="AD435" s="2" t="str">
        <x:f>IF(AND(ISNUMBER(F435),ISNUMBER(G435)),G435-F435,"")</x:f>
      </x:c>
      <x:c r="AE435" s="2" t="n">
        <x:f>IF(AND(I435="Accepted",K435&lt;&gt;"",O435&lt;&gt;"",ISNUMBER(P435),P435&gt;0,P435&lt;='Dashboard'!$B$5,IF(ISNUMBER(F435),ISNUMBER(G435),TRUE)),1,0)</x:f>
        <x:v>0</x:v>
      </x:c>
    </x:row>
    <x:row r="436" ht="58" customHeight="1">
      <x:c r="A436" s="2" t="str">
        <x:v>T0372</x:v>
      </x:c>
      <x:c r="B436" s="30" t="n">
        <x:v>46370</x:v>
      </x:c>
      <x:c r="C436" s="2" t="str">
        <x:v>Wyline</x:v>
      </x:c>
      <x:c r="D436" s="2" t="str">
        <x:v>Program Director</x:v>
      </x:c>
      <x:c r="E436" s="26" t="str">
        <x:v>Accepted-output register; actual-vs-target dashboard; blocker/rescue assignments</x:v>
      </x:c>
      <x:c r="F436" s="2" t="n">
        <x:v>1</x:v>
      </x:c>
      <x:c r="G436" s="20"/>
      <x:c r="H436" s="2" t="str">
        <x:v>accepted output</x:v>
      </x:c>
      <x:c r="I436" s="20" t="str">
        <x:v>Ready</x:v>
      </x:c>
      <x:c r="J436" s="2" t="str">
        <x:v>16:45</x:v>
      </x:c>
      <x:c r="K436" s="28" t="str"/>
      <x:c r="L436" s="28" t="str"/>
      <x:c r="M436" s="20" t="str"/>
      <x:c r="N436" s="33"/>
      <x:c r="O436" s="20" t="str"/>
      <x:c r="P436" s="33"/>
      <x:c r="Q436" s="2" t="n">
        <x:f>IF(AND(AE436=1,COUNTIFS($A$7:$A$500,"T0067",$AE$7:$AE$500,1)=1,COUNTIFS($A$7:$A$500,"T0055",$AE$7:$AE$500,1)=1),1,0)</x:f>
        <x:v>0</x:v>
      </x:c>
      <x:c r="R436" s="2" t="str">
        <x:f>IF(AND(Q436=1,P436&lt;='Dashboard'!$B$5),IF(P436&gt;B436,"Accepted late","Accepted"),IF(B436&lt;'Dashboard'!$B$5,"Overdue",IF(I436="Blocked","Blocked",IF(B436='Dashboard'!$B$5,"Due today","Planned"))))</x:f>
        <x:v>Planned</x:v>
      </x:c>
      <x:c r="S436" s="26" t="str">
        <x:f>IF(I436="Accepted",IF(K436="","Add evidence",IF(O436="","Add reviewer",IF(P436="","Add accepted date",IF(AND(ISNUMBER(F436),COUNT(G436)=0),"Add actual quantity",IF(Q436=0,"Review target / date / dependencies","Complete"))))),IF(OR(I436="Blocked",I436="Deferred"),IF(L436="","Record blocker / reason",IF(M436="","Assign rescue owner",IF(N436="","Set recovery date","Recovery assigned"))),IF(B436&lt;'Dashboard'!$B$5,"Escalate and record recovery","Work to acceptance standard")))</x:f>
        <x:v>Work to acceptance standard</x:v>
      </x:c>
      <x:c r="T436" s="26" t="str">
        <x:v>T0067</x:v>
      </x:c>
      <x:c r="U436" s="26" t="str">
        <x:v>09:00 standup; 13:00/16:30 recovery checks; 17:00 acceptance. Every overdue task keeps original date and named recovery owner.</x:v>
      </x:c>
      <x:c r="V436" s="31" t="n">
        <x:v>3</x:v>
      </x:c>
      <x:c r="W436" s="26" t="str"/>
      <x:c r="X436" s="26" t="str">
        <x:v>DSI Reset PDF: lane responsibilities and dated runbook; dated allocation proposed for this tracker.</x:v>
      </x:c>
      <x:c r="Y436" s="30" t="n">
        <x:f>B436-WEEKDAY(B436,2)+1</x:f>
        <x:v>46370</x:v>
      </x:c>
      <x:c r="Z436" s="2" t="str">
        <x:v>checklist</x:v>
      </x:c>
      <x:c r="AA436" s="2" t="n">
        <x:f>IF(Q436=1,IF(P436&gt;B436,1,0),0)</x:f>
        <x:v>0</x:v>
      </x:c>
      <x:c r="AB436" s="2" t="n">
        <x:f>IF(AND(Q436=1,P436&lt;='Dashboard'!$B$5),0,MAX(0,'Dashboard'!$B$5-B436))</x:f>
        <x:v>0</x:v>
      </x:c>
      <x:c r="AC436" s="28" t="str"/>
      <x:c r="AD436" s="2" t="str">
        <x:f>IF(AND(ISNUMBER(F436),ISNUMBER(G436)),G436-F436,"")</x:f>
      </x:c>
      <x:c r="AE436" s="2" t="n">
        <x:f>IF(AND(I436="Accepted",K436&lt;&gt;"",O436&lt;&gt;"",ISNUMBER(P436),P436&gt;0,P436&lt;='Dashboard'!$B$5,IF(ISNUMBER(F436),ISNUMBER(G436),TRUE),IF(ISNUMBER(F436),G436&gt;=F436,TRUE)),1,0)</x:f>
        <x:v>0</x:v>
      </x:c>
    </x:row>
    <x:row r="437" ht="58" customHeight="1">
      <x:c r="A437" s="2" t="str">
        <x:v>T0373</x:v>
      </x:c>
      <x:c r="B437" s="30" t="n">
        <x:v>46370</x:v>
      </x:c>
      <x:c r="C437" s="2" t="str">
        <x:v>Kenneth</x:v>
      </x:c>
      <x:c r="D437" s="2" t="str">
        <x:v>Message Orchestrator</x:v>
      </x:c>
      <x:c r="E437" s="26" t="str">
        <x:v>Human-reply insights; 5 Inbox draft checks; approved first lines; claim exceptions</x:v>
      </x:c>
      <x:c r="F437" s="2" t="n">
        <x:v>1</x:v>
      </x:c>
      <x:c r="G437" s="20"/>
      <x:c r="H437" s="2" t="str">
        <x:v>accepted output</x:v>
      </x:c>
      <x:c r="I437" s="20" t="str">
        <x:v>Ready</x:v>
      </x:c>
      <x:c r="J437" s="2" t="str">
        <x:v>16:45</x:v>
      </x:c>
      <x:c r="K437" s="28" t="str"/>
      <x:c r="L437" s="28" t="str"/>
      <x:c r="M437" s="20" t="str"/>
      <x:c r="N437" s="33"/>
      <x:c r="O437" s="20" t="str"/>
      <x:c r="P437" s="33"/>
      <x:c r="Q437" s="2" t="n">
        <x:f>IF(AND(AE437=1,COUNTIFS($A$7:$A$500,"T0067",$AE$7:$AE$500,1)=1,COUNTIFS($A$7:$A$500,"T0055",$AE$7:$AE$500,1)=1),1,0)</x:f>
        <x:v>0</x:v>
      </x:c>
      <x:c r="R437" s="2" t="str">
        <x:f>IF(AND(Q437=1,P437&lt;='Dashboard'!$B$5),IF(P437&gt;B437,"Accepted late","Accepted"),IF(B437&lt;'Dashboard'!$B$5,"Overdue",IF(I437="Blocked","Blocked",IF(B437='Dashboard'!$B$5,"Due today","Planned"))))</x:f>
        <x:v>Planned</x:v>
      </x:c>
      <x:c r="S437" s="26" t="str">
        <x:f>IF(I437="Accepted",IF(K437="","Add evidence",IF(O437="","Add reviewer",IF(P437="","Add accepted date",IF(AND(ISNUMBER(F437),COUNT(G437)=0),"Add actual quantity",IF(Q437=0,"Review target / date / dependencies","Complete"))))),IF(OR(I437="Blocked",I437="Deferred"),IF(L437="","Record blocker / reason",IF(M437="","Assign rescue owner",IF(N437="","Set recovery date","Recovery assigned"))),IF(B437&lt;'Dashboard'!$B$5,"Escalate and record recovery","Work to acceptance standard")))</x:f>
        <x:v>Work to acceptance standard</x:v>
      </x:c>
      <x:c r="T437" s="26" t="str">
        <x:v>T0067</x:v>
      </x:c>
      <x:c r="U437" s="26" t="str">
        <x:v>Zero invented claims. If any draft fails facts, stop drafting/retrain; no offer change without approval.</x:v>
      </x:c>
      <x:c r="V437" s="31" t="n">
        <x:v>2.4</x:v>
      </x:c>
      <x:c r="W437" s="26" t="str"/>
      <x:c r="X437" s="26" t="str">
        <x:v>DSI Reset PDF: lane responsibilities and dated runbook; dated allocation proposed for this tracker.</x:v>
      </x:c>
      <x:c r="Y437" s="30" t="n">
        <x:f>B437-WEEKDAY(B437,2)+1</x:f>
        <x:v>46370</x:v>
      </x:c>
      <x:c r="Z437" s="2" t="str">
        <x:v>checklist</x:v>
      </x:c>
      <x:c r="AA437" s="2" t="n">
        <x:f>IF(Q437=1,IF(P437&gt;B437,1,0),0)</x:f>
        <x:v>0</x:v>
      </x:c>
      <x:c r="AB437" s="2" t="n">
        <x:f>IF(AND(Q437=1,P437&lt;='Dashboard'!$B$5),0,MAX(0,'Dashboard'!$B$5-B437))</x:f>
        <x:v>0</x:v>
      </x:c>
      <x:c r="AC437" s="28" t="str"/>
      <x:c r="AD437" s="2" t="str">
        <x:f>IF(AND(ISNUMBER(F437),ISNUMBER(G437)),G437-F437,"")</x:f>
      </x:c>
      <x:c r="AE437" s="2" t="n">
        <x:f>IF(AND(I437="Accepted",K437&lt;&gt;"",O437&lt;&gt;"",ISNUMBER(P437),P437&gt;0,P437&lt;='Dashboard'!$B$5,IF(ISNUMBER(F437),ISNUMBER(G437),TRUE),IF(ISNUMBER(F437),G437&gt;=F437,TRUE)),1,0)</x:f>
        <x:v>0</x:v>
      </x:c>
    </x:row>
    <x:row r="438" ht="58" customHeight="1">
      <x:c r="A438" s="2" t="str">
        <x:v>T0374</x:v>
      </x:c>
      <x:c r="B438" s="30" t="n">
        <x:v>46370</x:v>
      </x:c>
      <x:c r="C438" s="2" t="str">
        <x:v>Joey</x:v>
      </x:c>
      <x:c r="D438" s="2" t="str">
        <x:v>Data Orchestrator</x:v>
      </x:c>
      <x:c r="E438" s="26" t="str">
        <x:v>Mailbox/bounce/suppression log; ready verified records; due-follow up versus new-send capacity plan.</x:v>
      </x:c>
      <x:c r="F438" s="2" t="n">
        <x:v>1</x:v>
      </x:c>
      <x:c r="G438" s="20"/>
      <x:c r="H438" s="2" t="str">
        <x:v>verified queue and health check</x:v>
      </x:c>
      <x:c r="I438" s="20" t="str">
        <x:v>Ready</x:v>
      </x:c>
      <x:c r="J438" s="2" t="str">
        <x:v>16:45</x:v>
      </x:c>
      <x:c r="K438" s="28" t="str"/>
      <x:c r="L438" s="28" t="str"/>
      <x:c r="M438" s="20" t="str"/>
      <x:c r="N438" s="33"/>
      <x:c r="O438" s="20" t="str"/>
      <x:c r="P438" s="33"/>
      <x:c r="Q438" s="2" t="n">
        <x:f>IF(AND(AE438=1,COUNTIFS($A$7:$A$500,"T0067",$AE$7:$AE$500,1)=1,COUNTIFS($A$7:$A$500,"T0055",$AE$7:$AE$500,1)=1),1,0)</x:f>
        <x:v>0</x:v>
      </x:c>
      <x:c r="R438" s="2" t="str">
        <x:f>IF(AND(Q438=1,P438&lt;='Dashboard'!$B$5),IF(P438&gt;B438,"Accepted late","Accepted"),IF(B438&lt;'Dashboard'!$B$5,"Overdue",IF(I438="Blocked","Blocked",IF(B438='Dashboard'!$B$5,"Due today","Planned"))))</x:f>
        <x:v>Planned</x:v>
      </x:c>
      <x:c r="S438" s="26" t="str">
        <x:f>IF(I438="Accepted",IF(K438="","Add evidence",IF(O438="","Add reviewer",IF(P438="","Add accepted date",IF(AND(ISNUMBER(F438),COUNT(G438)=0),"Add actual quantity",IF(Q438=0,"Review target / date / dependencies","Complete"))))),IF(OR(I438="Blocked",I438="Deferred"),IF(L438="","Record blocker / reason",IF(M438="","Assign rescue owner",IF(N438="","Set recovery date","Recovery assigned"))),IF(B438&lt;'Dashboard'!$B$5,"Escalate and record recovery","Work to acceptance standard")))</x:f>
        <x:v>Work to acceptance standard</x:v>
      </x:c>
      <x:c r="T438" s="26" t="str">
        <x:v>T0067</x:v>
      </x:c>
      <x:c r="U438" s="26" t="str">
        <x:v>Planning pool addition 0 contacts today; quality gate wins over quota. Total sends&lt;=150/day;&gt;3% bounce affected mailbox held. No new cold enrollments on reduced/buffer days.</x:v>
      </x:c>
      <x:c r="V438" s="31" t="n">
        <x:v>3</x:v>
      </x:c>
      <x:c r="W438" s="26" t="str"/>
      <x:c r="X438" s="26" t="str">
        <x:v>DSI Reset PDF: lane responsibilities and dated runbook; dated allocation proposed for this tracker.</x:v>
      </x:c>
      <x:c r="Y438" s="30" t="n">
        <x:f>B438-WEEKDAY(B438,2)+1</x:f>
        <x:v>46370</x:v>
      </x:c>
      <x:c r="Z438" s="2" t="str">
        <x:v>checklist</x:v>
      </x:c>
      <x:c r="AA438" s="2" t="n">
        <x:f>IF(Q438=1,IF(P438&gt;B438,1,0),0)</x:f>
        <x:v>0</x:v>
      </x:c>
      <x:c r="AB438" s="2" t="n">
        <x:f>IF(AND(Q438=1,P438&lt;='Dashboard'!$B$5),0,MAX(0,'Dashboard'!$B$5-B438))</x:f>
        <x:v>0</x:v>
      </x:c>
      <x:c r="AC438" s="28" t="str"/>
      <x:c r="AD438" s="2" t="str">
        <x:f>IF(AND(ISNUMBER(F438),ISNUMBER(G438)),G438-F438,"")</x:f>
      </x:c>
      <x:c r="AE438" s="2" t="n">
        <x:f>IF(AND(I438="Accepted",K438&lt;&gt;"",O438&lt;&gt;"",ISNUMBER(P438),P438&gt;0,P438&lt;='Dashboard'!$B$5,IF(ISNUMBER(F438),ISNUMBER(G438),TRUE),IF(ISNUMBER(F438),G438&gt;=F438,TRUE)),1,0)</x:f>
        <x:v>0</x:v>
      </x:c>
    </x:row>
    <x:row r="439" ht="58" customHeight="1">
      <x:c r="A439" s="2" t="str">
        <x:v>T0375</x:v>
      </x:c>
      <x:c r="B439" s="30" t="n">
        <x:v>46370</x:v>
      </x:c>
      <x:c r="C439" s="2" t="str">
        <x:v>Nova</x:v>
      </x:c>
      <x:c r="D439" s="2" t="str">
        <x:v>Conversion Orchestrator</x:v>
      </x:c>
      <x:c r="E439" s="26" t="str">
        <x:v>Coverage/SLA evidence; 2 call reviews; booked/held updates; next-step and trial handoffs. Log each unique qualified inquiry with practice type, decision-maker access, case volume, service need and readiness timing.</x:v>
      </x:c>
      <x:c r="F439" s="2" t="n">
        <x:v>1</x:v>
      </x:c>
      <x:c r="G439" s="20"/>
      <x:c r="H439" s="2" t="str">
        <x:v>accepted output</x:v>
      </x:c>
      <x:c r="I439" s="20" t="str">
        <x:v>Ready</x:v>
      </x:c>
      <x:c r="J439" s="2" t="str">
        <x:v>16:45</x:v>
      </x:c>
      <x:c r="K439" s="28" t="str"/>
      <x:c r="L439" s="28" t="str"/>
      <x:c r="M439" s="20" t="str"/>
      <x:c r="N439" s="33"/>
      <x:c r="O439" s="20" t="str"/>
      <x:c r="P439" s="33"/>
      <x:c r="Q439" s="2" t="n">
        <x:f>IF(AND(AE439=1,COUNTIFS($A$7:$A$500,"T0067",$AE$7:$AE$500,1)=1,COUNTIFS($A$7:$A$500,"T0055",$AE$7:$AE$500,1)=1),1,0)</x:f>
        <x:v>0</x:v>
      </x:c>
      <x:c r="R439" s="2" t="str">
        <x:f>IF(AND(Q439=1,P439&lt;='Dashboard'!$B$5),IF(P439&gt;B439,"Accepted late","Accepted"),IF(B439&lt;'Dashboard'!$B$5,"Overdue",IF(I439="Blocked","Blocked",IF(B439='Dashboard'!$B$5,"Due today","Planned"))))</x:f>
        <x:v>Planned</x:v>
      </x:c>
      <x:c r="S439" s="26" t="str">
        <x:f>IF(I439="Accepted",IF(K439="","Add evidence",IF(O439="","Add reviewer",IF(P439="","Add accepted date",IF(AND(ISNUMBER(F439),COUNT(G439)=0),"Add actual quantity",IF(Q439=0,"Review target / date / dependencies","Complete"))))),IF(OR(I439="Blocked",I439="Deferred"),IF(L439="","Record blocker / reason",IF(M439="","Assign rescue owner",IF(N439="","Set recovery date","Recovery assigned"))),IF(B439&lt;'Dashboard'!$B$5,"Escalate and record recovery","Work to acceptance standard")))</x:f>
        <x:v>Work to acceptance standard</x:v>
      </x:c>
      <x:c r="T439" s="26" t="str">
        <x:v>T0067</x:v>
      </x:c>
      <x:c r="U439" s="26" t="str">
        <x:v>Every eligible reply&lt;=15 min; positive call&lt;=60 min; no opportunity without next step; booked brief to Nic; trial logistics to Maseeha. Raw contacts, opens and accepts never count as qualified inquiries; deduplicate across channels.</x:v>
      </x:c>
      <x:c r="V439" s="31" t="n">
        <x:v>4</x:v>
      </x:c>
      <x:c r="W439" s="26" t="str"/>
      <x:c r="X439" s="26" t="str">
        <x:v>DSI Reset PDF: lane responsibilities and dated runbook; dated allocation proposed for this tracker.</x:v>
      </x:c>
      <x:c r="Y439" s="30" t="n">
        <x:f>B439-WEEKDAY(B439,2)+1</x:f>
        <x:v>46370</x:v>
      </x:c>
      <x:c r="Z439" s="2" t="str">
        <x:v>checklist</x:v>
      </x:c>
      <x:c r="AA439" s="2" t="n">
        <x:f>IF(Q439=1,IF(P439&gt;B439,1,0),0)</x:f>
        <x:v>0</x:v>
      </x:c>
      <x:c r="AB439" s="2" t="n">
        <x:f>IF(AND(Q439=1,P439&lt;='Dashboard'!$B$5),0,MAX(0,'Dashboard'!$B$5-B439))</x:f>
        <x:v>0</x:v>
      </x:c>
      <x:c r="AC439" s="28" t="str"/>
      <x:c r="AD439" s="2" t="str">
        <x:f>IF(AND(ISNUMBER(F439),ISNUMBER(G439)),G439-F439,"")</x:f>
      </x:c>
      <x:c r="AE439" s="2" t="n">
        <x:f>IF(AND(I439="Accepted",K439&lt;&gt;"",O439&lt;&gt;"",ISNUMBER(P439),P439&gt;0,P439&lt;='Dashboard'!$B$5,IF(ISNUMBER(F439),ISNUMBER(G439),TRUE),IF(ISNUMBER(F439),G439&gt;=F439,TRUE)),1,0)</x:f>
        <x:v>0</x:v>
      </x:c>
    </x:row>
    <x:row r="440" ht="58" customHeight="1">
      <x:c r="A440" s="2" t="str">
        <x:v>T0376</x:v>
      </x:c>
      <x:c r="B440" s="30" t="n">
        <x:v>46370</x:v>
      </x:c>
      <x:c r="C440" s="2" t="str">
        <x:v>Emman</x:v>
      </x:c>
      <x:c r="D440" s="2" t="str">
        <x:v>AI Build Orchestrator</x:v>
      </x:c>
      <x:c r="E440" s="26" t="str">
        <x:v>Health/retry log; one acceptance-backed build increment; updated change log</x:v>
      </x:c>
      <x:c r="F440" s="2" t="n">
        <x:v>1</x:v>
      </x:c>
      <x:c r="G440" s="20"/>
      <x:c r="H440" s="2" t="str">
        <x:v>accepted output</x:v>
      </x:c>
      <x:c r="I440" s="20" t="str">
        <x:v>Ready</x:v>
      </x:c>
      <x:c r="J440" s="2" t="str">
        <x:v>16:45</x:v>
      </x:c>
      <x:c r="K440" s="28" t="str"/>
      <x:c r="L440" s="28" t="str"/>
      <x:c r="M440" s="20" t="str"/>
      <x:c r="N440" s="33"/>
      <x:c r="O440" s="20" t="str"/>
      <x:c r="P440" s="33"/>
      <x:c r="Q440" s="2" t="n">
        <x:f>IF(AND(AE440=1,COUNTIFS($A$7:$A$500,"T0067",$AE$7:$AE$500,1)=1,COUNTIFS($A$7:$A$500,"T0055",$AE$7:$AE$500,1)=1),1,0)</x:f>
        <x:v>0</x:v>
      </x:c>
      <x:c r="R440" s="2" t="str">
        <x:f>IF(AND(Q440=1,P440&lt;='Dashboard'!$B$5),IF(P440&gt;B440,"Accepted late","Accepted"),IF(B440&lt;'Dashboard'!$B$5,"Overdue",IF(I440="Blocked","Blocked",IF(B440='Dashboard'!$B$5,"Due today","Planned"))))</x:f>
        <x:v>Planned</x:v>
      </x:c>
      <x:c r="S440" s="26" t="str">
        <x:f>IF(I440="Accepted",IF(K440="","Add evidence",IF(O440="","Add reviewer",IF(P440="","Add accepted date",IF(AND(ISNUMBER(F440),COUNT(G440)=0),"Add actual quantity",IF(Q440=0,"Review target / date / dependencies","Complete"))))),IF(OR(I440="Blocked",I440="Deferred"),IF(L440="","Record blocker / reason",IF(M440="","Assign rescue owner",IF(N440="","Set recovery date","Recovery assigned"))),IF(B440&lt;'Dashboard'!$B$5,"Escalate and record recovery","Work to acceptance standard")))</x:f>
        <x:v>Work to acceptance standard</x:v>
      </x:c>
      <x:c r="T440" s="26" t="str">
        <x:v>T0067</x:v>
      </x:c>
      <x:c r="U440" s="26" t="str">
        <x:v>Fix a failing live agent beforestarting the next build. If an agent is still not working 48 hours after its due date, activate the manual SOP. Roll back a live failure within 1 hour. Release build reserve when no approved work remains.</x:v>
      </x:c>
      <x:c r="V440" s="31" t="n">
        <x:v>4</x:v>
      </x:c>
      <x:c r="W440" s="26" t="str"/>
      <x:c r="X440" s="26" t="str">
        <x:v>DSI Reset PDF: lane responsibilities and dated runbook; dated allocation proposed for this tracker.</x:v>
      </x:c>
      <x:c r="Y440" s="30" t="n">
        <x:f>B440-WEEKDAY(B440,2)+1</x:f>
        <x:v>46370</x:v>
      </x:c>
      <x:c r="Z440" s="2" t="str">
        <x:v>checklist</x:v>
      </x:c>
      <x:c r="AA440" s="2" t="n">
        <x:f>IF(Q440=1,IF(P440&gt;B440,1,0),0)</x:f>
        <x:v>0</x:v>
      </x:c>
      <x:c r="AB440" s="2" t="n">
        <x:f>IF(AND(Q440=1,P440&lt;='Dashboard'!$B$5),0,MAX(0,'Dashboard'!$B$5-B440))</x:f>
        <x:v>0</x:v>
      </x:c>
      <x:c r="AC440" s="28" t="str"/>
      <x:c r="AD440" s="2" t="str">
        <x:f>IF(AND(ISNUMBER(F440),ISNUMBER(G440)),G440-F440,"")</x:f>
      </x:c>
      <x:c r="AE440" s="2" t="n">
        <x:f>IF(AND(I440="Accepted",K440&lt;&gt;"",O440&lt;&gt;"",ISNUMBER(P440),P440&gt;0,P440&lt;='Dashboard'!$B$5,IF(ISNUMBER(F440),ISNUMBER(G440),TRUE),IF(ISNUMBER(F440),G440&gt;=F440,TRUE)),1,0)</x:f>
        <x:v>0</x:v>
      </x:c>
    </x:row>
    <x:row r="441" ht="58" customHeight="1">
      <x:c r="A441" s="2" t="str">
        <x:v>T0377</x:v>
      </x:c>
      <x:c r="B441" s="30" t="n">
        <x:v>46370</x:v>
      </x:c>
      <x:c r="C441" s="2" t="str">
        <x:v>Ludwig</x:v>
      </x:c>
      <x:c r="D441" s="2" t="str">
        <x:v>Integration Engineer</x:v>
      </x:c>
      <x:c r="E441" s="26" t="str">
        <x:v>Webhook/error/dead-letter check; top assigned integration ticket or verified no-ticket note</x:v>
      </x:c>
      <x:c r="F441" s="2" t="n">
        <x:v>1</x:v>
      </x:c>
      <x:c r="G441" s="20"/>
      <x:c r="H441" s="2" t="str">
        <x:v>accepted output</x:v>
      </x:c>
      <x:c r="I441" s="20" t="str">
        <x:v>Ready</x:v>
      </x:c>
      <x:c r="J441" s="2" t="str">
        <x:v>16:45</x:v>
      </x:c>
      <x:c r="K441" s="28" t="str"/>
      <x:c r="L441" s="28" t="str"/>
      <x:c r="M441" s="20" t="str"/>
      <x:c r="N441" s="33"/>
      <x:c r="O441" s="20" t="str"/>
      <x:c r="P441" s="33"/>
      <x:c r="Q441" s="2" t="n">
        <x:f>IF(AND(AE441=1,COUNTIFS($A$7:$A$500,"T0067",$AE$7:$AE$500,1)=1,COUNTIFS($A$7:$A$500,"T0055",$AE$7:$AE$500,1)=1),1,0)</x:f>
        <x:v>0</x:v>
      </x:c>
      <x:c r="R441" s="2" t="str">
        <x:f>IF(AND(Q441=1,P441&lt;='Dashboard'!$B$5),IF(P441&gt;B441,"Accepted late","Accepted"),IF(B441&lt;'Dashboard'!$B$5,"Overdue",IF(I441="Blocked","Blocked",IF(B441='Dashboard'!$B$5,"Due today","Planned"))))</x:f>
        <x:v>Planned</x:v>
      </x:c>
      <x:c r="S441" s="26" t="str">
        <x:f>IF(I441="Accepted",IF(K441="","Add evidence",IF(O441="","Add reviewer",IF(P441="","Add accepted date",IF(AND(ISNUMBER(F441),COUNT(G441)=0),"Add actual quantity",IF(Q441=0,"Review target / date / dependencies","Complete"))))),IF(OR(I441="Blocked",I441="Deferred"),IF(L441="","Record blocker / reason",IF(M441="","Assign rescue owner",IF(N441="","Set recovery date","Recovery assigned"))),IF(B441&lt;'Dashboard'!$B$5,"Escalate and record recovery","Work to acceptance standard")))</x:f>
        <x:v>Work to acceptance standard</x:v>
      </x:c>
      <x:c r="T441" s="26" t="str">
        <x:v>T0067</x:v>
      </x:c>
      <x:c r="U441" s="26" t="str">
        <x:v>Only Emman’s priority queue; 100% test capture; runbook/retry/rollback evidence. If no fault/ticket, release reserve; do not invent work.</x:v>
      </x:c>
      <x:c r="V441" s="31" t="n">
        <x:v>1.6</x:v>
      </x:c>
      <x:c r="W441" s="26" t="str"/>
      <x:c r="X441" s="26" t="str">
        <x:v>DSI Reset PDF: lane responsibilities and dated runbook; dated allocation proposed for this tracker.</x:v>
      </x:c>
      <x:c r="Y441" s="30" t="n">
        <x:f>B441-WEEKDAY(B441,2)+1</x:f>
        <x:v>46370</x:v>
      </x:c>
      <x:c r="Z441" s="2" t="str">
        <x:v>checklist</x:v>
      </x:c>
      <x:c r="AA441" s="2" t="n">
        <x:f>IF(Q441=1,IF(P441&gt;B441,1,0),0)</x:f>
        <x:v>0</x:v>
      </x:c>
      <x:c r="AB441" s="2" t="n">
        <x:f>IF(AND(Q441=1,P441&lt;='Dashboard'!$B$5),0,MAX(0,'Dashboard'!$B$5-B441))</x:f>
        <x:v>0</x:v>
      </x:c>
      <x:c r="AC441" s="28" t="str"/>
      <x:c r="AD441" s="2" t="str">
        <x:f>IF(AND(ISNUMBER(F441),ISNUMBER(G441)),G441-F441,"")</x:f>
      </x:c>
      <x:c r="AE441" s="2" t="n">
        <x:f>IF(AND(I441="Accepted",K441&lt;&gt;"",O441&lt;&gt;"",ISNUMBER(P441),P441&gt;0,P441&lt;='Dashboard'!$B$5,IF(ISNUMBER(F441),ISNUMBER(G441),TRUE),IF(ISNUMBER(F441),G441&gt;=F441,TRUE)),1,0)</x:f>
        <x:v>0</x:v>
      </x:c>
    </x:row>
    <x:row r="442" ht="58" customHeight="1">
      <x:c r="A442" s="2" t="str">
        <x:v>T0378</x:v>
      </x:c>
      <x:c r="B442" s="30" t="n">
        <x:v>46370</x:v>
      </x:c>
      <x:c r="C442" s="2" t="str">
        <x:v>Alvin</x:v>
      </x:c>
      <x:c r="D442" s="2" t="str">
        <x:v>CQL/GHL Implementation</x:v>
      </x:c>
      <x:c r="E442" s="26" t="str">
        <x:v>Stage/calendar/reminder QA; due workflow fixes</x:v>
      </x:c>
      <x:c r="F442" s="2" t="n">
        <x:v>1</x:v>
      </x:c>
      <x:c r="G442" s="20"/>
      <x:c r="H442" s="2" t="str">
        <x:v>accepted output</x:v>
      </x:c>
      <x:c r="I442" s="20" t="str">
        <x:v>Ready</x:v>
      </x:c>
      <x:c r="J442" s="2" t="str">
        <x:v>16:45</x:v>
      </x:c>
      <x:c r="K442" s="28" t="str"/>
      <x:c r="L442" s="28" t="str"/>
      <x:c r="M442" s="20" t="str"/>
      <x:c r="N442" s="33"/>
      <x:c r="O442" s="20" t="str"/>
      <x:c r="P442" s="33"/>
      <x:c r="Q442" s="2" t="n">
        <x:f>IF(AND(AE442=1,COUNTIFS($A$7:$A$500,"T0067",$AE$7:$AE$500,1)=1,COUNTIFS($A$7:$A$500,"T0055",$AE$7:$AE$500,1)=1),1,0)</x:f>
        <x:v>0</x:v>
      </x:c>
      <x:c r="R442" s="2" t="str">
        <x:f>IF(AND(Q442=1,P442&lt;='Dashboard'!$B$5),IF(P442&gt;B442,"Accepted late","Accepted"),IF(B442&lt;'Dashboard'!$B$5,"Overdue",IF(I442="Blocked","Blocked",IF(B442='Dashboard'!$B$5,"Due today","Planned"))))</x:f>
        <x:v>Planned</x:v>
      </x:c>
      <x:c r="S442" s="26" t="str">
        <x:f>IF(I442="Accepted",IF(K442="","Add evidence",IF(O442="","Add reviewer",IF(P442="","Add accepted date",IF(AND(ISNUMBER(F442),COUNT(G442)=0),"Add actual quantity",IF(Q442=0,"Review target / date / dependencies","Complete"))))),IF(OR(I442="Blocked",I442="Deferred"),IF(L442="","Record blocker / reason",IF(M442="","Assign rescue owner",IF(N442="","Set recovery date","Recovery assigned"))),IF(B442&lt;'Dashboard'!$B$5,"Escalate and record recovery","Work to acceptance standard")))</x:f>
        <x:v>Work to acceptance standard</x:v>
      </x:c>
      <x:c r="T442" s="26" t="str">
        <x:v>T0067</x:v>
      </x:c>
      <x:c r="U442" s="26" t="str">
        <x:v>No-show task&lt;=10 min; form/source fields correct; finish critical CRM defect same day. Facebook mirrors exact approved post; Instagram requires permissioned image.</x:v>
      </x:c>
      <x:c r="V442" s="31" t="n">
        <x:v>2</x:v>
      </x:c>
      <x:c r="W442" s="26" t="str"/>
      <x:c r="X442" s="26" t="str">
        <x:v>DSI Reset PDF: lane responsibilities and dated runbook; dated allocation proposed for this tracker.</x:v>
      </x:c>
      <x:c r="Y442" s="30" t="n">
        <x:f>B442-WEEKDAY(B442,2)+1</x:f>
        <x:v>46370</x:v>
      </x:c>
      <x:c r="Z442" s="2" t="str">
        <x:v>checklist</x:v>
      </x:c>
      <x:c r="AA442" s="2" t="n">
        <x:f>IF(Q442=1,IF(P442&gt;B442,1,0),0)</x:f>
        <x:v>0</x:v>
      </x:c>
      <x:c r="AB442" s="2" t="n">
        <x:f>IF(AND(Q442=1,P442&lt;='Dashboard'!$B$5),0,MAX(0,'Dashboard'!$B$5-B442))</x:f>
        <x:v>0</x:v>
      </x:c>
      <x:c r="AC442" s="28" t="str"/>
      <x:c r="AD442" s="2" t="str">
        <x:f>IF(AND(ISNUMBER(F442),ISNUMBER(G442)),G442-F442,"")</x:f>
      </x:c>
      <x:c r="AE442" s="2" t="n">
        <x:f>IF(AND(I442="Accepted",K442&lt;&gt;"",O442&lt;&gt;"",ISNUMBER(P442),P442&gt;0,P442&lt;='Dashboard'!$B$5,IF(ISNUMBER(F442),ISNUMBER(G442),TRUE),IF(ISNUMBER(F442),G442&gt;=F442,TRUE)),1,0)</x:f>
        <x:v>0</x:v>
      </x:c>
    </x:row>
    <x:row r="443" ht="58" customHeight="1">
      <x:c r="A443" s="2" t="str">
        <x:v>T0379</x:v>
      </x:c>
      <x:c r="B443" s="30" t="n">
        <x:v>46370</x:v>
      </x:c>
      <x:c r="C443" s="2" t="str">
        <x:v>Brian</x:v>
      </x:c>
      <x:c r="D443" s="2" t="str">
        <x:v>Web and Tracking</x:v>
      </x:c>
      <x:c r="E443" s="26" t="str">
        <x:v>One health-check result; at most one weekly change ticket or no-ticket note</x:v>
      </x:c>
      <x:c r="F443" s="2" t="n">
        <x:v>1</x:v>
      </x:c>
      <x:c r="G443" s="20"/>
      <x:c r="H443" s="2" t="str">
        <x:v>accepted output</x:v>
      </x:c>
      <x:c r="I443" s="20" t="str">
        <x:v>Ready</x:v>
      </x:c>
      <x:c r="J443" s="2" t="str">
        <x:v>16:45</x:v>
      </x:c>
      <x:c r="K443" s="28" t="str"/>
      <x:c r="L443" s="28" t="str"/>
      <x:c r="M443" s="20" t="str"/>
      <x:c r="N443" s="33"/>
      <x:c r="O443" s="20" t="str"/>
      <x:c r="P443" s="33"/>
      <x:c r="Q443" s="2" t="n">
        <x:f>IF(AND(AE443=1,COUNTIFS($A$7:$A$500,"T0067",$AE$7:$AE$500,1)=1,COUNTIFS($A$7:$A$500,"T0055",$AE$7:$AE$500,1)=1),1,0)</x:f>
        <x:v>0</x:v>
      </x:c>
      <x:c r="R443" s="2" t="str">
        <x:f>IF(AND(Q443=1,P443&lt;='Dashboard'!$B$5),IF(P443&gt;B443,"Accepted late","Accepted"),IF(B443&lt;'Dashboard'!$B$5,"Overdue",IF(I443="Blocked","Blocked",IF(B443='Dashboard'!$B$5,"Due today","Planned"))))</x:f>
        <x:v>Planned</x:v>
      </x:c>
      <x:c r="S443" s="26" t="str">
        <x:f>IF(I443="Accepted",IF(K443="","Add evidence",IF(O443="","Add reviewer",IF(P443="","Add accepted date",IF(AND(ISNUMBER(F443),COUNT(G443)=0),"Add actual quantity",IF(Q443=0,"Review target / date / dependencies","Complete"))))),IF(OR(I443="Blocked",I443="Deferred"),IF(L443="","Record blocker / reason",IF(M443="","Assign rescue owner",IF(N443="","Set recovery date","Recovery assigned"))),IF(B443&lt;'Dashboard'!$B$5,"Escalate and record recovery","Work to acceptance standard")))</x:f>
        <x:v>Work to acceptance standard</x:v>
      </x:c>
      <x:c r="T443" s="26" t="str">
        <x:v>T0067</x:v>
      </x:c>
      <x:c r="U443" s="26" t="str">
        <x:v>Form to CQL&lt;1 min; approved copy unchanged; no work manufactured if healthy; ongoing reserve&lt;=2 h/week.</x:v>
      </x:c>
      <x:c r="V443" s="31" t="n">
        <x:v>0.4</x:v>
      </x:c>
      <x:c r="W443" s="26" t="str"/>
      <x:c r="X443" s="26" t="str">
        <x:v>DSI Reset PDF: lane responsibilities and dated runbook; dated allocation proposed for this tracker.</x:v>
      </x:c>
      <x:c r="Y443" s="30" t="n">
        <x:f>B443-WEEKDAY(B443,2)+1</x:f>
        <x:v>46370</x:v>
      </x:c>
      <x:c r="Z443" s="2" t="str">
        <x:v>checklist</x:v>
      </x:c>
      <x:c r="AA443" s="2" t="n">
        <x:f>IF(Q443=1,IF(P443&gt;B443,1,0),0)</x:f>
        <x:v>0</x:v>
      </x:c>
      <x:c r="AB443" s="2" t="n">
        <x:f>IF(AND(Q443=1,P443&lt;='Dashboard'!$B$5),0,MAX(0,'Dashboard'!$B$5-B443))</x:f>
        <x:v>0</x:v>
      </x:c>
      <x:c r="AC443" s="28" t="str"/>
      <x:c r="AD443" s="2" t="str">
        <x:f>IF(AND(ISNUMBER(F443),ISNUMBER(G443)),G443-F443,"")</x:f>
      </x:c>
      <x:c r="AE443" s="2" t="n">
        <x:f>IF(AND(I443="Accepted",K443&lt;&gt;"",O443&lt;&gt;"",ISNUMBER(P443),P443&gt;0,P443&lt;='Dashboard'!$B$5,IF(ISNUMBER(F443),ISNUMBER(G443),TRUE),IF(ISNUMBER(F443),G443&gt;=F443,TRUE)),1,0)</x:f>
        <x:v>0</x:v>
      </x:c>
    </x:row>
    <x:row r="444" ht="58" customHeight="1">
      <x:c r="A444" s="2" t="str">
        <x:v>T0380</x:v>
      </x:c>
      <x:c r="B444" s="30" t="n">
        <x:v>46370</x:v>
      </x:c>
      <x:c r="C444" s="2" t="str">
        <x:v>Dexter</x:v>
      </x:c>
      <x:c r="D444" s="2" t="str">
        <x:v>LinkedIn Execution</x:v>
      </x:c>
      <x:c r="E444" s="26" t="str">
        <x:v>CQL logged DMs/accepts; eligible requests; referred interested replies; approved post evidence</x:v>
      </x:c>
      <x:c r="F444" s="2" t="n">
        <x:v>25</x:v>
      </x:c>
      <x:c r="G444" s="20"/>
      <x:c r="H444" s="2" t="str">
        <x:v>new request working target; eligible pool required</x:v>
      </x:c>
      <x:c r="I444" s="20" t="str">
        <x:v>Ready</x:v>
      </x:c>
      <x:c r="J444" s="2" t="str">
        <x:v>16:45</x:v>
      </x:c>
      <x:c r="K444" s="28" t="str"/>
      <x:c r="L444" s="28" t="str"/>
      <x:c r="M444" s="20" t="str"/>
      <x:c r="N444" s="33"/>
      <x:c r="O444" s="20" t="str"/>
      <x:c r="P444" s="33"/>
      <x:c r="Q444" s="2" t="n">
        <x:f>IF(AND(AE444=1,COUNTIFS($A$7:$A$500,"T0067",$AE$7:$AE$500,1)=1,COUNTIFS($A$7:$A$500,"T0055",$AE$7:$AE$500,1)=1),1,0)</x:f>
        <x:v>0</x:v>
      </x:c>
      <x:c r="R444" s="2" t="str">
        <x:f>IF(AND(Q444=1,P444&lt;='Dashboard'!$B$5),IF(P444&gt;B444,"Accepted late","Accepted"),IF(B444&lt;'Dashboard'!$B$5,"Overdue",IF(I444="Blocked","Blocked",IF(B444='Dashboard'!$B$5,"Due today","Planned"))))</x:f>
        <x:v>Planned</x:v>
      </x:c>
      <x:c r="S444" s="26" t="str">
        <x:f>IF(I444="Accepted",IF(K444="","Add evidence",IF(O444="","Add reviewer",IF(P444="","Add accepted date",IF(AND(ISNUMBER(F444),COUNT(G444)=0),"Add actual quantity",IF(Q444=0,"Review target / date / dependencies","Complete"))))),IF(OR(I444="Blocked",I444="Deferred"),IF(L444="","Record blocker / reason",IF(M444="","Assign rescue owner",IF(N444="","Set recovery date","Recovery assigned"))),IF(B444&lt;'Dashboard'!$B$5,"Escalate and record recovery","Work to acceptance standard")))</x:f>
        <x:v>Work to acceptance standard</x:v>
      </x:c>
      <x:c r="T444" s="26" t="str">
        <x:v>T0067</x:v>
      </x:c>
      <x:c r="U444"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44" s="31" t="n">
        <x:v>3</x:v>
      </x:c>
      <x:c r="W444" s="26" t="str"/>
      <x:c r="X444" s="26" t="str">
        <x:v>DSI Reset PDF: lane responsibilities and dated runbook; dated allocation proposed for this tracker.</x:v>
      </x:c>
      <x:c r="Y444" s="30" t="n">
        <x:f>B444-WEEKDAY(B444,2)+1</x:f>
        <x:v>46370</x:v>
      </x:c>
      <x:c r="Z444" s="2" t="str">
        <x:v>capacity</x:v>
      </x:c>
      <x:c r="AA444" s="2" t="n">
        <x:f>IF(Q444=1,IF(P444&gt;B444,1,0),0)</x:f>
        <x:v>0</x:v>
      </x:c>
      <x:c r="AB444" s="2" t="n">
        <x:f>IF(AND(Q444=1,P444&lt;='Dashboard'!$B$5),0,MAX(0,'Dashboard'!$B$5-B444))</x:f>
        <x:v>0</x:v>
      </x:c>
      <x:c r="AC444" s="28" t="str"/>
      <x:c r="AD444" s="2" t="str">
        <x:f>IF(AND(ISNUMBER(F444),ISNUMBER(G444)),G444-F444,"")</x:f>
      </x:c>
      <x:c r="AE444" s="2" t="n">
        <x:f>IF(AND(I444="Accepted",K444&lt;&gt;"",O444&lt;&gt;"",ISNUMBER(P444),P444&gt;0,P444&lt;='Dashboard'!$B$5,IF(ISNUMBER(F444),ISNUMBER(G444),TRUE),IF(ISNUMBER(F444),OR(G444&gt;=F444,AC444&lt;&gt;""),TRUE)),1,0)</x:f>
        <x:v>0</x:v>
      </x:c>
    </x:row>
    <x:row r="445" ht="58" customHeight="1">
      <x:c r="A445" s="2" t="str">
        <x:v>T0381</x:v>
      </x:c>
      <x:c r="B445" s="30" t="n">
        <x:v>46370</x:v>
      </x:c>
      <x:c r="C445" s="2" t="str">
        <x:v>Setter 1</x:v>
      </x:c>
      <x:c r="D445" s="2" t="str">
        <x:v>Reply and Phone Setter</x:v>
      </x:c>
      <x:c r="E445" s="26" t="str">
        <x:v>SLA/call outcome log; bookings and next steps; handoff to Nova</x:v>
      </x:c>
      <x:c r="F445" s="2" t="n">
        <x:v>50</x:v>
      </x:c>
      <x:c r="G445" s="20"/>
      <x:c r="H445" s="2" t="str">
        <x:v>dial working target; inbound SLA takes priority</x:v>
      </x:c>
      <x:c r="I445" s="20" t="str">
        <x:v>Ready</x:v>
      </x:c>
      <x:c r="J445" s="2" t="str">
        <x:v>16:45</x:v>
      </x:c>
      <x:c r="K445" s="28" t="str"/>
      <x:c r="L445" s="28" t="str"/>
      <x:c r="M445" s="20" t="str"/>
      <x:c r="N445" s="33"/>
      <x:c r="O445" s="20" t="str"/>
      <x:c r="P445" s="33"/>
      <x:c r="Q445" s="2" t="n">
        <x:f>IF(AND(AE445=1,COUNTIFS($A$7:$A$500,"T0013",$AE$7:$AE$500,1)=1,COUNTIFS($A$7:$A$500,"T0055",$AE$7:$AE$500,1)=1),1,0)</x:f>
        <x:v>0</x:v>
      </x:c>
      <x:c r="R445" s="2" t="str">
        <x:f>IF(AND(Q445=1,P445&lt;='Dashboard'!$B$5),IF(P445&gt;B445,"Accepted late","Accepted"),IF(B445&lt;'Dashboard'!$B$5,"Overdue",IF(I445="Blocked","Blocked",IF(B445='Dashboard'!$B$5,"Due today","Planned"))))</x:f>
        <x:v>Planned</x:v>
      </x:c>
      <x:c r="S445" s="26" t="str">
        <x:f>IF(I445="Accepted",IF(K445="","Add evidence",IF(O445="","Add reviewer",IF(P445="","Add accepted date",IF(AND(ISNUMBER(F445),COUNT(G445)=0),"Add actual quantity",IF(Q445=0,"Review target / date / dependencies","Complete"))))),IF(OR(I445="Blocked",I445="Deferred"),IF(L445="","Record blocker / reason",IF(M445="","Assign rescue owner",IF(N445="","Set recovery date","Recovery assigned"))),IF(B445&lt;'Dashboard'!$B$5,"Escalate and record recovery","Work to acceptance standard")))</x:f>
        <x:v>Work to acceptance standard</x:v>
      </x:c>
      <x:c r="T445" s="26" t="str">
        <x:v>T0013; T0055</x:v>
      </x:c>
      <x:c r="U44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45" s="31" t="n">
        <x:v>7.5</x:v>
      </x:c>
      <x:c r="W445" s="26" t="str"/>
      <x:c r="X445" s="26" t="str">
        <x:v>DSI Reset PDF: lane responsibilities and dated runbook; dated allocation proposed for this tracker.</x:v>
      </x:c>
      <x:c r="Y445" s="30" t="n">
        <x:f>B445-WEEKDAY(B445,2)+1</x:f>
        <x:v>46370</x:v>
      </x:c>
      <x:c r="Z445" s="2" t="str">
        <x:v>capacity</x:v>
      </x:c>
      <x:c r="AA445" s="2" t="n">
        <x:f>IF(Q445=1,IF(P445&gt;B445,1,0),0)</x:f>
        <x:v>0</x:v>
      </x:c>
      <x:c r="AB445" s="2" t="n">
        <x:f>IF(AND(Q445=1,P445&lt;='Dashboard'!$B$5),0,MAX(0,'Dashboard'!$B$5-B445))</x:f>
        <x:v>0</x:v>
      </x:c>
      <x:c r="AC445" s="28" t="str"/>
      <x:c r="AD445" s="2" t="str">
        <x:f>IF(AND(ISNUMBER(F445),ISNUMBER(G445)),G445-F445,"")</x:f>
      </x:c>
      <x:c r="AE445" s="2" t="n">
        <x:f>IF(AND(I445="Accepted",K445&lt;&gt;"",O445&lt;&gt;"",ISNUMBER(P445),P445&gt;0,P445&lt;='Dashboard'!$B$5,IF(ISNUMBER(F445),ISNUMBER(G445),TRUE),IF(ISNUMBER(F445),OR(G445&gt;=F445,AC445&lt;&gt;""),TRUE)),1,0)</x:f>
        <x:v>0</x:v>
      </x:c>
    </x:row>
    <x:row r="446" ht="58" customHeight="1">
      <x:c r="A446" s="2" t="str">
        <x:v>T0382</x:v>
      </x:c>
      <x:c r="B446" s="30" t="n">
        <x:v>46370</x:v>
      </x:c>
      <x:c r="C446" s="2" t="str">
        <x:v>Setter 2</x:v>
      </x:c>
      <x:c r="D446" s="2" t="str">
        <x:v>Reply and Phone Setter</x:v>
      </x:c>
      <x:c r="E446" s="26" t="str">
        <x:v>SLA/call outcome log; bookings and next steps; handoff to Nova</x:v>
      </x:c>
      <x:c r="F446" s="2" t="n">
        <x:v>50</x:v>
      </x:c>
      <x:c r="G446" s="20"/>
      <x:c r="H446" s="2" t="str">
        <x:v>dial working target; inbound SLA takes priority</x:v>
      </x:c>
      <x:c r="I446" s="20" t="str">
        <x:v>Ready</x:v>
      </x:c>
      <x:c r="J446" s="2" t="str">
        <x:v>16:45</x:v>
      </x:c>
      <x:c r="K446" s="28" t="str"/>
      <x:c r="L446" s="28" t="str"/>
      <x:c r="M446" s="20" t="str"/>
      <x:c r="N446" s="33"/>
      <x:c r="O446" s="20" t="str"/>
      <x:c r="P446" s="33"/>
      <x:c r="Q446" s="2" t="n">
        <x:f>IF(AND(AE446=1,COUNTIFS($A$7:$A$500,"T0013",$AE$7:$AE$500,1)=1,COUNTIFS($A$7:$A$500,"T0055",$AE$7:$AE$500,1)=1),1,0)</x:f>
        <x:v>0</x:v>
      </x:c>
      <x:c r="R446" s="2" t="str">
        <x:f>IF(AND(Q446=1,P446&lt;='Dashboard'!$B$5),IF(P446&gt;B446,"Accepted late","Accepted"),IF(B446&lt;'Dashboard'!$B$5,"Overdue",IF(I446="Blocked","Blocked",IF(B446='Dashboard'!$B$5,"Due today","Planned"))))</x:f>
        <x:v>Planned</x:v>
      </x:c>
      <x:c r="S446" s="26" t="str">
        <x:f>IF(I446="Accepted",IF(K446="","Add evidence",IF(O446="","Add reviewer",IF(P446="","Add accepted date",IF(AND(ISNUMBER(F446),COUNT(G446)=0),"Add actual quantity",IF(Q446=0,"Review target / date / dependencies","Complete"))))),IF(OR(I446="Blocked",I446="Deferred"),IF(L446="","Record blocker / reason",IF(M446="","Assign rescue owner",IF(N446="","Set recovery date","Recovery assigned"))),IF(B446&lt;'Dashboard'!$B$5,"Escalate and record recovery","Work to acceptance standard")))</x:f>
        <x:v>Work to acceptance standard</x:v>
      </x:c>
      <x:c r="T446" s="26" t="str">
        <x:v>T0013; T0055</x:v>
      </x:c>
      <x:c r="U446"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46" s="31" t="n">
        <x:v>7.5</x:v>
      </x:c>
      <x:c r="W446" s="26" t="str"/>
      <x:c r="X446" s="26" t="str">
        <x:v>DSI Reset PDF: lane responsibilities and dated runbook; dated allocation proposed for this tracker.</x:v>
      </x:c>
      <x:c r="Y446" s="30" t="n">
        <x:f>B446-WEEKDAY(B446,2)+1</x:f>
        <x:v>46370</x:v>
      </x:c>
      <x:c r="Z446" s="2" t="str">
        <x:v>capacity</x:v>
      </x:c>
      <x:c r="AA446" s="2" t="n">
        <x:f>IF(Q446=1,IF(P446&gt;B446,1,0),0)</x:f>
        <x:v>0</x:v>
      </x:c>
      <x:c r="AB446" s="2" t="n">
        <x:f>IF(AND(Q446=1,P446&lt;='Dashboard'!$B$5),0,MAX(0,'Dashboard'!$B$5-B446))</x:f>
        <x:v>0</x:v>
      </x:c>
      <x:c r="AC446" s="28" t="str"/>
      <x:c r="AD446" s="2" t="str">
        <x:f>IF(AND(ISNUMBER(F446),ISNUMBER(G446)),G446-F446,"")</x:f>
      </x:c>
      <x:c r="AE446" s="2" t="n">
        <x:f>IF(AND(I446="Accepted",K446&lt;&gt;"",O446&lt;&gt;"",ISNUMBER(P446),P446&gt;0,P446&lt;='Dashboard'!$B$5,IF(ISNUMBER(F446),ISNUMBER(G446),TRUE),IF(ISNUMBER(F446),OR(G446&gt;=F446,AC446&lt;&gt;""),TRUE)),1,0)</x:f>
        <x:v>0</x:v>
      </x:c>
    </x:row>
    <x:row r="447" ht="58" customHeight="1">
      <x:c r="A447" s="2" t="str">
        <x:v>T0487</x:v>
      </x:c>
      <x:c r="B447" s="30" t="n">
        <x:v>46370</x:v>
      </x:c>
      <x:c r="C447" s="2" t="str">
        <x:v>Nic</x:v>
      </x:c>
      <x:c r="D447" s="2" t="str">
        <x:v>Client dependency</x:v>
      </x:c>
      <x:c r="E447" s="26" t="str">
        <x:v>Call outcome/next step for every appointment due; first-case decisions</x:v>
      </x:c>
      <x:c r="F447" s="2" t="str"/>
      <x:c r="G447" s="20"/>
      <x:c r="H447" s="2" t="str">
        <x:v>all due appointments</x:v>
      </x:c>
      <x:c r="I447" s="20" t="str">
        <x:v>Ready</x:v>
      </x:c>
      <x:c r="J447" s="2" t="str">
        <x:v>16:45</x:v>
      </x:c>
      <x:c r="K447" s="28" t="str"/>
      <x:c r="L447" s="28" t="str"/>
      <x:c r="M447" s="20" t="str"/>
      <x:c r="N447" s="33"/>
      <x:c r="O447" s="20" t="str"/>
      <x:c r="P447" s="33"/>
      <x:c r="Q447" s="2" t="n">
        <x:f>IF(AND(AE447=1,COUNTIFS($A$7:$A$500,"T0028",$AE$7:$AE$500,1)=1),1,0)</x:f>
        <x:v>0</x:v>
      </x:c>
      <x:c r="R447" s="2" t="str">
        <x:f>IF(AND(Q447=1,P447&lt;='Dashboard'!$B$5),IF(P447&gt;B447,"Accepted late","Accepted"),IF(B447&lt;'Dashboard'!$B$5,"Overdue",IF(I447="Blocked","Blocked",IF(B447='Dashboard'!$B$5,"Due today","Planned"))))</x:f>
        <x:v>Planned</x:v>
      </x:c>
      <x:c r="S447" s="26" t="str">
        <x:f>IF(I447="Accepted",IF(K447="","Add evidence",IF(O447="","Add reviewer",IF(P447="","Add accepted date",IF(AND(ISNUMBER(F447),COUNT(G447)=0),"Add actual quantity",IF(Q447=0,"Review target / date / dependencies","Complete"))))),IF(OR(I447="Blocked",I447="Deferred"),IF(L447="","Record blocker / reason",IF(M447="","Assign rescue owner",IF(N447="","Set recovery date","Recovery assigned"))),IF(B447&lt;'Dashboard'!$B$5,"Escalate and record recovery","Work to acceptance standard")))</x:f>
        <x:v>Work to acceptance standard</x:v>
      </x:c>
      <x:c r="T447" s="26" t="str">
        <x:v>T0028</x:v>
      </x:c>
      <x:c r="U447" s="26" t="str">
        <x:v>Demand-linked: work actual approved calendar; setter brief present; outcome logged same day. No calls scheduled is N/A with calendar evidence.</x:v>
      </x:c>
      <x:c r="V447" s="31" t="n">
        <x:v>0.5</x:v>
      </x:c>
      <x:c r="W447" s="26" t="str"/>
      <x:c r="X447" s="26" t="str">
        <x:v>DSI Reset PDF: lane responsibilities and dated runbook; dated allocation proposed for this tracker.</x:v>
      </x:c>
      <x:c r="Y447" s="30" t="n">
        <x:f>B447-WEEKDAY(B447,2)+1</x:f>
        <x:v>46370</x:v>
      </x:c>
      <x:c r="Z447" s="2" t="str">
        <x:v>demand</x:v>
      </x:c>
      <x:c r="AA447" s="2" t="n">
        <x:f>IF(Q447=1,IF(P447&gt;B447,1,0),0)</x:f>
        <x:v>0</x:v>
      </x:c>
      <x:c r="AB447" s="2" t="n">
        <x:f>IF(AND(Q447=1,P447&lt;='Dashboard'!$B$5),0,MAX(0,'Dashboard'!$B$5-B447))</x:f>
        <x:v>0</x:v>
      </x:c>
      <x:c r="AC447" s="28" t="str"/>
      <x:c r="AD447" s="2" t="str">
        <x:f>IF(AND(ISNUMBER(F447),ISNUMBER(G447)),G447-F447,"")</x:f>
      </x:c>
      <x:c r="AE447" s="2" t="n">
        <x:f>IF(AND(I447="Accepted",K447&lt;&gt;"",O447&lt;&gt;"",ISNUMBER(P447),P447&gt;0,P447&lt;='Dashboard'!$B$5,IF(ISNUMBER(F447),ISNUMBER(G447),TRUE)),1,0)</x:f>
        <x:v>0</x:v>
      </x:c>
    </x:row>
    <x:row r="448" ht="58" customHeight="1">
      <x:c r="A448" s="2" t="str">
        <x:v>T0488</x:v>
      </x:c>
      <x:c r="B448" s="30" t="n">
        <x:v>46370</x:v>
      </x:c>
      <x:c r="C448" s="2" t="str">
        <x:v>Maseeha</x:v>
      </x:c>
      <x:c r="D448" s="2" t="str">
        <x:v>Client dependency</x:v>
      </x:c>
      <x:c r="E448" s="26" t="str">
        <x:v>Due intro verification; kit/case handoff; delivery/Day-30 dates; credit trigger log</x:v>
      </x:c>
      <x:c r="F448" s="2" t="str"/>
      <x:c r="G448" s="20"/>
      <x:c r="H448" s="2" t="str">
        <x:v>all due cases</x:v>
      </x:c>
      <x:c r="I448" s="20" t="str">
        <x:v>Ready</x:v>
      </x:c>
      <x:c r="J448" s="2" t="str">
        <x:v>16:45</x:v>
      </x:c>
      <x:c r="K448" s="28" t="str"/>
      <x:c r="L448" s="28" t="str"/>
      <x:c r="M448" s="20" t="str"/>
      <x:c r="N448" s="33"/>
      <x:c r="O448" s="20" t="str"/>
      <x:c r="P448" s="33"/>
      <x:c r="Q448" s="2" t="n">
        <x:f>IF(AND(AE448=1,COUNTIFS($A$7:$A$500,"T0028",$AE$7:$AE$500,1)=1),1,0)</x:f>
        <x:v>0</x:v>
      </x:c>
      <x:c r="R448" s="2" t="str">
        <x:f>IF(AND(Q448=1,P448&lt;='Dashboard'!$B$5),IF(P448&gt;B448,"Accepted late","Accepted"),IF(B448&lt;'Dashboard'!$B$5,"Overdue",IF(I448="Blocked","Blocked",IF(B448='Dashboard'!$B$5,"Due today","Planned"))))</x:f>
        <x:v>Planned</x:v>
      </x:c>
      <x:c r="S448" s="26" t="str">
        <x:f>IF(I448="Accepted",IF(K448="","Add evidence",IF(O448="","Add reviewer",IF(P448="","Add accepted date",IF(AND(ISNUMBER(F448),COUNT(G448)=0),"Add actual quantity",IF(Q448=0,"Review target / date / dependencies","Complete"))))),IF(OR(I448="Blocked",I448="Deferred"),IF(L448="","Record blocker / reason",IF(M448="","Assign rescue owner",IF(N448="","Set recovery date","Recovery assigned"))),IF(B448&lt;'Dashboard'!$B$5,"Escalate and record recovery","Work to acceptance standard")))</x:f>
        <x:v>Work to acceptance standard</x:v>
      </x:c>
      <x:c r="T448" s="26" t="str">
        <x:v>T0028</x:v>
      </x:c>
      <x:c r="U448" s="26" t="str">
        <x:v>Demand-linked: referral verification&lt;=2 business days; trial capacity respected; $200 credit only on eligible invoice paid.</x:v>
      </x:c>
      <x:c r="V448" s="31" t="n">
        <x:v>0.5</x:v>
      </x:c>
      <x:c r="W448" s="26" t="str"/>
      <x:c r="X448" s="26" t="str">
        <x:v>DSI Reset PDF: lane responsibilities and dated runbook; dated allocation proposed for this tracker.</x:v>
      </x:c>
      <x:c r="Y448" s="30" t="n">
        <x:f>B448-WEEKDAY(B448,2)+1</x:f>
        <x:v>46370</x:v>
      </x:c>
      <x:c r="Z448" s="2" t="str">
        <x:v>demand</x:v>
      </x:c>
      <x:c r="AA448" s="2" t="n">
        <x:f>IF(Q448=1,IF(P448&gt;B448,1,0),0)</x:f>
        <x:v>0</x:v>
      </x:c>
      <x:c r="AB448" s="2" t="n">
        <x:f>IF(AND(Q448=1,P448&lt;='Dashboard'!$B$5),0,MAX(0,'Dashboard'!$B$5-B448))</x:f>
        <x:v>0</x:v>
      </x:c>
      <x:c r="AC448" s="28" t="str"/>
      <x:c r="AD448" s="2" t="str">
        <x:f>IF(AND(ISNUMBER(F448),ISNUMBER(G448)),G448-F448,"")</x:f>
      </x:c>
      <x:c r="AE448" s="2" t="n">
        <x:f>IF(AND(I448="Accepted",K448&lt;&gt;"",O448&lt;&gt;"",ISNUMBER(P448),P448&gt;0,P448&lt;='Dashboard'!$B$5,IF(ISNUMBER(F448),ISNUMBER(G448),TRUE)),1,0)</x:f>
        <x:v>0</x:v>
      </x:c>
    </x:row>
    <x:row r="449" ht="58" customHeight="1">
      <x:c r="A449" s="2" t="str">
        <x:v>T0383</x:v>
      </x:c>
      <x:c r="B449" s="30" t="n">
        <x:v>46371</x:v>
      </x:c>
      <x:c r="C449" s="2" t="str">
        <x:v>Wyline</x:v>
      </x:c>
      <x:c r="D449" s="2" t="str">
        <x:v>Program Director</x:v>
      </x:c>
      <x:c r="E449" s="26" t="str">
        <x:v>Accepted-output register; actual-vs-target dashboard; blocker/rescue assignments</x:v>
      </x:c>
      <x:c r="F449" s="2" t="n">
        <x:v>1</x:v>
      </x:c>
      <x:c r="G449" s="20"/>
      <x:c r="H449" s="2" t="str">
        <x:v>accepted output</x:v>
      </x:c>
      <x:c r="I449" s="20" t="str">
        <x:v>Ready</x:v>
      </x:c>
      <x:c r="J449" s="2" t="str">
        <x:v>16:45</x:v>
      </x:c>
      <x:c r="K449" s="28" t="str"/>
      <x:c r="L449" s="28" t="str"/>
      <x:c r="M449" s="20" t="str"/>
      <x:c r="N449" s="33"/>
      <x:c r="O449" s="20" t="str"/>
      <x:c r="P449" s="33"/>
      <x:c r="Q449" s="2" t="n">
        <x:f>IF(AND(AE449=1,COUNTIFS($A$7:$A$500,"T0067",$AE$7:$AE$500,1)=1,COUNTIFS($A$7:$A$500,"T0055",$AE$7:$AE$500,1)=1),1,0)</x:f>
        <x:v>0</x:v>
      </x:c>
      <x:c r="R449" s="2" t="str">
        <x:f>IF(AND(Q449=1,P449&lt;='Dashboard'!$B$5),IF(P449&gt;B449,"Accepted late","Accepted"),IF(B449&lt;'Dashboard'!$B$5,"Overdue",IF(I449="Blocked","Blocked",IF(B449='Dashboard'!$B$5,"Due today","Planned"))))</x:f>
        <x:v>Planned</x:v>
      </x:c>
      <x:c r="S449" s="26" t="str">
        <x:f>IF(I449="Accepted",IF(K449="","Add evidence",IF(O449="","Add reviewer",IF(P449="","Add accepted date",IF(AND(ISNUMBER(F449),COUNT(G449)=0),"Add actual quantity",IF(Q449=0,"Review target / date / dependencies","Complete"))))),IF(OR(I449="Blocked",I449="Deferred"),IF(L449="","Record blocker / reason",IF(M449="","Assign rescue owner",IF(N449="","Set recovery date","Recovery assigned"))),IF(B449&lt;'Dashboard'!$B$5,"Escalate and record recovery","Work to acceptance standard")))</x:f>
        <x:v>Work to acceptance standard</x:v>
      </x:c>
      <x:c r="T449" s="26" t="str">
        <x:v>T0067</x:v>
      </x:c>
      <x:c r="U449" s="26" t="str">
        <x:v>09:00 standup; 13:00/16:30 recovery checks; 17:00 acceptance. Every overdue task keeps original date and named recovery owner.</x:v>
      </x:c>
      <x:c r="V449" s="31" t="n">
        <x:v>3</x:v>
      </x:c>
      <x:c r="W449" s="26" t="str"/>
      <x:c r="X449" s="26" t="str">
        <x:v>DSI Reset PDF: lane responsibilities and dated runbook; dated allocation proposed for this tracker.</x:v>
      </x:c>
      <x:c r="Y449" s="30" t="n">
        <x:f>B449-WEEKDAY(B449,2)+1</x:f>
        <x:v>46370</x:v>
      </x:c>
      <x:c r="Z449" s="2" t="str">
        <x:v>checklist</x:v>
      </x:c>
      <x:c r="AA449" s="2" t="n">
        <x:f>IF(Q449=1,IF(P449&gt;B449,1,0),0)</x:f>
        <x:v>0</x:v>
      </x:c>
      <x:c r="AB449" s="2" t="n">
        <x:f>IF(AND(Q449=1,P449&lt;='Dashboard'!$B$5),0,MAX(0,'Dashboard'!$B$5-B449))</x:f>
        <x:v>0</x:v>
      </x:c>
      <x:c r="AC449" s="28" t="str"/>
      <x:c r="AD449" s="2" t="str">
        <x:f>IF(AND(ISNUMBER(F449),ISNUMBER(G449)),G449-F449,"")</x:f>
      </x:c>
      <x:c r="AE449" s="2" t="n">
        <x:f>IF(AND(I449="Accepted",K449&lt;&gt;"",O449&lt;&gt;"",ISNUMBER(P449),P449&gt;0,P449&lt;='Dashboard'!$B$5,IF(ISNUMBER(F449),ISNUMBER(G449),TRUE),IF(ISNUMBER(F449),G449&gt;=F449,TRUE)),1,0)</x:f>
        <x:v>0</x:v>
      </x:c>
    </x:row>
    <x:row r="450" ht="58" customHeight="1">
      <x:c r="A450" s="2" t="str">
        <x:v>T0384</x:v>
      </x:c>
      <x:c r="B450" s="30" t="n">
        <x:v>46371</x:v>
      </x:c>
      <x:c r="C450" s="2" t="str">
        <x:v>Kenneth</x:v>
      </x:c>
      <x:c r="D450" s="2" t="str">
        <x:v>Message Orchestrator</x:v>
      </x:c>
      <x:c r="E450" s="26" t="str">
        <x:v>Human-reply insights; 5 Inbox draft checks; approved first lines; claim exceptions</x:v>
      </x:c>
      <x:c r="F450" s="2" t="n">
        <x:v>1</x:v>
      </x:c>
      <x:c r="G450" s="20"/>
      <x:c r="H450" s="2" t="str">
        <x:v>accepted output</x:v>
      </x:c>
      <x:c r="I450" s="20" t="str">
        <x:v>Ready</x:v>
      </x:c>
      <x:c r="J450" s="2" t="str">
        <x:v>16:45</x:v>
      </x:c>
      <x:c r="K450" s="28" t="str"/>
      <x:c r="L450" s="28" t="str"/>
      <x:c r="M450" s="20" t="str"/>
      <x:c r="N450" s="33"/>
      <x:c r="O450" s="20" t="str"/>
      <x:c r="P450" s="33"/>
      <x:c r="Q450" s="2" t="n">
        <x:f>IF(AND(AE450=1,COUNTIFS($A$7:$A$500,"T0067",$AE$7:$AE$500,1)=1,COUNTIFS($A$7:$A$500,"T0055",$AE$7:$AE$500,1)=1),1,0)</x:f>
        <x:v>0</x:v>
      </x:c>
      <x:c r="R450" s="2" t="str">
        <x:f>IF(AND(Q450=1,P450&lt;='Dashboard'!$B$5),IF(P450&gt;B450,"Accepted late","Accepted"),IF(B450&lt;'Dashboard'!$B$5,"Overdue",IF(I450="Blocked","Blocked",IF(B450='Dashboard'!$B$5,"Due today","Planned"))))</x:f>
        <x:v>Planned</x:v>
      </x:c>
      <x:c r="S450" s="26" t="str">
        <x:f>IF(I450="Accepted",IF(K450="","Add evidence",IF(O450="","Add reviewer",IF(P450="","Add accepted date",IF(AND(ISNUMBER(F450),COUNT(G450)=0),"Add actual quantity",IF(Q450=0,"Review target / date / dependencies","Complete"))))),IF(OR(I450="Blocked",I450="Deferred"),IF(L450="","Record blocker / reason",IF(M450="","Assign rescue owner",IF(N450="","Set recovery date","Recovery assigned"))),IF(B450&lt;'Dashboard'!$B$5,"Escalate and record recovery","Work to acceptance standard")))</x:f>
        <x:v>Work to acceptance standard</x:v>
      </x:c>
      <x:c r="T450" s="26" t="str">
        <x:v>T0067</x:v>
      </x:c>
      <x:c r="U450" s="26" t="str">
        <x:v>Zero invented claims. If any draft fails facts, stop drafting/retrain; no offer change without approval.</x:v>
      </x:c>
      <x:c r="V450" s="31" t="n">
        <x:v>2.4</x:v>
      </x:c>
      <x:c r="W450" s="26" t="str"/>
      <x:c r="X450" s="26" t="str">
        <x:v>DSI Reset PDF: lane responsibilities and dated runbook; dated allocation proposed for this tracker.</x:v>
      </x:c>
      <x:c r="Y450" s="30" t="n">
        <x:f>B450-WEEKDAY(B450,2)+1</x:f>
        <x:v>46370</x:v>
      </x:c>
      <x:c r="Z450" s="2" t="str">
        <x:v>checklist</x:v>
      </x:c>
      <x:c r="AA450" s="2" t="n">
        <x:f>IF(Q450=1,IF(P450&gt;B450,1,0),0)</x:f>
        <x:v>0</x:v>
      </x:c>
      <x:c r="AB450" s="2" t="n">
        <x:f>IF(AND(Q450=1,P450&lt;='Dashboard'!$B$5),0,MAX(0,'Dashboard'!$B$5-B450))</x:f>
        <x:v>0</x:v>
      </x:c>
      <x:c r="AC450" s="28" t="str"/>
      <x:c r="AD450" s="2" t="str">
        <x:f>IF(AND(ISNUMBER(F450),ISNUMBER(G450)),G450-F450,"")</x:f>
      </x:c>
      <x:c r="AE450" s="2" t="n">
        <x:f>IF(AND(I450="Accepted",K450&lt;&gt;"",O450&lt;&gt;"",ISNUMBER(P450),P450&gt;0,P450&lt;='Dashboard'!$B$5,IF(ISNUMBER(F450),ISNUMBER(G450),TRUE),IF(ISNUMBER(F450),G450&gt;=F450,TRUE)),1,0)</x:f>
        <x:v>0</x:v>
      </x:c>
    </x:row>
    <x:row r="451" ht="58" customHeight="1">
      <x:c r="A451" s="2" t="str">
        <x:v>T0385</x:v>
      </x:c>
      <x:c r="B451" s="30" t="n">
        <x:v>46371</x:v>
      </x:c>
      <x:c r="C451" s="2" t="str">
        <x:v>Joey</x:v>
      </x:c>
      <x:c r="D451" s="2" t="str">
        <x:v>Data Orchestrator</x:v>
      </x:c>
      <x:c r="E451" s="26" t="str">
        <x:v>Mailbox/bounce/suppression log; ready verified records; due-follow up versus new-send capacity plan.</x:v>
      </x:c>
      <x:c r="F451" s="2" t="n">
        <x:v>1</x:v>
      </x:c>
      <x:c r="G451" s="20"/>
      <x:c r="H451" s="2" t="str">
        <x:v>verified queue and health check</x:v>
      </x:c>
      <x:c r="I451" s="20" t="str">
        <x:v>Ready</x:v>
      </x:c>
      <x:c r="J451" s="2" t="str">
        <x:v>16:45</x:v>
      </x:c>
      <x:c r="K451" s="28" t="str"/>
      <x:c r="L451" s="28" t="str"/>
      <x:c r="M451" s="20" t="str"/>
      <x:c r="N451" s="33"/>
      <x:c r="O451" s="20" t="str"/>
      <x:c r="P451" s="33"/>
      <x:c r="Q451" s="2" t="n">
        <x:f>IF(AND(AE451=1,COUNTIFS($A$7:$A$500,"T0067",$AE$7:$AE$500,1)=1,COUNTIFS($A$7:$A$500,"T0055",$AE$7:$AE$500,1)=1),1,0)</x:f>
        <x:v>0</x:v>
      </x:c>
      <x:c r="R451" s="2" t="str">
        <x:f>IF(AND(Q451=1,P451&lt;='Dashboard'!$B$5),IF(P451&gt;B451,"Accepted late","Accepted"),IF(B451&lt;'Dashboard'!$B$5,"Overdue",IF(I451="Blocked","Blocked",IF(B451='Dashboard'!$B$5,"Due today","Planned"))))</x:f>
        <x:v>Planned</x:v>
      </x:c>
      <x:c r="S451" s="26" t="str">
        <x:f>IF(I451="Accepted",IF(K451="","Add evidence",IF(O451="","Add reviewer",IF(P451="","Add accepted date",IF(AND(ISNUMBER(F451),COUNT(G451)=0),"Add actual quantity",IF(Q451=0,"Review target / date / dependencies","Complete"))))),IF(OR(I451="Blocked",I451="Deferred"),IF(L451="","Record blocker / reason",IF(M451="","Assign rescue owner",IF(N451="","Set recovery date","Recovery assigned"))),IF(B451&lt;'Dashboard'!$B$5,"Escalate and record recovery","Work to acceptance standard")))</x:f>
        <x:v>Work to acceptance standard</x:v>
      </x:c>
      <x:c r="T451" s="26" t="str">
        <x:v>T0067</x:v>
      </x:c>
      <x:c r="U451" s="26" t="str">
        <x:v>Planning pool addition 0 contacts today; quality gate wins over quota. Total sends&lt;=150/day;&gt;3% bounce affected mailbox held. No new cold enrollments on reduced/buffer days.</x:v>
      </x:c>
      <x:c r="V451" s="31" t="n">
        <x:v>3</x:v>
      </x:c>
      <x:c r="W451" s="26" t="str"/>
      <x:c r="X451" s="26" t="str">
        <x:v>DSI Reset PDF: lane responsibilities and dated runbook; dated allocation proposed for this tracker.</x:v>
      </x:c>
      <x:c r="Y451" s="30" t="n">
        <x:f>B451-WEEKDAY(B451,2)+1</x:f>
        <x:v>46370</x:v>
      </x:c>
      <x:c r="Z451" s="2" t="str">
        <x:v>checklist</x:v>
      </x:c>
      <x:c r="AA451" s="2" t="n">
        <x:f>IF(Q451=1,IF(P451&gt;B451,1,0),0)</x:f>
        <x:v>0</x:v>
      </x:c>
      <x:c r="AB451" s="2" t="n">
        <x:f>IF(AND(Q451=1,P451&lt;='Dashboard'!$B$5),0,MAX(0,'Dashboard'!$B$5-B451))</x:f>
        <x:v>0</x:v>
      </x:c>
      <x:c r="AC451" s="28" t="str"/>
      <x:c r="AD451" s="2" t="str">
        <x:f>IF(AND(ISNUMBER(F451),ISNUMBER(G451)),G451-F451,"")</x:f>
      </x:c>
      <x:c r="AE451" s="2" t="n">
        <x:f>IF(AND(I451="Accepted",K451&lt;&gt;"",O451&lt;&gt;"",ISNUMBER(P451),P451&gt;0,P451&lt;='Dashboard'!$B$5,IF(ISNUMBER(F451),ISNUMBER(G451),TRUE),IF(ISNUMBER(F451),G451&gt;=F451,TRUE)),1,0)</x:f>
        <x:v>0</x:v>
      </x:c>
    </x:row>
    <x:row r="452" ht="58" customHeight="1">
      <x:c r="A452" s="2" t="str">
        <x:v>T0386</x:v>
      </x:c>
      <x:c r="B452" s="30" t="n">
        <x:v>46371</x:v>
      </x:c>
      <x:c r="C452" s="2" t="str">
        <x:v>Nova</x:v>
      </x:c>
      <x:c r="D452" s="2" t="str">
        <x:v>Conversion Orchestrator</x:v>
      </x:c>
      <x:c r="E452" s="26" t="str">
        <x:v>Coverage/SLA evidence; 2 call reviews; booked/held updates; next-step and trial handoffs. Log each unique qualified inquiry with practice type, decision-maker access, case volume, service need and readiness timing.</x:v>
      </x:c>
      <x:c r="F452" s="2" t="n">
        <x:v>1</x:v>
      </x:c>
      <x:c r="G452" s="20"/>
      <x:c r="H452" s="2" t="str">
        <x:v>accepted output</x:v>
      </x:c>
      <x:c r="I452" s="20" t="str">
        <x:v>Ready</x:v>
      </x:c>
      <x:c r="J452" s="2" t="str">
        <x:v>16:45</x:v>
      </x:c>
      <x:c r="K452" s="28" t="str"/>
      <x:c r="L452" s="28" t="str"/>
      <x:c r="M452" s="20" t="str"/>
      <x:c r="N452" s="33"/>
      <x:c r="O452" s="20" t="str"/>
      <x:c r="P452" s="33"/>
      <x:c r="Q452" s="2" t="n">
        <x:f>IF(AND(AE452=1,COUNTIFS($A$7:$A$500,"T0067",$AE$7:$AE$500,1)=1,COUNTIFS($A$7:$A$500,"T0055",$AE$7:$AE$500,1)=1),1,0)</x:f>
        <x:v>0</x:v>
      </x:c>
      <x:c r="R452" s="2" t="str">
        <x:f>IF(AND(Q452=1,P452&lt;='Dashboard'!$B$5),IF(P452&gt;B452,"Accepted late","Accepted"),IF(B452&lt;'Dashboard'!$B$5,"Overdue",IF(I452="Blocked","Blocked",IF(B452='Dashboard'!$B$5,"Due today","Planned"))))</x:f>
        <x:v>Planned</x:v>
      </x:c>
      <x:c r="S452" s="26" t="str">
        <x:f>IF(I452="Accepted",IF(K452="","Add evidence",IF(O452="","Add reviewer",IF(P452="","Add accepted date",IF(AND(ISNUMBER(F452),COUNT(G452)=0),"Add actual quantity",IF(Q452=0,"Review target / date / dependencies","Complete"))))),IF(OR(I452="Blocked",I452="Deferred"),IF(L452="","Record blocker / reason",IF(M452="","Assign rescue owner",IF(N452="","Set recovery date","Recovery assigned"))),IF(B452&lt;'Dashboard'!$B$5,"Escalate and record recovery","Work to acceptance standard")))</x:f>
        <x:v>Work to acceptance standard</x:v>
      </x:c>
      <x:c r="T452" s="26" t="str">
        <x:v>T0067</x:v>
      </x:c>
      <x:c r="U452" s="26" t="str">
        <x:v>Every eligible reply&lt;=15 min; positive call&lt;=60 min; no opportunity without next step; booked brief to Nic; trial logistics to Maseeha. Raw contacts, opens and accepts never count as qualified inquiries; deduplicate across channels.</x:v>
      </x:c>
      <x:c r="V452" s="31" t="n">
        <x:v>4</x:v>
      </x:c>
      <x:c r="W452" s="26" t="str"/>
      <x:c r="X452" s="26" t="str">
        <x:v>DSI Reset PDF: lane responsibilities and dated runbook; dated allocation proposed for this tracker.</x:v>
      </x:c>
      <x:c r="Y452" s="30" t="n">
        <x:f>B452-WEEKDAY(B452,2)+1</x:f>
        <x:v>46370</x:v>
      </x:c>
      <x:c r="Z452" s="2" t="str">
        <x:v>checklist</x:v>
      </x:c>
      <x:c r="AA452" s="2" t="n">
        <x:f>IF(Q452=1,IF(P452&gt;B452,1,0),0)</x:f>
        <x:v>0</x:v>
      </x:c>
      <x:c r="AB452" s="2" t="n">
        <x:f>IF(AND(Q452=1,P452&lt;='Dashboard'!$B$5),0,MAX(0,'Dashboard'!$B$5-B452))</x:f>
        <x:v>0</x:v>
      </x:c>
      <x:c r="AC452" s="28" t="str"/>
      <x:c r="AD452" s="2" t="str">
        <x:f>IF(AND(ISNUMBER(F452),ISNUMBER(G452)),G452-F452,"")</x:f>
      </x:c>
      <x:c r="AE452" s="2" t="n">
        <x:f>IF(AND(I452="Accepted",K452&lt;&gt;"",O452&lt;&gt;"",ISNUMBER(P452),P452&gt;0,P452&lt;='Dashboard'!$B$5,IF(ISNUMBER(F452),ISNUMBER(G452),TRUE),IF(ISNUMBER(F452),G452&gt;=F452,TRUE)),1,0)</x:f>
        <x:v>0</x:v>
      </x:c>
    </x:row>
    <x:row r="453" ht="58" customHeight="1">
      <x:c r="A453" s="2" t="str">
        <x:v>T0387</x:v>
      </x:c>
      <x:c r="B453" s="30" t="n">
        <x:v>46371</x:v>
      </x:c>
      <x:c r="C453" s="2" t="str">
        <x:v>Emman</x:v>
      </x:c>
      <x:c r="D453" s="2" t="str">
        <x:v>AI Build Orchestrator</x:v>
      </x:c>
      <x:c r="E453" s="26" t="str">
        <x:v>Health/retry log; one acceptance-backed build increment; updated change log</x:v>
      </x:c>
      <x:c r="F453" s="2" t="n">
        <x:v>1</x:v>
      </x:c>
      <x:c r="G453" s="20"/>
      <x:c r="H453" s="2" t="str">
        <x:v>accepted output</x:v>
      </x:c>
      <x:c r="I453" s="20" t="str">
        <x:v>Ready</x:v>
      </x:c>
      <x:c r="J453" s="2" t="str">
        <x:v>16:45</x:v>
      </x:c>
      <x:c r="K453" s="28" t="str"/>
      <x:c r="L453" s="28" t="str"/>
      <x:c r="M453" s="20" t="str"/>
      <x:c r="N453" s="33"/>
      <x:c r="O453" s="20" t="str"/>
      <x:c r="P453" s="33"/>
      <x:c r="Q453" s="2" t="n">
        <x:f>IF(AND(AE453=1,COUNTIFS($A$7:$A$500,"T0067",$AE$7:$AE$500,1)=1,COUNTIFS($A$7:$A$500,"T0055",$AE$7:$AE$500,1)=1),1,0)</x:f>
        <x:v>0</x:v>
      </x:c>
      <x:c r="R453" s="2" t="str">
        <x:f>IF(AND(Q453=1,P453&lt;='Dashboard'!$B$5),IF(P453&gt;B453,"Accepted late","Accepted"),IF(B453&lt;'Dashboard'!$B$5,"Overdue",IF(I453="Blocked","Blocked",IF(B453='Dashboard'!$B$5,"Due today","Planned"))))</x:f>
        <x:v>Planned</x:v>
      </x:c>
      <x:c r="S453" s="26" t="str">
        <x:f>IF(I453="Accepted",IF(K453="","Add evidence",IF(O453="","Add reviewer",IF(P453="","Add accepted date",IF(AND(ISNUMBER(F453),COUNT(G453)=0),"Add actual quantity",IF(Q453=0,"Review target / date / dependencies","Complete"))))),IF(OR(I453="Blocked",I453="Deferred"),IF(L453="","Record blocker / reason",IF(M453="","Assign rescue owner",IF(N453="","Set recovery date","Recovery assigned"))),IF(B453&lt;'Dashboard'!$B$5,"Escalate and record recovery","Work to acceptance standard")))</x:f>
        <x:v>Work to acceptance standard</x:v>
      </x:c>
      <x:c r="T453" s="26" t="str">
        <x:v>T0067</x:v>
      </x:c>
      <x:c r="U453" s="26" t="str">
        <x:v>Fix a failing live agent beforestarting the next build. If an agent is still not working 48 hours after its due date, activate the manual SOP. Roll back a live failure within 1 hour. Release build reserve when no approved work remains.</x:v>
      </x:c>
      <x:c r="V453" s="31" t="n">
        <x:v>4</x:v>
      </x:c>
      <x:c r="W453" s="26" t="str"/>
      <x:c r="X453" s="26" t="str">
        <x:v>DSI Reset PDF: lane responsibilities and dated runbook; dated allocation proposed for this tracker.</x:v>
      </x:c>
      <x:c r="Y453" s="30" t="n">
        <x:f>B453-WEEKDAY(B453,2)+1</x:f>
        <x:v>46370</x:v>
      </x:c>
      <x:c r="Z453" s="2" t="str">
        <x:v>checklist</x:v>
      </x:c>
      <x:c r="AA453" s="2" t="n">
        <x:f>IF(Q453=1,IF(P453&gt;B453,1,0),0)</x:f>
        <x:v>0</x:v>
      </x:c>
      <x:c r="AB453" s="2" t="n">
        <x:f>IF(AND(Q453=1,P453&lt;='Dashboard'!$B$5),0,MAX(0,'Dashboard'!$B$5-B453))</x:f>
        <x:v>0</x:v>
      </x:c>
      <x:c r="AC453" s="28" t="str"/>
      <x:c r="AD453" s="2" t="str">
        <x:f>IF(AND(ISNUMBER(F453),ISNUMBER(G453)),G453-F453,"")</x:f>
      </x:c>
      <x:c r="AE453" s="2" t="n">
        <x:f>IF(AND(I453="Accepted",K453&lt;&gt;"",O453&lt;&gt;"",ISNUMBER(P453),P453&gt;0,P453&lt;='Dashboard'!$B$5,IF(ISNUMBER(F453),ISNUMBER(G453),TRUE),IF(ISNUMBER(F453),G453&gt;=F453,TRUE)),1,0)</x:f>
        <x:v>0</x:v>
      </x:c>
    </x:row>
    <x:row r="454" ht="58" customHeight="1">
      <x:c r="A454" s="2" t="str">
        <x:v>T0388</x:v>
      </x:c>
      <x:c r="B454" s="30" t="n">
        <x:v>46371</x:v>
      </x:c>
      <x:c r="C454" s="2" t="str">
        <x:v>Ludwig</x:v>
      </x:c>
      <x:c r="D454" s="2" t="str">
        <x:v>Integration Engineer</x:v>
      </x:c>
      <x:c r="E454" s="26" t="str">
        <x:v>Webhook/error/dead-letter check; top assigned integration ticket or verified no-ticket note</x:v>
      </x:c>
      <x:c r="F454" s="2" t="n">
        <x:v>1</x:v>
      </x:c>
      <x:c r="G454" s="20"/>
      <x:c r="H454" s="2" t="str">
        <x:v>accepted output</x:v>
      </x:c>
      <x:c r="I454" s="20" t="str">
        <x:v>Ready</x:v>
      </x:c>
      <x:c r="J454" s="2" t="str">
        <x:v>16:45</x:v>
      </x:c>
      <x:c r="K454" s="28" t="str"/>
      <x:c r="L454" s="28" t="str"/>
      <x:c r="M454" s="20" t="str"/>
      <x:c r="N454" s="33"/>
      <x:c r="O454" s="20" t="str"/>
      <x:c r="P454" s="33"/>
      <x:c r="Q454" s="2" t="n">
        <x:f>IF(AND(AE454=1,COUNTIFS($A$7:$A$500,"T0067",$AE$7:$AE$500,1)=1,COUNTIFS($A$7:$A$500,"T0055",$AE$7:$AE$500,1)=1),1,0)</x:f>
        <x:v>0</x:v>
      </x:c>
      <x:c r="R454" s="2" t="str">
        <x:f>IF(AND(Q454=1,P454&lt;='Dashboard'!$B$5),IF(P454&gt;B454,"Accepted late","Accepted"),IF(B454&lt;'Dashboard'!$B$5,"Overdue",IF(I454="Blocked","Blocked",IF(B454='Dashboard'!$B$5,"Due today","Planned"))))</x:f>
        <x:v>Planned</x:v>
      </x:c>
      <x:c r="S454" s="26" t="str">
        <x:f>IF(I454="Accepted",IF(K454="","Add evidence",IF(O454="","Add reviewer",IF(P454="","Add accepted date",IF(AND(ISNUMBER(F454),COUNT(G454)=0),"Add actual quantity",IF(Q454=0,"Review target / date / dependencies","Complete"))))),IF(OR(I454="Blocked",I454="Deferred"),IF(L454="","Record blocker / reason",IF(M454="","Assign rescue owner",IF(N454="","Set recovery date","Recovery assigned"))),IF(B454&lt;'Dashboard'!$B$5,"Escalate and record recovery","Work to acceptance standard")))</x:f>
        <x:v>Work to acceptance standard</x:v>
      </x:c>
      <x:c r="T454" s="26" t="str">
        <x:v>T0067</x:v>
      </x:c>
      <x:c r="U454" s="26" t="str">
        <x:v>Only Emman’s priority queue; 100% test capture; runbook/retry/rollback evidence. If no fault/ticket, release reserve; do not invent work.</x:v>
      </x:c>
      <x:c r="V454" s="31" t="n">
        <x:v>1.6</x:v>
      </x:c>
      <x:c r="W454" s="26" t="str"/>
      <x:c r="X454" s="26" t="str">
        <x:v>DSI Reset PDF: lane responsibilities and dated runbook; dated allocation proposed for this tracker.</x:v>
      </x:c>
      <x:c r="Y454" s="30" t="n">
        <x:f>B454-WEEKDAY(B454,2)+1</x:f>
        <x:v>46370</x:v>
      </x:c>
      <x:c r="Z454" s="2" t="str">
        <x:v>checklist</x:v>
      </x:c>
      <x:c r="AA454" s="2" t="n">
        <x:f>IF(Q454=1,IF(P454&gt;B454,1,0),0)</x:f>
        <x:v>0</x:v>
      </x:c>
      <x:c r="AB454" s="2" t="n">
        <x:f>IF(AND(Q454=1,P454&lt;='Dashboard'!$B$5),0,MAX(0,'Dashboard'!$B$5-B454))</x:f>
        <x:v>0</x:v>
      </x:c>
      <x:c r="AC454" s="28" t="str"/>
      <x:c r="AD454" s="2" t="str">
        <x:f>IF(AND(ISNUMBER(F454),ISNUMBER(G454)),G454-F454,"")</x:f>
      </x:c>
      <x:c r="AE454" s="2" t="n">
        <x:f>IF(AND(I454="Accepted",K454&lt;&gt;"",O454&lt;&gt;"",ISNUMBER(P454),P454&gt;0,P454&lt;='Dashboard'!$B$5,IF(ISNUMBER(F454),ISNUMBER(G454),TRUE),IF(ISNUMBER(F454),G454&gt;=F454,TRUE)),1,0)</x:f>
        <x:v>0</x:v>
      </x:c>
    </x:row>
    <x:row r="455" ht="58" customHeight="1">
      <x:c r="A455" s="2" t="str">
        <x:v>T0389</x:v>
      </x:c>
      <x:c r="B455" s="30" t="n">
        <x:v>46371</x:v>
      </x:c>
      <x:c r="C455" s="2" t="str">
        <x:v>Alvin</x:v>
      </x:c>
      <x:c r="D455" s="2" t="str">
        <x:v>CQL/GHL Implementation</x:v>
      </x:c>
      <x:c r="E455" s="26" t="str">
        <x:v>Stage/calendar/reminder QA; due workflow fixes; approved post mirrors/evidence Publish approved post SOC18 (Engage); capture the live URL.</x:v>
      </x:c>
      <x:c r="F455" s="2" t="n">
        <x:v>1</x:v>
      </x:c>
      <x:c r="G455" s="20"/>
      <x:c r="H455" s="2" t="str">
        <x:v>accepted output</x:v>
      </x:c>
      <x:c r="I455" s="20" t="str">
        <x:v>Ready</x:v>
      </x:c>
      <x:c r="J455" s="2" t="str">
        <x:v>16:45</x:v>
      </x:c>
      <x:c r="K455" s="28" t="str"/>
      <x:c r="L455" s="28" t="str"/>
      <x:c r="M455" s="20" t="str"/>
      <x:c r="N455" s="33"/>
      <x:c r="O455" s="20" t="str"/>
      <x:c r="P455" s="33"/>
      <x:c r="Q455" s="2" t="n">
        <x:f>IF(AND(AE455=1,COUNTIFS($A$7:$A$500,"T0067",$AE$7:$AE$500,1)=1,COUNTIFS($A$7:$A$500,"T0055",$AE$7:$AE$500,1)=1),1,0)</x:f>
        <x:v>0</x:v>
      </x:c>
      <x:c r="R455" s="2" t="str">
        <x:f>IF(AND(Q455=1,P455&lt;='Dashboard'!$B$5),IF(P455&gt;B455,"Accepted late","Accepted"),IF(B455&lt;'Dashboard'!$B$5,"Overdue",IF(I455="Blocked","Blocked",IF(B455='Dashboard'!$B$5,"Due today","Planned"))))</x:f>
        <x:v>Planned</x:v>
      </x:c>
      <x:c r="S455" s="26" t="str">
        <x:f>IF(I455="Accepted",IF(K455="","Add evidence",IF(O455="","Add reviewer",IF(P455="","Add accepted date",IF(AND(ISNUMBER(F455),COUNT(G455)=0),"Add actual quantity",IF(Q455=0,"Review target / date / dependencies","Complete"))))),IF(OR(I455="Blocked",I455="Deferred"),IF(L455="","Record blocker / reason",IF(M455="","Assign rescue owner",IF(N455="","Set recovery date","Recovery assigned"))),IF(B455&lt;'Dashboard'!$B$5,"Escalate and record recovery","Work to acceptance standard")))</x:f>
        <x:v>Work to acceptance standard</x:v>
      </x:c>
      <x:c r="T455" s="26" t="str">
        <x:v>T0067</x:v>
      </x:c>
      <x:c r="U455" s="26" t="str">
        <x:v>No-show task&lt;=10 min; form/source fields correct; finish critical CRM defect same day. Facebook mirrors exact approved post; Instagram requires permissioned image.</x:v>
      </x:c>
      <x:c r="V455" s="31" t="n">
        <x:v>2</x:v>
      </x:c>
      <x:c r="W455" s="26" t="str"/>
      <x:c r="X455" s="26" t="str">
        <x:v>DSI Reset PDF: lane responsibilities and dated runbook; dated allocation proposed for this tracker.</x:v>
      </x:c>
      <x:c r="Y455" s="30" t="n">
        <x:f>B455-WEEKDAY(B455,2)+1</x:f>
        <x:v>46370</x:v>
      </x:c>
      <x:c r="Z455" s="2" t="str">
        <x:v>checklist</x:v>
      </x:c>
      <x:c r="AA455" s="2" t="n">
        <x:f>IF(Q455=1,IF(P455&gt;B455,1,0),0)</x:f>
        <x:v>0</x:v>
      </x:c>
      <x:c r="AB455" s="2" t="n">
        <x:f>IF(AND(Q455=1,P455&lt;='Dashboard'!$B$5),0,MAX(0,'Dashboard'!$B$5-B455))</x:f>
        <x:v>0</x:v>
      </x:c>
      <x:c r="AC455" s="28" t="str"/>
      <x:c r="AD455" s="2" t="str">
        <x:f>IF(AND(ISNUMBER(F455),ISNUMBER(G455)),G455-F455,"")</x:f>
      </x:c>
      <x:c r="AE455" s="2" t="n">
        <x:f>IF(AND(I455="Accepted",K455&lt;&gt;"",O455&lt;&gt;"",ISNUMBER(P455),P455&gt;0,P455&lt;='Dashboard'!$B$5,IF(ISNUMBER(F455),ISNUMBER(G455),TRUE),IF(ISNUMBER(F455),G455&gt;=F455,TRUE)),1,0)</x:f>
        <x:v>0</x:v>
      </x:c>
    </x:row>
    <x:row r="456" ht="58" customHeight="1">
      <x:c r="A456" s="2" t="str">
        <x:v>T0390</x:v>
      </x:c>
      <x:c r="B456" s="30" t="n">
        <x:v>46371</x:v>
      </x:c>
      <x:c r="C456" s="2" t="str">
        <x:v>Brian</x:v>
      </x:c>
      <x:c r="D456" s="2" t="str">
        <x:v>Web and Tracking</x:v>
      </x:c>
      <x:c r="E456" s="26" t="str">
        <x:v>One health-check result; at most one weekly change ticket or no-ticket note</x:v>
      </x:c>
      <x:c r="F456" s="2" t="n">
        <x:v>1</x:v>
      </x:c>
      <x:c r="G456" s="20"/>
      <x:c r="H456" s="2" t="str">
        <x:v>accepted output</x:v>
      </x:c>
      <x:c r="I456" s="20" t="str">
        <x:v>Ready</x:v>
      </x:c>
      <x:c r="J456" s="2" t="str">
        <x:v>16:45</x:v>
      </x:c>
      <x:c r="K456" s="28" t="str"/>
      <x:c r="L456" s="28" t="str"/>
      <x:c r="M456" s="20" t="str"/>
      <x:c r="N456" s="33"/>
      <x:c r="O456" s="20" t="str"/>
      <x:c r="P456" s="33"/>
      <x:c r="Q456" s="2" t="n">
        <x:f>IF(AND(AE456=1,COUNTIFS($A$7:$A$500,"T0067",$AE$7:$AE$500,1)=1,COUNTIFS($A$7:$A$500,"T0055",$AE$7:$AE$500,1)=1),1,0)</x:f>
        <x:v>0</x:v>
      </x:c>
      <x:c r="R456" s="2" t="str">
        <x:f>IF(AND(Q456=1,P456&lt;='Dashboard'!$B$5),IF(P456&gt;B456,"Accepted late","Accepted"),IF(B456&lt;'Dashboard'!$B$5,"Overdue",IF(I456="Blocked","Blocked",IF(B456='Dashboard'!$B$5,"Due today","Planned"))))</x:f>
        <x:v>Planned</x:v>
      </x:c>
      <x:c r="S456" s="26" t="str">
        <x:f>IF(I456="Accepted",IF(K456="","Add evidence",IF(O456="","Add reviewer",IF(P456="","Add accepted date",IF(AND(ISNUMBER(F456),COUNT(G456)=0),"Add actual quantity",IF(Q456=0,"Review target / date / dependencies","Complete"))))),IF(OR(I456="Blocked",I456="Deferred"),IF(L456="","Record blocker / reason",IF(M456="","Assign rescue owner",IF(N456="","Set recovery date","Recovery assigned"))),IF(B456&lt;'Dashboard'!$B$5,"Escalate and record recovery","Work to acceptance standard")))</x:f>
        <x:v>Work to acceptance standard</x:v>
      </x:c>
      <x:c r="T456" s="26" t="str">
        <x:v>T0067</x:v>
      </x:c>
      <x:c r="U456" s="26" t="str">
        <x:v>Form to CQL&lt;1 min; approved copy unchanged; no work manufactured if healthy; ongoing reserve&lt;=2 h/week.</x:v>
      </x:c>
      <x:c r="V456" s="31" t="n">
        <x:v>0.4</x:v>
      </x:c>
      <x:c r="W456" s="26" t="str"/>
      <x:c r="X456" s="26" t="str">
        <x:v>DSI Reset PDF: lane responsibilities and dated runbook; dated allocation proposed for this tracker.</x:v>
      </x:c>
      <x:c r="Y456" s="30" t="n">
        <x:f>B456-WEEKDAY(B456,2)+1</x:f>
        <x:v>46370</x:v>
      </x:c>
      <x:c r="Z456" s="2" t="str">
        <x:v>checklist</x:v>
      </x:c>
      <x:c r="AA456" s="2" t="n">
        <x:f>IF(Q456=1,IF(P456&gt;B456,1,0),0)</x:f>
        <x:v>0</x:v>
      </x:c>
      <x:c r="AB456" s="2" t="n">
        <x:f>IF(AND(Q456=1,P456&lt;='Dashboard'!$B$5),0,MAX(0,'Dashboard'!$B$5-B456))</x:f>
        <x:v>0</x:v>
      </x:c>
      <x:c r="AC456" s="28" t="str"/>
      <x:c r="AD456" s="2" t="str">
        <x:f>IF(AND(ISNUMBER(F456),ISNUMBER(G456)),G456-F456,"")</x:f>
      </x:c>
      <x:c r="AE456" s="2" t="n">
        <x:f>IF(AND(I456="Accepted",K456&lt;&gt;"",O456&lt;&gt;"",ISNUMBER(P456),P456&gt;0,P456&lt;='Dashboard'!$B$5,IF(ISNUMBER(F456),ISNUMBER(G456),TRUE),IF(ISNUMBER(F456),G456&gt;=F456,TRUE)),1,0)</x:f>
        <x:v>0</x:v>
      </x:c>
    </x:row>
    <x:row r="457" ht="58" customHeight="1">
      <x:c r="A457" s="2" t="str">
        <x:v>T0391</x:v>
      </x:c>
      <x:c r="B457" s="30" t="n">
        <x:v>46371</x:v>
      </x:c>
      <x:c r="C457" s="2" t="str">
        <x:v>Dexter</x:v>
      </x:c>
      <x:c r="D457" s="2" t="str">
        <x:v>LinkedIn Execution</x:v>
      </x:c>
      <x:c r="E457" s="26" t="str">
        <x:v>CQL logged DMs/accepts; eligible requests; referred interested replies; approved post evidence Publish approved post SOC18 (Engage); capture the live URL.</x:v>
      </x:c>
      <x:c r="F457" s="2" t="n">
        <x:v>25</x:v>
      </x:c>
      <x:c r="G457" s="20"/>
      <x:c r="H457" s="2" t="str">
        <x:v>new request working target; eligible pool required</x:v>
      </x:c>
      <x:c r="I457" s="20" t="str">
        <x:v>Ready</x:v>
      </x:c>
      <x:c r="J457" s="2" t="str">
        <x:v>16:45</x:v>
      </x:c>
      <x:c r="K457" s="28" t="str"/>
      <x:c r="L457" s="28" t="str"/>
      <x:c r="M457" s="20" t="str"/>
      <x:c r="N457" s="33"/>
      <x:c r="O457" s="20" t="str"/>
      <x:c r="P457" s="33"/>
      <x:c r="Q457" s="2" t="n">
        <x:f>IF(AND(AE457=1,COUNTIFS($A$7:$A$500,"T0067",$AE$7:$AE$500,1)=1,COUNTIFS($A$7:$A$500,"T0055",$AE$7:$AE$500,1)=1),1,0)</x:f>
        <x:v>0</x:v>
      </x:c>
      <x:c r="R457" s="2" t="str">
        <x:f>IF(AND(Q457=1,P457&lt;='Dashboard'!$B$5),IF(P457&gt;B457,"Accepted late","Accepted"),IF(B457&lt;'Dashboard'!$B$5,"Overdue",IF(I457="Blocked","Blocked",IF(B457='Dashboard'!$B$5,"Due today","Planned"))))</x:f>
        <x:v>Planned</x:v>
      </x:c>
      <x:c r="S457" s="26" t="str">
        <x:f>IF(I457="Accepted",IF(K457="","Add evidence",IF(O457="","Add reviewer",IF(P457="","Add accepted date",IF(AND(ISNUMBER(F457),COUNT(G457)=0),"Add actual quantity",IF(Q457=0,"Review target / date / dependencies","Complete"))))),IF(OR(I457="Blocked",I457="Deferred"),IF(L457="","Record blocker / reason",IF(M457="","Assign rescue owner",IF(N457="","Set recovery date","Recovery assigned"))),IF(B457&lt;'Dashboard'!$B$5,"Escalate and record recovery","Work to acceptance standard")))</x:f>
        <x:v>Work to acceptance standard</x:v>
      </x:c>
      <x:c r="T457" s="26" t="str">
        <x:v>T0067</x:v>
      </x:c>
      <x:c r="U457"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57" s="31" t="n">
        <x:v>3</x:v>
      </x:c>
      <x:c r="W457" s="26" t="str"/>
      <x:c r="X457" s="26" t="str">
        <x:v>DSI Reset PDF: lane responsibilities and dated runbook; dated allocation proposed for this tracker.</x:v>
      </x:c>
      <x:c r="Y457" s="30" t="n">
        <x:f>B457-WEEKDAY(B457,2)+1</x:f>
        <x:v>46370</x:v>
      </x:c>
      <x:c r="Z457" s="2" t="str">
        <x:v>capacity</x:v>
      </x:c>
      <x:c r="AA457" s="2" t="n">
        <x:f>IF(Q457=1,IF(P457&gt;B457,1,0),0)</x:f>
        <x:v>0</x:v>
      </x:c>
      <x:c r="AB457" s="2" t="n">
        <x:f>IF(AND(Q457=1,P457&lt;='Dashboard'!$B$5),0,MAX(0,'Dashboard'!$B$5-B457))</x:f>
        <x:v>0</x:v>
      </x:c>
      <x:c r="AC457" s="28" t="str"/>
      <x:c r="AD457" s="2" t="str">
        <x:f>IF(AND(ISNUMBER(F457),ISNUMBER(G457)),G457-F457,"")</x:f>
      </x:c>
      <x:c r="AE457" s="2" t="n">
        <x:f>IF(AND(I457="Accepted",K457&lt;&gt;"",O457&lt;&gt;"",ISNUMBER(P457),P457&gt;0,P457&lt;='Dashboard'!$B$5,IF(ISNUMBER(F457),ISNUMBER(G457),TRUE),IF(ISNUMBER(F457),OR(G457&gt;=F457,AC457&lt;&gt;""),TRUE)),1,0)</x:f>
        <x:v>0</x:v>
      </x:c>
    </x:row>
    <x:row r="458" ht="58" customHeight="1">
      <x:c r="A458" s="2" t="str">
        <x:v>T0392</x:v>
      </x:c>
      <x:c r="B458" s="30" t="n">
        <x:v>46371</x:v>
      </x:c>
      <x:c r="C458" s="2" t="str">
        <x:v>Setter 1</x:v>
      </x:c>
      <x:c r="D458" s="2" t="str">
        <x:v>Reply and Phone Setter</x:v>
      </x:c>
      <x:c r="E458" s="26" t="str">
        <x:v>SLA/call outcome log; bookings and next steps; handoff to Nova</x:v>
      </x:c>
      <x:c r="F458" s="2" t="n">
        <x:v>50</x:v>
      </x:c>
      <x:c r="G458" s="20"/>
      <x:c r="H458" s="2" t="str">
        <x:v>dial working target; inbound SLA takes priority</x:v>
      </x:c>
      <x:c r="I458" s="20" t="str">
        <x:v>Ready</x:v>
      </x:c>
      <x:c r="J458" s="2" t="str">
        <x:v>16:45</x:v>
      </x:c>
      <x:c r="K458" s="28" t="str"/>
      <x:c r="L458" s="28" t="str"/>
      <x:c r="M458" s="20" t="str"/>
      <x:c r="N458" s="33"/>
      <x:c r="O458" s="20" t="str"/>
      <x:c r="P458" s="33"/>
      <x:c r="Q458" s="2" t="n">
        <x:f>IF(AND(AE458=1,COUNTIFS($A$7:$A$500,"T0013",$AE$7:$AE$500,1)=1,COUNTIFS($A$7:$A$500,"T0055",$AE$7:$AE$500,1)=1),1,0)</x:f>
        <x:v>0</x:v>
      </x:c>
      <x:c r="R458" s="2" t="str">
        <x:f>IF(AND(Q458=1,P458&lt;='Dashboard'!$B$5),IF(P458&gt;B458,"Accepted late","Accepted"),IF(B458&lt;'Dashboard'!$B$5,"Overdue",IF(I458="Blocked","Blocked",IF(B458='Dashboard'!$B$5,"Due today","Planned"))))</x:f>
        <x:v>Planned</x:v>
      </x:c>
      <x:c r="S458" s="26" t="str">
        <x:f>IF(I458="Accepted",IF(K458="","Add evidence",IF(O458="","Add reviewer",IF(P458="","Add accepted date",IF(AND(ISNUMBER(F458),COUNT(G458)=0),"Add actual quantity",IF(Q458=0,"Review target / date / dependencies","Complete"))))),IF(OR(I458="Blocked",I458="Deferred"),IF(L458="","Record blocker / reason",IF(M458="","Assign rescue owner",IF(N458="","Set recovery date","Recovery assigned"))),IF(B458&lt;'Dashboard'!$B$5,"Escalate and record recovery","Work to acceptance standard")))</x:f>
        <x:v>Work to acceptance standard</x:v>
      </x:c>
      <x:c r="T458" s="26" t="str">
        <x:v>T0013; T0055</x:v>
      </x:c>
      <x:c r="U45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58" s="31" t="n">
        <x:v>7.5</x:v>
      </x:c>
      <x:c r="W458" s="26" t="str"/>
      <x:c r="X458" s="26" t="str">
        <x:v>DSI Reset PDF: lane responsibilities and dated runbook; dated allocation proposed for this tracker.</x:v>
      </x:c>
      <x:c r="Y458" s="30" t="n">
        <x:f>B458-WEEKDAY(B458,2)+1</x:f>
        <x:v>46370</x:v>
      </x:c>
      <x:c r="Z458" s="2" t="str">
        <x:v>capacity</x:v>
      </x:c>
      <x:c r="AA458" s="2" t="n">
        <x:f>IF(Q458=1,IF(P458&gt;B458,1,0),0)</x:f>
        <x:v>0</x:v>
      </x:c>
      <x:c r="AB458" s="2" t="n">
        <x:f>IF(AND(Q458=1,P458&lt;='Dashboard'!$B$5),0,MAX(0,'Dashboard'!$B$5-B458))</x:f>
        <x:v>0</x:v>
      </x:c>
      <x:c r="AC458" s="28" t="str"/>
      <x:c r="AD458" s="2" t="str">
        <x:f>IF(AND(ISNUMBER(F458),ISNUMBER(G458)),G458-F458,"")</x:f>
      </x:c>
      <x:c r="AE458" s="2" t="n">
        <x:f>IF(AND(I458="Accepted",K458&lt;&gt;"",O458&lt;&gt;"",ISNUMBER(P458),P458&gt;0,P458&lt;='Dashboard'!$B$5,IF(ISNUMBER(F458),ISNUMBER(G458),TRUE),IF(ISNUMBER(F458),OR(G458&gt;=F458,AC458&lt;&gt;""),TRUE)),1,0)</x:f>
        <x:v>0</x:v>
      </x:c>
    </x:row>
    <x:row r="459" ht="58" customHeight="1">
      <x:c r="A459" s="2" t="str">
        <x:v>T0393</x:v>
      </x:c>
      <x:c r="B459" s="30" t="n">
        <x:v>46371</x:v>
      </x:c>
      <x:c r="C459" s="2" t="str">
        <x:v>Setter 2</x:v>
      </x:c>
      <x:c r="D459" s="2" t="str">
        <x:v>Reply and Phone Setter</x:v>
      </x:c>
      <x:c r="E459" s="26" t="str">
        <x:v>SLA/call outcome log; bookings and next steps; handoff to Nova</x:v>
      </x:c>
      <x:c r="F459" s="2" t="n">
        <x:v>50</x:v>
      </x:c>
      <x:c r="G459" s="20"/>
      <x:c r="H459" s="2" t="str">
        <x:v>dial working target; inbound SLA takes priority</x:v>
      </x:c>
      <x:c r="I459" s="20" t="str">
        <x:v>Ready</x:v>
      </x:c>
      <x:c r="J459" s="2" t="str">
        <x:v>16:45</x:v>
      </x:c>
      <x:c r="K459" s="28" t="str"/>
      <x:c r="L459" s="28" t="str"/>
      <x:c r="M459" s="20" t="str"/>
      <x:c r="N459" s="33"/>
      <x:c r="O459" s="20" t="str"/>
      <x:c r="P459" s="33"/>
      <x:c r="Q459" s="2" t="n">
        <x:f>IF(AND(AE459=1,COUNTIFS($A$7:$A$500,"T0013",$AE$7:$AE$500,1)=1,COUNTIFS($A$7:$A$500,"T0055",$AE$7:$AE$500,1)=1),1,0)</x:f>
        <x:v>0</x:v>
      </x:c>
      <x:c r="R459" s="2" t="str">
        <x:f>IF(AND(Q459=1,P459&lt;='Dashboard'!$B$5),IF(P459&gt;B459,"Accepted late","Accepted"),IF(B459&lt;'Dashboard'!$B$5,"Overdue",IF(I459="Blocked","Blocked",IF(B459='Dashboard'!$B$5,"Due today","Planned"))))</x:f>
        <x:v>Planned</x:v>
      </x:c>
      <x:c r="S459" s="26" t="str">
        <x:f>IF(I459="Accepted",IF(K459="","Add evidence",IF(O459="","Add reviewer",IF(P459="","Add accepted date",IF(AND(ISNUMBER(F459),COUNT(G459)=0),"Add actual quantity",IF(Q459=0,"Review target / date / dependencies","Complete"))))),IF(OR(I459="Blocked",I459="Deferred"),IF(L459="","Record blocker / reason",IF(M459="","Assign rescue owner",IF(N459="","Set recovery date","Recovery assigned"))),IF(B459&lt;'Dashboard'!$B$5,"Escalate and record recovery","Work to acceptance standard")))</x:f>
        <x:v>Work to acceptance standard</x:v>
      </x:c>
      <x:c r="T459" s="26" t="str">
        <x:v>T0013; T0055</x:v>
      </x:c>
      <x:c r="U459"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59" s="31" t="n">
        <x:v>7.5</x:v>
      </x:c>
      <x:c r="W459" s="26" t="str"/>
      <x:c r="X459" s="26" t="str">
        <x:v>DSI Reset PDF: lane responsibilities and dated runbook; dated allocation proposed for this tracker.</x:v>
      </x:c>
      <x:c r="Y459" s="30" t="n">
        <x:f>B459-WEEKDAY(B459,2)+1</x:f>
        <x:v>46370</x:v>
      </x:c>
      <x:c r="Z459" s="2" t="str">
        <x:v>capacity</x:v>
      </x:c>
      <x:c r="AA459" s="2" t="n">
        <x:f>IF(Q459=1,IF(P459&gt;B459,1,0),0)</x:f>
        <x:v>0</x:v>
      </x:c>
      <x:c r="AB459" s="2" t="n">
        <x:f>IF(AND(Q459=1,P459&lt;='Dashboard'!$B$5),0,MAX(0,'Dashboard'!$B$5-B459))</x:f>
        <x:v>0</x:v>
      </x:c>
      <x:c r="AC459" s="28" t="str"/>
      <x:c r="AD459" s="2" t="str">
        <x:f>IF(AND(ISNUMBER(F459),ISNUMBER(G459)),G459-F459,"")</x:f>
      </x:c>
      <x:c r="AE459" s="2" t="n">
        <x:f>IF(AND(I459="Accepted",K459&lt;&gt;"",O459&lt;&gt;"",ISNUMBER(P459),P459&gt;0,P459&lt;='Dashboard'!$B$5,IF(ISNUMBER(F459),ISNUMBER(G459),TRUE),IF(ISNUMBER(F459),OR(G459&gt;=F459,AC459&lt;&gt;""),TRUE)),1,0)</x:f>
        <x:v>0</x:v>
      </x:c>
    </x:row>
    <x:row r="460" ht="58" customHeight="1">
      <x:c r="A460" s="2" t="str">
        <x:v>T0489</x:v>
      </x:c>
      <x:c r="B460" s="30" t="n">
        <x:v>46371</x:v>
      </x:c>
      <x:c r="C460" s="2" t="str">
        <x:v>Nic</x:v>
      </x:c>
      <x:c r="D460" s="2" t="str">
        <x:v>Client dependency</x:v>
      </x:c>
      <x:c r="E460" s="26" t="str">
        <x:v>Call outcome/next step for every appointment due; first-case decisions</x:v>
      </x:c>
      <x:c r="F460" s="2" t="str"/>
      <x:c r="G460" s="20"/>
      <x:c r="H460" s="2" t="str">
        <x:v>all due appointments</x:v>
      </x:c>
      <x:c r="I460" s="20" t="str">
        <x:v>Ready</x:v>
      </x:c>
      <x:c r="J460" s="2" t="str">
        <x:v>16:45</x:v>
      </x:c>
      <x:c r="K460" s="28" t="str"/>
      <x:c r="L460" s="28" t="str"/>
      <x:c r="M460" s="20" t="str"/>
      <x:c r="N460" s="33"/>
      <x:c r="O460" s="20" t="str"/>
      <x:c r="P460" s="33"/>
      <x:c r="Q460" s="2" t="n">
        <x:f>IF(AND(AE460=1,COUNTIFS($A$7:$A$500,"T0028",$AE$7:$AE$500,1)=1),1,0)</x:f>
        <x:v>0</x:v>
      </x:c>
      <x:c r="R460" s="2" t="str">
        <x:f>IF(AND(Q460=1,P460&lt;='Dashboard'!$B$5),IF(P460&gt;B460,"Accepted late","Accepted"),IF(B460&lt;'Dashboard'!$B$5,"Overdue",IF(I460="Blocked","Blocked",IF(B460='Dashboard'!$B$5,"Due today","Planned"))))</x:f>
        <x:v>Planned</x:v>
      </x:c>
      <x:c r="S460" s="26" t="str">
        <x:f>IF(I460="Accepted",IF(K460="","Add evidence",IF(O460="","Add reviewer",IF(P460="","Add accepted date",IF(AND(ISNUMBER(F460),COUNT(G460)=0),"Add actual quantity",IF(Q460=0,"Review target / date / dependencies","Complete"))))),IF(OR(I460="Blocked",I460="Deferred"),IF(L460="","Record blocker / reason",IF(M460="","Assign rescue owner",IF(N460="","Set recovery date","Recovery assigned"))),IF(B460&lt;'Dashboard'!$B$5,"Escalate and record recovery","Work to acceptance standard")))</x:f>
        <x:v>Work to acceptance standard</x:v>
      </x:c>
      <x:c r="T460" s="26" t="str">
        <x:v>T0028</x:v>
      </x:c>
      <x:c r="U460" s="26" t="str">
        <x:v>Demand-linked: work actual approved calendar; setter brief present; outcome logged same day. No calls scheduled is N/A with calendar evidence.</x:v>
      </x:c>
      <x:c r="V460" s="31" t="n">
        <x:v>0.5</x:v>
      </x:c>
      <x:c r="W460" s="26" t="str"/>
      <x:c r="X460" s="26" t="str">
        <x:v>DSI Reset PDF: lane responsibilities and dated runbook; dated allocation proposed for this tracker.</x:v>
      </x:c>
      <x:c r="Y460" s="30" t="n">
        <x:f>B460-WEEKDAY(B460,2)+1</x:f>
        <x:v>46370</x:v>
      </x:c>
      <x:c r="Z460" s="2" t="str">
        <x:v>demand</x:v>
      </x:c>
      <x:c r="AA460" s="2" t="n">
        <x:f>IF(Q460=1,IF(P460&gt;B460,1,0),0)</x:f>
        <x:v>0</x:v>
      </x:c>
      <x:c r="AB460" s="2" t="n">
        <x:f>IF(AND(Q460=1,P460&lt;='Dashboard'!$B$5),0,MAX(0,'Dashboard'!$B$5-B460))</x:f>
        <x:v>0</x:v>
      </x:c>
      <x:c r="AC460" s="28" t="str"/>
      <x:c r="AD460" s="2" t="str">
        <x:f>IF(AND(ISNUMBER(F460),ISNUMBER(G460)),G460-F460,"")</x:f>
      </x:c>
      <x:c r="AE460" s="2" t="n">
        <x:f>IF(AND(I460="Accepted",K460&lt;&gt;"",O460&lt;&gt;"",ISNUMBER(P460),P460&gt;0,P460&lt;='Dashboard'!$B$5,IF(ISNUMBER(F460),ISNUMBER(G460),TRUE)),1,0)</x:f>
        <x:v>0</x:v>
      </x:c>
    </x:row>
    <x:row r="461" ht="58" customHeight="1">
      <x:c r="A461" s="2" t="str">
        <x:v>T0490</x:v>
      </x:c>
      <x:c r="B461" s="30" t="n">
        <x:v>46371</x:v>
      </x:c>
      <x:c r="C461" s="2" t="str">
        <x:v>Maseeha</x:v>
      </x:c>
      <x:c r="D461" s="2" t="str">
        <x:v>Client dependency</x:v>
      </x:c>
      <x:c r="E461" s="26" t="str">
        <x:v>Due intro verification; kit/case handoff; delivery/Day-30 dates; credit trigger log</x:v>
      </x:c>
      <x:c r="F461" s="2" t="str"/>
      <x:c r="G461" s="20"/>
      <x:c r="H461" s="2" t="str">
        <x:v>all due cases</x:v>
      </x:c>
      <x:c r="I461" s="20" t="str">
        <x:v>Ready</x:v>
      </x:c>
      <x:c r="J461" s="2" t="str">
        <x:v>16:45</x:v>
      </x:c>
      <x:c r="K461" s="28" t="str"/>
      <x:c r="L461" s="28" t="str"/>
      <x:c r="M461" s="20" t="str"/>
      <x:c r="N461" s="33"/>
      <x:c r="O461" s="20" t="str"/>
      <x:c r="P461" s="33"/>
      <x:c r="Q461" s="2" t="n">
        <x:f>IF(AND(AE461=1,COUNTIFS($A$7:$A$500,"T0028",$AE$7:$AE$500,1)=1),1,0)</x:f>
        <x:v>0</x:v>
      </x:c>
      <x:c r="R461" s="2" t="str">
        <x:f>IF(AND(Q461=1,P461&lt;='Dashboard'!$B$5),IF(P461&gt;B461,"Accepted late","Accepted"),IF(B461&lt;'Dashboard'!$B$5,"Overdue",IF(I461="Blocked","Blocked",IF(B461='Dashboard'!$B$5,"Due today","Planned"))))</x:f>
        <x:v>Planned</x:v>
      </x:c>
      <x:c r="S461" s="26" t="str">
        <x:f>IF(I461="Accepted",IF(K461="","Add evidence",IF(O461="","Add reviewer",IF(P461="","Add accepted date",IF(AND(ISNUMBER(F461),COUNT(G461)=0),"Add actual quantity",IF(Q461=0,"Review target / date / dependencies","Complete"))))),IF(OR(I461="Blocked",I461="Deferred"),IF(L461="","Record blocker / reason",IF(M461="","Assign rescue owner",IF(N461="","Set recovery date","Recovery assigned"))),IF(B461&lt;'Dashboard'!$B$5,"Escalate and record recovery","Work to acceptance standard")))</x:f>
        <x:v>Work to acceptance standard</x:v>
      </x:c>
      <x:c r="T461" s="26" t="str">
        <x:v>T0028</x:v>
      </x:c>
      <x:c r="U461" s="26" t="str">
        <x:v>Demand-linked: referral verification&lt;=2 business days; trial capacity respected; $200 credit only on eligible invoice paid.</x:v>
      </x:c>
      <x:c r="V461" s="31" t="n">
        <x:v>0.5</x:v>
      </x:c>
      <x:c r="W461" s="26" t="str"/>
      <x:c r="X461" s="26" t="str">
        <x:v>DSI Reset PDF: lane responsibilities and dated runbook; dated allocation proposed for this tracker.</x:v>
      </x:c>
      <x:c r="Y461" s="30" t="n">
        <x:f>B461-WEEKDAY(B461,2)+1</x:f>
        <x:v>46370</x:v>
      </x:c>
      <x:c r="Z461" s="2" t="str">
        <x:v>demand</x:v>
      </x:c>
      <x:c r="AA461" s="2" t="n">
        <x:f>IF(Q461=1,IF(P461&gt;B461,1,0),0)</x:f>
        <x:v>0</x:v>
      </x:c>
      <x:c r="AB461" s="2" t="n">
        <x:f>IF(AND(Q461=1,P461&lt;='Dashboard'!$B$5),0,MAX(0,'Dashboard'!$B$5-B461))</x:f>
        <x:v>0</x:v>
      </x:c>
      <x:c r="AC461" s="28" t="str"/>
      <x:c r="AD461" s="2" t="str">
        <x:f>IF(AND(ISNUMBER(F461),ISNUMBER(G461)),G461-F461,"")</x:f>
      </x:c>
      <x:c r="AE461" s="2" t="n">
        <x:f>IF(AND(I461="Accepted",K461&lt;&gt;"",O461&lt;&gt;"",ISNUMBER(P461),P461&gt;0,P461&lt;='Dashboard'!$B$5,IF(ISNUMBER(F461),ISNUMBER(G461),TRUE)),1,0)</x:f>
        <x:v>0</x:v>
      </x:c>
    </x:row>
    <x:row r="462" ht="58" customHeight="1">
      <x:c r="A462" s="2" t="str">
        <x:v>T0394</x:v>
      </x:c>
      <x:c r="B462" s="30" t="n">
        <x:v>46372</x:v>
      </x:c>
      <x:c r="C462" s="2" t="str">
        <x:v>Wyline</x:v>
      </x:c>
      <x:c r="D462" s="2" t="str">
        <x:v>Program Director</x:v>
      </x:c>
      <x:c r="E462" s="26" t="str">
        <x:v>Final scoreboard, accepted work register, renewal recommendation</x:v>
      </x:c>
      <x:c r="F462" s="2" t="n">
        <x:v>1</x:v>
      </x:c>
      <x:c r="G462" s="20"/>
      <x:c r="H462" s="2" t="str">
        <x:v>accepted output</x:v>
      </x:c>
      <x:c r="I462" s="20" t="str">
        <x:v>Ready</x:v>
      </x:c>
      <x:c r="J462" s="2" t="str">
        <x:v>16:45</x:v>
      </x:c>
      <x:c r="K462" s="28" t="str"/>
      <x:c r="L462" s="28" t="str"/>
      <x:c r="M462" s="20" t="str"/>
      <x:c r="N462" s="33"/>
      <x:c r="O462" s="20" t="str"/>
      <x:c r="P462" s="33"/>
      <x:c r="Q462" s="2" t="n">
        <x:f>IF(AND(AE462=1,COUNTIFS($A$7:$A$500,"T0067",$AE$7:$AE$500,1)=1,COUNTIFS($A$7:$A$500,"T0055",$AE$7:$AE$500,1)=1),1,0)</x:f>
        <x:v>0</x:v>
      </x:c>
      <x:c r="R462" s="2" t="str">
        <x:f>IF(AND(Q462=1,P462&lt;='Dashboard'!$B$5),IF(P462&gt;B462,"Accepted late","Accepted"),IF(B462&lt;'Dashboard'!$B$5,"Overdue",IF(I462="Blocked","Blocked",IF(B462='Dashboard'!$B$5,"Due today","Planned"))))</x:f>
        <x:v>Planned</x:v>
      </x:c>
      <x:c r="S462" s="26" t="str">
        <x:f>IF(I462="Accepted",IF(K462="","Add evidence",IF(O462="","Add reviewer",IF(P462="","Add accepted date",IF(AND(ISNUMBER(F462),COUNT(G462)=0),"Add actual quantity",IF(Q462=0,"Review target / date / dependencies","Complete"))))),IF(OR(I462="Blocked",I462="Deferred"),IF(L462="","Record blocker / reason",IF(M462="","Assign rescue owner",IF(N462="","Set recovery date","Recovery assigned"))),IF(B462&lt;'Dashboard'!$B$5,"Escalate and record recovery","Work to acceptance standard")))</x:f>
        <x:v>Work to acceptance standard</x:v>
      </x:c>
      <x:c r="T462" s="26" t="str">
        <x:v>T0067</x:v>
      </x:c>
      <x:c r="U462" s="26" t="str">
        <x:v>Record actual inquiries, bookings, held conversations and received trials. Do not replace missing results with zero or mark unsupported work complete. Every unmet target has a cause, recovery owner and date; future Day-30 reviews remain open.</x:v>
      </x:c>
      <x:c r="V462" s="31" t="n">
        <x:v>3</x:v>
      </x:c>
      <x:c r="W462" s="26" t="str"/>
      <x:c r="X462" s="26" t="str">
        <x:v>DSI Reset PDF: lane responsibilities and dated runbook; dated allocation proposed for this tracker.</x:v>
      </x:c>
      <x:c r="Y462" s="30" t="n">
        <x:f>B462-WEEKDAY(B462,2)+1</x:f>
        <x:v>46370</x:v>
      </x:c>
      <x:c r="Z462" s="2" t="str">
        <x:v>checklist</x:v>
      </x:c>
      <x:c r="AA462" s="2" t="n">
        <x:f>IF(Q462=1,IF(P462&gt;B462,1,0),0)</x:f>
        <x:v>0</x:v>
      </x:c>
      <x:c r="AB462" s="2" t="n">
        <x:f>IF(AND(Q462=1,P462&lt;='Dashboard'!$B$5),0,MAX(0,'Dashboard'!$B$5-B462))</x:f>
        <x:v>0</x:v>
      </x:c>
      <x:c r="AC462" s="28" t="str"/>
      <x:c r="AD462" s="2" t="str">
        <x:f>IF(AND(ISNUMBER(F462),ISNUMBER(G462)),G462-F462,"")</x:f>
      </x:c>
      <x:c r="AE462" s="2" t="n">
        <x:f>IF(AND(I462="Accepted",K462&lt;&gt;"",O462&lt;&gt;"",ISNUMBER(P462),P462&gt;0,P462&lt;='Dashboard'!$B$5,IF(ISNUMBER(F462),ISNUMBER(G462),TRUE),IF(ISNUMBER(F462),G462&gt;=F462,TRUE)),1,0)</x:f>
        <x:v>0</x:v>
      </x:c>
    </x:row>
    <x:row r="463" ht="58" customHeight="1">
      <x:c r="A463" s="2" t="str">
        <x:v>T0395</x:v>
      </x:c>
      <x:c r="B463" s="30" t="n">
        <x:v>46372</x:v>
      </x:c>
      <x:c r="C463" s="2" t="str">
        <x:v>Kenneth</x:v>
      </x:c>
      <x:c r="D463" s="2" t="str">
        <x:v>Message Orchestrator</x:v>
      </x:c>
      <x:c r="E463" s="26" t="str">
        <x:v>Human-reply insights; 5 Inbox draft checks; approved first lines; claim exceptions</x:v>
      </x:c>
      <x:c r="F463" s="2" t="n">
        <x:v>1</x:v>
      </x:c>
      <x:c r="G463" s="20"/>
      <x:c r="H463" s="2" t="str">
        <x:v>accepted output</x:v>
      </x:c>
      <x:c r="I463" s="20" t="str">
        <x:v>Ready</x:v>
      </x:c>
      <x:c r="J463" s="2" t="str">
        <x:v>16:45</x:v>
      </x:c>
      <x:c r="K463" s="28" t="str"/>
      <x:c r="L463" s="28" t="str"/>
      <x:c r="M463" s="20" t="str"/>
      <x:c r="N463" s="33"/>
      <x:c r="O463" s="20" t="str"/>
      <x:c r="P463" s="33"/>
      <x:c r="Q463" s="2" t="n">
        <x:f>IF(AND(AE463=1,COUNTIFS($A$7:$A$500,"T0067",$AE$7:$AE$500,1)=1,COUNTIFS($A$7:$A$500,"T0055",$AE$7:$AE$500,1)=1),1,0)</x:f>
        <x:v>0</x:v>
      </x:c>
      <x:c r="R463" s="2" t="str">
        <x:f>IF(AND(Q463=1,P463&lt;='Dashboard'!$B$5),IF(P463&gt;B463,"Accepted late","Accepted"),IF(B463&lt;'Dashboard'!$B$5,"Overdue",IF(I463="Blocked","Blocked",IF(B463='Dashboard'!$B$5,"Due today","Planned"))))</x:f>
        <x:v>Planned</x:v>
      </x:c>
      <x:c r="S463" s="26" t="str">
        <x:f>IF(I463="Accepted",IF(K463="","Add evidence",IF(O463="","Add reviewer",IF(P463="","Add accepted date",IF(AND(ISNUMBER(F463),COUNT(G463)=0),"Add actual quantity",IF(Q463=0,"Review target / date / dependencies","Complete"))))),IF(OR(I463="Blocked",I463="Deferred"),IF(L463="","Record blocker / reason",IF(M463="","Assign rescue owner",IF(N463="","Set recovery date","Recovery assigned"))),IF(B463&lt;'Dashboard'!$B$5,"Escalate and record recovery","Work to acceptance standard")))</x:f>
        <x:v>Work to acceptance standard</x:v>
      </x:c>
      <x:c r="T463" s="26" t="str">
        <x:v>T0067</x:v>
      </x:c>
      <x:c r="U463" s="26" t="str">
        <x:v>Zero invented claims. If any draft fails facts, stop drafting/retrain; no offer change without approval.</x:v>
      </x:c>
      <x:c r="V463" s="31" t="n">
        <x:v>2.4</x:v>
      </x:c>
      <x:c r="W463" s="26" t="str"/>
      <x:c r="X463" s="26" t="str">
        <x:v>DSI Reset PDF: lane responsibilities and dated runbook; dated allocation proposed for this tracker.</x:v>
      </x:c>
      <x:c r="Y463" s="30" t="n">
        <x:f>B463-WEEKDAY(B463,2)+1</x:f>
        <x:v>46370</x:v>
      </x:c>
      <x:c r="Z463" s="2" t="str">
        <x:v>checklist</x:v>
      </x:c>
      <x:c r="AA463" s="2" t="n">
        <x:f>IF(Q463=1,IF(P463&gt;B463,1,0),0)</x:f>
        <x:v>0</x:v>
      </x:c>
      <x:c r="AB463" s="2" t="n">
        <x:f>IF(AND(Q463=1,P463&lt;='Dashboard'!$B$5),0,MAX(0,'Dashboard'!$B$5-B463))</x:f>
        <x:v>0</x:v>
      </x:c>
      <x:c r="AC463" s="28" t="str"/>
      <x:c r="AD463" s="2" t="str">
        <x:f>IF(AND(ISNUMBER(F463),ISNUMBER(G463)),G463-F463,"")</x:f>
      </x:c>
      <x:c r="AE463" s="2" t="n">
        <x:f>IF(AND(I463="Accepted",K463&lt;&gt;"",O463&lt;&gt;"",ISNUMBER(P463),P463&gt;0,P463&lt;='Dashboard'!$B$5,IF(ISNUMBER(F463),ISNUMBER(G463),TRUE),IF(ISNUMBER(F463),G463&gt;=F463,TRUE)),1,0)</x:f>
        <x:v>0</x:v>
      </x:c>
    </x:row>
    <x:row r="464" ht="58" customHeight="1">
      <x:c r="A464" s="2" t="str">
        <x:v>T0396</x:v>
      </x:c>
      <x:c r="B464" s="30" t="n">
        <x:v>46372</x:v>
      </x:c>
      <x:c r="C464" s="2" t="str">
        <x:v>Joey</x:v>
      </x:c>
      <x:c r="D464" s="2" t="str">
        <x:v>Data Orchestrator</x:v>
      </x:c>
      <x:c r="E464" s="26" t="str">
        <x:v>Final approved queue and suppression export.</x:v>
      </x:c>
      <x:c r="F464" s="2" t="n">
        <x:v>1</x:v>
      </x:c>
      <x:c r="G464" s="20"/>
      <x:c r="H464" s="2" t="str">
        <x:v>verified queue and health check</x:v>
      </x:c>
      <x:c r="I464" s="20" t="str">
        <x:v>Ready</x:v>
      </x:c>
      <x:c r="J464" s="2" t="str">
        <x:v>16:45</x:v>
      </x:c>
      <x:c r="K464" s="28" t="str"/>
      <x:c r="L464" s="28" t="str"/>
      <x:c r="M464" s="20" t="str"/>
      <x:c r="N464" s="33"/>
      <x:c r="O464" s="20" t="str"/>
      <x:c r="P464" s="33"/>
      <x:c r="Q464" s="2" t="n">
        <x:f>IF(AND(AE464=1,COUNTIFS($A$7:$A$500,"T0067",$AE$7:$AE$500,1)=1,COUNTIFS($A$7:$A$500,"T0055",$AE$7:$AE$500,1)=1),1,0)</x:f>
        <x:v>0</x:v>
      </x:c>
      <x:c r="R464" s="2" t="str">
        <x:f>IF(AND(Q464=1,P464&lt;='Dashboard'!$B$5),IF(P464&gt;B464,"Accepted late","Accepted"),IF(B464&lt;'Dashboard'!$B$5,"Overdue",IF(I464="Blocked","Blocked",IF(B464='Dashboard'!$B$5,"Due today","Planned"))))</x:f>
        <x:v>Planned</x:v>
      </x:c>
      <x:c r="S464" s="26" t="str">
        <x:f>IF(I464="Accepted",IF(K464="","Add evidence",IF(O464="","Add reviewer",IF(P464="","Add accepted date",IF(AND(ISNUMBER(F464),COUNT(G464)=0),"Add actual quantity",IF(Q464=0,"Review target / date / dependencies","Complete"))))),IF(OR(I464="Blocked",I464="Deferred"),IF(L464="","Record blocker / reason",IF(M464="","Assign rescue owner",IF(N464="","Set recovery date","Recovery assigned"))),IF(B464&lt;'Dashboard'!$B$5,"Escalate and record recovery","Work to acceptance standard")))</x:f>
        <x:v>Work to acceptance standard</x:v>
      </x:c>
      <x:c r="T464" s="26" t="str">
        <x:v>T0067</x:v>
      </x:c>
      <x:c r="U464" s="26" t="str">
        <x:v>No new cold sends after Dec 16; reply/callback follow-through continues as rostered.</x:v>
      </x:c>
      <x:c r="V464" s="31" t="n">
        <x:v>3</x:v>
      </x:c>
      <x:c r="W464" s="26" t="str"/>
      <x:c r="X464" s="26" t="str">
        <x:v>DSI Reset PDF: lane responsibilities and dated runbook; dated allocation proposed for this tracker.</x:v>
      </x:c>
      <x:c r="Y464" s="30" t="n">
        <x:f>B464-WEEKDAY(B464,2)+1</x:f>
        <x:v>46370</x:v>
      </x:c>
      <x:c r="Z464" s="2" t="str">
        <x:v>checklist</x:v>
      </x:c>
      <x:c r="AA464" s="2" t="n">
        <x:f>IF(Q464=1,IF(P464&gt;B464,1,0),0)</x:f>
        <x:v>0</x:v>
      </x:c>
      <x:c r="AB464" s="2" t="n">
        <x:f>IF(AND(Q464=1,P464&lt;='Dashboard'!$B$5),0,MAX(0,'Dashboard'!$B$5-B464))</x:f>
        <x:v>0</x:v>
      </x:c>
      <x:c r="AC464" s="28" t="str"/>
      <x:c r="AD464" s="2" t="str">
        <x:f>IF(AND(ISNUMBER(F464),ISNUMBER(G464)),G464-F464,"")</x:f>
      </x:c>
      <x:c r="AE464" s="2" t="n">
        <x:f>IF(AND(I464="Accepted",K464&lt;&gt;"",O464&lt;&gt;"",ISNUMBER(P464),P464&gt;0,P464&lt;='Dashboard'!$B$5,IF(ISNUMBER(F464),ISNUMBER(G464),TRUE),IF(ISNUMBER(F464),G464&gt;=F464,TRUE)),1,0)</x:f>
        <x:v>0</x:v>
      </x:c>
    </x:row>
    <x:row r="465" ht="58" customHeight="1">
      <x:c r="A465" s="2" t="str">
        <x:v>T0397</x:v>
      </x:c>
      <x:c r="B465" s="30" t="n">
        <x:v>46372</x:v>
      </x:c>
      <x:c r="C465" s="2" t="str">
        <x:v>Nova</x:v>
      </x:c>
      <x:c r="D465" s="2" t="str">
        <x:v>Conversion Orchestrator</x:v>
      </x:c>
      <x:c r="E465" s="26" t="str">
        <x:v>Coverage/SLA evidence; 2 call reviews; booked/held updates; next-step and trial handoffs. Log each unique qualified inquiry with practice type, decision-maker access, case volume, service need and readiness timing.</x:v>
      </x:c>
      <x:c r="F465" s="2" t="n">
        <x:v>1</x:v>
      </x:c>
      <x:c r="G465" s="20"/>
      <x:c r="H465" s="2" t="str">
        <x:v>accepted output</x:v>
      </x:c>
      <x:c r="I465" s="20" t="str">
        <x:v>Ready</x:v>
      </x:c>
      <x:c r="J465" s="2" t="str">
        <x:v>16:45</x:v>
      </x:c>
      <x:c r="K465" s="28" t="str"/>
      <x:c r="L465" s="28" t="str"/>
      <x:c r="M465" s="20" t="str"/>
      <x:c r="N465" s="33"/>
      <x:c r="O465" s="20" t="str"/>
      <x:c r="P465" s="33"/>
      <x:c r="Q465" s="2" t="n">
        <x:f>IF(AND(AE465=1,COUNTIFS($A$7:$A$500,"T0067",$AE$7:$AE$500,1)=1,COUNTIFS($A$7:$A$500,"T0055",$AE$7:$AE$500,1)=1),1,0)</x:f>
        <x:v>0</x:v>
      </x:c>
      <x:c r="R465" s="2" t="str">
        <x:f>IF(AND(Q465=1,P465&lt;='Dashboard'!$B$5),IF(P465&gt;B465,"Accepted late","Accepted"),IF(B465&lt;'Dashboard'!$B$5,"Overdue",IF(I465="Blocked","Blocked",IF(B465='Dashboard'!$B$5,"Due today","Planned"))))</x:f>
        <x:v>Planned</x:v>
      </x:c>
      <x:c r="S465" s="26" t="str">
        <x:f>IF(I465="Accepted",IF(K465="","Add evidence",IF(O465="","Add reviewer",IF(P465="","Add accepted date",IF(AND(ISNUMBER(F465),COUNT(G465)=0),"Add actual quantity",IF(Q465=0,"Review target / date / dependencies","Complete"))))),IF(OR(I465="Blocked",I465="Deferred"),IF(L465="","Record blocker / reason",IF(M465="","Assign rescue owner",IF(N465="","Set recovery date","Recovery assigned"))),IF(B465&lt;'Dashboard'!$B$5,"Escalate and record recovery","Work to acceptance standard")))</x:f>
        <x:v>Work to acceptance standard</x:v>
      </x:c>
      <x:c r="T465" s="26" t="str">
        <x:v>T0067</x:v>
      </x:c>
      <x:c r="U465" s="26" t="str">
        <x:v>Every eligible reply&lt;=15 min; positive call&lt;=60 min; no opportunity without next step; booked brief to Nic; trial logistics to Maseeha. Raw contacts, opens and accepts never count as qualified inquiries; deduplicate across channels.</x:v>
      </x:c>
      <x:c r="V465" s="31" t="n">
        <x:v>4</x:v>
      </x:c>
      <x:c r="W465" s="26" t="str"/>
      <x:c r="X465" s="26" t="str">
        <x:v>DSI Reset PDF: lane responsibilities and dated runbook; dated allocation proposed for this tracker.</x:v>
      </x:c>
      <x:c r="Y465" s="30" t="n">
        <x:f>B465-WEEKDAY(B465,2)+1</x:f>
        <x:v>46370</x:v>
      </x:c>
      <x:c r="Z465" s="2" t="str">
        <x:v>checklist</x:v>
      </x:c>
      <x:c r="AA465" s="2" t="n">
        <x:f>IF(Q465=1,IF(P465&gt;B465,1,0),0)</x:f>
        <x:v>0</x:v>
      </x:c>
      <x:c r="AB465" s="2" t="n">
        <x:f>IF(AND(Q465=1,P465&lt;='Dashboard'!$B$5),0,MAX(0,'Dashboard'!$B$5-B465))</x:f>
        <x:v>0</x:v>
      </x:c>
      <x:c r="AC465" s="28" t="str"/>
      <x:c r="AD465" s="2" t="str">
        <x:f>IF(AND(ISNUMBER(F465),ISNUMBER(G465)),G465-F465,"")</x:f>
      </x:c>
      <x:c r="AE465" s="2" t="n">
        <x:f>IF(AND(I465="Accepted",K465&lt;&gt;"",O465&lt;&gt;"",ISNUMBER(P465),P465&gt;0,P465&lt;='Dashboard'!$B$5,IF(ISNUMBER(F465),ISNUMBER(G465),TRUE),IF(ISNUMBER(F465),G465&gt;=F465,TRUE)),1,0)</x:f>
        <x:v>0</x:v>
      </x:c>
    </x:row>
    <x:row r="466" ht="58" customHeight="1">
      <x:c r="A466" s="2" t="str">
        <x:v>T0398</x:v>
      </x:c>
      <x:c r="B466" s="30" t="n">
        <x:v>46372</x:v>
      </x:c>
      <x:c r="C466" s="2" t="str">
        <x:v>Emman</x:v>
      </x:c>
      <x:c r="D466" s="2" t="str">
        <x:v>AI Build Orchestrator</x:v>
      </x:c>
      <x:c r="E466" s="26" t="str">
        <x:v>Health/retry log; one acceptance-backed build increment; updated change log</x:v>
      </x:c>
      <x:c r="F466" s="2" t="n">
        <x:v>1</x:v>
      </x:c>
      <x:c r="G466" s="20"/>
      <x:c r="H466" s="2" t="str">
        <x:v>accepted output</x:v>
      </x:c>
      <x:c r="I466" s="20" t="str">
        <x:v>Ready</x:v>
      </x:c>
      <x:c r="J466" s="2" t="str">
        <x:v>16:45</x:v>
      </x:c>
      <x:c r="K466" s="28" t="str"/>
      <x:c r="L466" s="28" t="str"/>
      <x:c r="M466" s="20" t="str"/>
      <x:c r="N466" s="33"/>
      <x:c r="O466" s="20" t="str"/>
      <x:c r="P466" s="33"/>
      <x:c r="Q466" s="2" t="n">
        <x:f>IF(AND(AE466=1,COUNTIFS($A$7:$A$500,"T0067",$AE$7:$AE$500,1)=1,COUNTIFS($A$7:$A$500,"T0055",$AE$7:$AE$500,1)=1),1,0)</x:f>
        <x:v>0</x:v>
      </x:c>
      <x:c r="R466" s="2" t="str">
        <x:f>IF(AND(Q466=1,P466&lt;='Dashboard'!$B$5),IF(P466&gt;B466,"Accepted late","Accepted"),IF(B466&lt;'Dashboard'!$B$5,"Overdue",IF(I466="Blocked","Blocked",IF(B466='Dashboard'!$B$5,"Due today","Planned"))))</x:f>
        <x:v>Planned</x:v>
      </x:c>
      <x:c r="S466" s="26" t="str">
        <x:f>IF(I466="Accepted",IF(K466="","Add evidence",IF(O466="","Add reviewer",IF(P466="","Add accepted date",IF(AND(ISNUMBER(F466),COUNT(G466)=0),"Add actual quantity",IF(Q466=0,"Review target / date / dependencies","Complete"))))),IF(OR(I466="Blocked",I466="Deferred"),IF(L466="","Record blocker / reason",IF(M466="","Assign rescue owner",IF(N466="","Set recovery date","Recovery assigned"))),IF(B466&lt;'Dashboard'!$B$5,"Escalate and record recovery","Work to acceptance standard")))</x:f>
        <x:v>Work to acceptance standard</x:v>
      </x:c>
      <x:c r="T466" s="26" t="str">
        <x:v>T0067</x:v>
      </x:c>
      <x:c r="U466" s="26" t="str">
        <x:v>Fix a failing live agent beforestarting the next build. If an agent is still not working 48 hours after its due date, activate the manual SOP. Roll back a live failure within 1 hour. Release build reserve when no approved work remains.</x:v>
      </x:c>
      <x:c r="V466" s="31" t="n">
        <x:v>4</x:v>
      </x:c>
      <x:c r="W466" s="26" t="str"/>
      <x:c r="X466" s="26" t="str">
        <x:v>DSI Reset PDF: lane responsibilities and dated runbook; dated allocation proposed for this tracker.</x:v>
      </x:c>
      <x:c r="Y466" s="30" t="n">
        <x:f>B466-WEEKDAY(B466,2)+1</x:f>
        <x:v>46370</x:v>
      </x:c>
      <x:c r="Z466" s="2" t="str">
        <x:v>checklist</x:v>
      </x:c>
      <x:c r="AA466" s="2" t="n">
        <x:f>IF(Q466=1,IF(P466&gt;B466,1,0),0)</x:f>
        <x:v>0</x:v>
      </x:c>
      <x:c r="AB466" s="2" t="n">
        <x:f>IF(AND(Q466=1,P466&lt;='Dashboard'!$B$5),0,MAX(0,'Dashboard'!$B$5-B466))</x:f>
        <x:v>0</x:v>
      </x:c>
      <x:c r="AC466" s="28" t="str"/>
      <x:c r="AD466" s="2" t="str">
        <x:f>IF(AND(ISNUMBER(F466),ISNUMBER(G466)),G466-F466,"")</x:f>
      </x:c>
      <x:c r="AE466" s="2" t="n">
        <x:f>IF(AND(I466="Accepted",K466&lt;&gt;"",O466&lt;&gt;"",ISNUMBER(P466),P466&gt;0,P466&lt;='Dashboard'!$B$5,IF(ISNUMBER(F466),ISNUMBER(G466),TRUE),IF(ISNUMBER(F466),G466&gt;=F466,TRUE)),1,0)</x:f>
        <x:v>0</x:v>
      </x:c>
    </x:row>
    <x:row r="467" ht="58" customHeight="1">
      <x:c r="A467" s="2" t="str">
        <x:v>T0399</x:v>
      </x:c>
      <x:c r="B467" s="30" t="n">
        <x:v>46372</x:v>
      </x:c>
      <x:c r="C467" s="2" t="str">
        <x:v>Ludwig</x:v>
      </x:c>
      <x:c r="D467" s="2" t="str">
        <x:v>Integration Engineer</x:v>
      </x:c>
      <x:c r="E467" s="26" t="str">
        <x:v>Webhook/error/dead-letter check; top assigned integration ticket or verified no-ticket note</x:v>
      </x:c>
      <x:c r="F467" s="2" t="n">
        <x:v>1</x:v>
      </x:c>
      <x:c r="G467" s="20"/>
      <x:c r="H467" s="2" t="str">
        <x:v>accepted output</x:v>
      </x:c>
      <x:c r="I467" s="20" t="str">
        <x:v>Ready</x:v>
      </x:c>
      <x:c r="J467" s="2" t="str">
        <x:v>16:45</x:v>
      </x:c>
      <x:c r="K467" s="28" t="str"/>
      <x:c r="L467" s="28" t="str"/>
      <x:c r="M467" s="20" t="str"/>
      <x:c r="N467" s="33"/>
      <x:c r="O467" s="20" t="str"/>
      <x:c r="P467" s="33"/>
      <x:c r="Q467" s="2" t="n">
        <x:f>IF(AND(AE467=1,COUNTIFS($A$7:$A$500,"T0067",$AE$7:$AE$500,1)=1,COUNTIFS($A$7:$A$500,"T0055",$AE$7:$AE$500,1)=1),1,0)</x:f>
        <x:v>0</x:v>
      </x:c>
      <x:c r="R467" s="2" t="str">
        <x:f>IF(AND(Q467=1,P467&lt;='Dashboard'!$B$5),IF(P467&gt;B467,"Accepted late","Accepted"),IF(B467&lt;'Dashboard'!$B$5,"Overdue",IF(I467="Blocked","Blocked",IF(B467='Dashboard'!$B$5,"Due today","Planned"))))</x:f>
        <x:v>Planned</x:v>
      </x:c>
      <x:c r="S467" s="26" t="str">
        <x:f>IF(I467="Accepted",IF(K467="","Add evidence",IF(O467="","Add reviewer",IF(P467="","Add accepted date",IF(AND(ISNUMBER(F467),COUNT(G467)=0),"Add actual quantity",IF(Q467=0,"Review target / date / dependencies","Complete"))))),IF(OR(I467="Blocked",I467="Deferred"),IF(L467="","Record blocker / reason",IF(M467="","Assign rescue owner",IF(N467="","Set recovery date","Recovery assigned"))),IF(B467&lt;'Dashboard'!$B$5,"Escalate and record recovery","Work to acceptance standard")))</x:f>
        <x:v>Work to acceptance standard</x:v>
      </x:c>
      <x:c r="T467" s="26" t="str">
        <x:v>T0067</x:v>
      </x:c>
      <x:c r="U467" s="26" t="str">
        <x:v>Only Emman’s priority queue; 100% test capture; runbook/retry/rollback evidence. If no fault/ticket, release reserve; do not invent work.</x:v>
      </x:c>
      <x:c r="V467" s="31" t="n">
        <x:v>1.6</x:v>
      </x:c>
      <x:c r="W467" s="26" t="str"/>
      <x:c r="X467" s="26" t="str">
        <x:v>DSI Reset PDF: lane responsibilities and dated runbook; dated allocation proposed for this tracker.</x:v>
      </x:c>
      <x:c r="Y467" s="30" t="n">
        <x:f>B467-WEEKDAY(B467,2)+1</x:f>
        <x:v>46370</x:v>
      </x:c>
      <x:c r="Z467" s="2" t="str">
        <x:v>checklist</x:v>
      </x:c>
      <x:c r="AA467" s="2" t="n">
        <x:f>IF(Q467=1,IF(P467&gt;B467,1,0),0)</x:f>
        <x:v>0</x:v>
      </x:c>
      <x:c r="AB467" s="2" t="n">
        <x:f>IF(AND(Q467=1,P467&lt;='Dashboard'!$B$5),0,MAX(0,'Dashboard'!$B$5-B467))</x:f>
        <x:v>0</x:v>
      </x:c>
      <x:c r="AC467" s="28" t="str"/>
      <x:c r="AD467" s="2" t="str">
        <x:f>IF(AND(ISNUMBER(F467),ISNUMBER(G467)),G467-F467,"")</x:f>
      </x:c>
      <x:c r="AE467" s="2" t="n">
        <x:f>IF(AND(I467="Accepted",K467&lt;&gt;"",O467&lt;&gt;"",ISNUMBER(P467),P467&gt;0,P467&lt;='Dashboard'!$B$5,IF(ISNUMBER(F467),ISNUMBER(G467),TRUE),IF(ISNUMBER(F467),G467&gt;=F467,TRUE)),1,0)</x:f>
        <x:v>0</x:v>
      </x:c>
    </x:row>
    <x:row r="468" ht="58" customHeight="1">
      <x:c r="A468" s="2" t="str">
        <x:v>T0400</x:v>
      </x:c>
      <x:c r="B468" s="30" t="n">
        <x:v>46372</x:v>
      </x:c>
      <x:c r="C468" s="2" t="str">
        <x:v>Alvin</x:v>
      </x:c>
      <x:c r="D468" s="2" t="str">
        <x:v>CQL/GHL Implementation</x:v>
      </x:c>
      <x:c r="E468" s="26" t="str">
        <x:v>Stage/calendar/reminder QA; due workflow fixes; approved post mirrors/evidence Publish approved post SOC19 (Promote); capture the live URL.</x:v>
      </x:c>
      <x:c r="F468" s="2" t="n">
        <x:v>1</x:v>
      </x:c>
      <x:c r="G468" s="20"/>
      <x:c r="H468" s="2" t="str">
        <x:v>accepted output</x:v>
      </x:c>
      <x:c r="I468" s="20" t="str">
        <x:v>Ready</x:v>
      </x:c>
      <x:c r="J468" s="2" t="str">
        <x:v>16:45</x:v>
      </x:c>
      <x:c r="K468" s="28" t="str"/>
      <x:c r="L468" s="28" t="str"/>
      <x:c r="M468" s="20" t="str"/>
      <x:c r="N468" s="33"/>
      <x:c r="O468" s="20" t="str"/>
      <x:c r="P468" s="33"/>
      <x:c r="Q468" s="2" t="n">
        <x:f>IF(AND(AE468=1,COUNTIFS($A$7:$A$500,"T0067",$AE$7:$AE$500,1)=1,COUNTIFS($A$7:$A$500,"T0055",$AE$7:$AE$500,1)=1),1,0)</x:f>
        <x:v>0</x:v>
      </x:c>
      <x:c r="R468" s="2" t="str">
        <x:f>IF(AND(Q468=1,P468&lt;='Dashboard'!$B$5),IF(P468&gt;B468,"Accepted late","Accepted"),IF(B468&lt;'Dashboard'!$B$5,"Overdue",IF(I468="Blocked","Blocked",IF(B468='Dashboard'!$B$5,"Due today","Planned"))))</x:f>
        <x:v>Planned</x:v>
      </x:c>
      <x:c r="S468" s="26" t="str">
        <x:f>IF(I468="Accepted",IF(K468="","Add evidence",IF(O468="","Add reviewer",IF(P468="","Add accepted date",IF(AND(ISNUMBER(F468),COUNT(G468)=0),"Add actual quantity",IF(Q468=0,"Review target / date / dependencies","Complete"))))),IF(OR(I468="Blocked",I468="Deferred"),IF(L468="","Record blocker / reason",IF(M468="","Assign rescue owner",IF(N468="","Set recovery date","Recovery assigned"))),IF(B468&lt;'Dashboard'!$B$5,"Escalate and record recovery","Work to acceptance standard")))</x:f>
        <x:v>Work to acceptance standard</x:v>
      </x:c>
      <x:c r="T468" s="26" t="str">
        <x:v>T0067</x:v>
      </x:c>
      <x:c r="U468" s="26" t="str">
        <x:v>No-show task&lt;=10 min; form/source fields correct; finish critical CRM defect same day. Facebook mirrors exact approved post; Instagram requires permissioned image.</x:v>
      </x:c>
      <x:c r="V468" s="31" t="n">
        <x:v>2</x:v>
      </x:c>
      <x:c r="W468" s="26" t="str"/>
      <x:c r="X468" s="26" t="str">
        <x:v>DSI Reset PDF: lane responsibilities and dated runbook; dated allocation proposed for this tracker.</x:v>
      </x:c>
      <x:c r="Y468" s="30" t="n">
        <x:f>B468-WEEKDAY(B468,2)+1</x:f>
        <x:v>46370</x:v>
      </x:c>
      <x:c r="Z468" s="2" t="str">
        <x:v>checklist</x:v>
      </x:c>
      <x:c r="AA468" s="2" t="n">
        <x:f>IF(Q468=1,IF(P468&gt;B468,1,0),0)</x:f>
        <x:v>0</x:v>
      </x:c>
      <x:c r="AB468" s="2" t="n">
        <x:f>IF(AND(Q468=1,P468&lt;='Dashboard'!$B$5),0,MAX(0,'Dashboard'!$B$5-B468))</x:f>
        <x:v>0</x:v>
      </x:c>
      <x:c r="AC468" s="28" t="str"/>
      <x:c r="AD468" s="2" t="str">
        <x:f>IF(AND(ISNUMBER(F468),ISNUMBER(G468)),G468-F468,"")</x:f>
      </x:c>
      <x:c r="AE468" s="2" t="n">
        <x:f>IF(AND(I468="Accepted",K468&lt;&gt;"",O468&lt;&gt;"",ISNUMBER(P468),P468&gt;0,P468&lt;='Dashboard'!$B$5,IF(ISNUMBER(F468),ISNUMBER(G468),TRUE),IF(ISNUMBER(F468),G468&gt;=F468,TRUE)),1,0)</x:f>
        <x:v>0</x:v>
      </x:c>
    </x:row>
    <x:row r="469" ht="58" customHeight="1">
      <x:c r="A469" s="2" t="str">
        <x:v>T0401</x:v>
      </x:c>
      <x:c r="B469" s="30" t="n">
        <x:v>46372</x:v>
      </x:c>
      <x:c r="C469" s="2" t="str">
        <x:v>Brian</x:v>
      </x:c>
      <x:c r="D469" s="2" t="str">
        <x:v>Web and Tracking</x:v>
      </x:c>
      <x:c r="E469" s="26" t="str">
        <x:v>One health-check result; at most one weekly change ticket or no-ticket note</x:v>
      </x:c>
      <x:c r="F469" s="2" t="n">
        <x:v>1</x:v>
      </x:c>
      <x:c r="G469" s="20"/>
      <x:c r="H469" s="2" t="str">
        <x:v>accepted output</x:v>
      </x:c>
      <x:c r="I469" s="20" t="str">
        <x:v>Ready</x:v>
      </x:c>
      <x:c r="J469" s="2" t="str">
        <x:v>16:45</x:v>
      </x:c>
      <x:c r="K469" s="28" t="str"/>
      <x:c r="L469" s="28" t="str"/>
      <x:c r="M469" s="20" t="str"/>
      <x:c r="N469" s="33"/>
      <x:c r="O469" s="20" t="str"/>
      <x:c r="P469" s="33"/>
      <x:c r="Q469" s="2" t="n">
        <x:f>IF(AND(AE469=1,COUNTIFS($A$7:$A$500,"T0067",$AE$7:$AE$500,1)=1,COUNTIFS($A$7:$A$500,"T0055",$AE$7:$AE$500,1)=1),1,0)</x:f>
        <x:v>0</x:v>
      </x:c>
      <x:c r="R469" s="2" t="str">
        <x:f>IF(AND(Q469=1,P469&lt;='Dashboard'!$B$5),IF(P469&gt;B469,"Accepted late","Accepted"),IF(B469&lt;'Dashboard'!$B$5,"Overdue",IF(I469="Blocked","Blocked",IF(B469='Dashboard'!$B$5,"Due today","Planned"))))</x:f>
        <x:v>Planned</x:v>
      </x:c>
      <x:c r="S469" s="26" t="str">
        <x:f>IF(I469="Accepted",IF(K469="","Add evidence",IF(O469="","Add reviewer",IF(P469="","Add accepted date",IF(AND(ISNUMBER(F469),COUNT(G469)=0),"Add actual quantity",IF(Q469=0,"Review target / date / dependencies","Complete"))))),IF(OR(I469="Blocked",I469="Deferred"),IF(L469="","Record blocker / reason",IF(M469="","Assign rescue owner",IF(N469="","Set recovery date","Recovery assigned"))),IF(B469&lt;'Dashboard'!$B$5,"Escalate and record recovery","Work to acceptance standard")))</x:f>
        <x:v>Work to acceptance standard</x:v>
      </x:c>
      <x:c r="T469" s="26" t="str">
        <x:v>T0067</x:v>
      </x:c>
      <x:c r="U469" s="26" t="str">
        <x:v>Form to CQL&lt;1 min; approved copy unchanged; no work manufactured if healthy; ongoing reserve&lt;=2 h/week.</x:v>
      </x:c>
      <x:c r="V469" s="31" t="n">
        <x:v>0.4</x:v>
      </x:c>
      <x:c r="W469" s="26" t="str"/>
      <x:c r="X469" s="26" t="str">
        <x:v>DSI Reset PDF: lane responsibilities and dated runbook; dated allocation proposed for this tracker.</x:v>
      </x:c>
      <x:c r="Y469" s="30" t="n">
        <x:f>B469-WEEKDAY(B469,2)+1</x:f>
        <x:v>46370</x:v>
      </x:c>
      <x:c r="Z469" s="2" t="str">
        <x:v>checklist</x:v>
      </x:c>
      <x:c r="AA469" s="2" t="n">
        <x:f>IF(Q469=1,IF(P469&gt;B469,1,0),0)</x:f>
        <x:v>0</x:v>
      </x:c>
      <x:c r="AB469" s="2" t="n">
        <x:f>IF(AND(Q469=1,P469&lt;='Dashboard'!$B$5),0,MAX(0,'Dashboard'!$B$5-B469))</x:f>
        <x:v>0</x:v>
      </x:c>
      <x:c r="AC469" s="28" t="str"/>
      <x:c r="AD469" s="2" t="str">
        <x:f>IF(AND(ISNUMBER(F469),ISNUMBER(G469)),G469-F469,"")</x:f>
      </x:c>
      <x:c r="AE469" s="2" t="n">
        <x:f>IF(AND(I469="Accepted",K469&lt;&gt;"",O469&lt;&gt;"",ISNUMBER(P469),P469&gt;0,P469&lt;='Dashboard'!$B$5,IF(ISNUMBER(F469),ISNUMBER(G469),TRUE),IF(ISNUMBER(F469),G469&gt;=F469,TRUE)),1,0)</x:f>
        <x:v>0</x:v>
      </x:c>
    </x:row>
    <x:row r="470" ht="58" customHeight="1">
      <x:c r="A470" s="2" t="str">
        <x:v>T0402</x:v>
      </x:c>
      <x:c r="B470" s="30" t="n">
        <x:v>46372</x:v>
      </x:c>
      <x:c r="C470" s="2" t="str">
        <x:v>Dexter</x:v>
      </x:c>
      <x:c r="D470" s="2" t="str">
        <x:v>LinkedIn Execution</x:v>
      </x:c>
      <x:c r="E470" s="26" t="str">
        <x:v>CQL logged DMs/accepts; eligible requests; referred interested replies; approved post evidence Publish approved post SOC19 (Promote); capture the live URL.</x:v>
      </x:c>
      <x:c r="F470" s="2" t="n">
        <x:v>25</x:v>
      </x:c>
      <x:c r="G470" s="20"/>
      <x:c r="H470" s="2" t="str">
        <x:v>new request working target; eligible pool required</x:v>
      </x:c>
      <x:c r="I470" s="20" t="str">
        <x:v>Ready</x:v>
      </x:c>
      <x:c r="J470" s="2" t="str">
        <x:v>16:45</x:v>
      </x:c>
      <x:c r="K470" s="28" t="str"/>
      <x:c r="L470" s="28" t="str"/>
      <x:c r="M470" s="20" t="str"/>
      <x:c r="N470" s="33"/>
      <x:c r="O470" s="20" t="str"/>
      <x:c r="P470" s="33"/>
      <x:c r="Q470" s="2" t="n">
        <x:f>IF(AND(AE470=1,COUNTIFS($A$7:$A$500,"T0067",$AE$7:$AE$500,1)=1,COUNTIFS($A$7:$A$500,"T0055",$AE$7:$AE$500,1)=1),1,0)</x:f>
        <x:v>0</x:v>
      </x:c>
      <x:c r="R470" s="2" t="str">
        <x:f>IF(AND(Q470=1,P470&lt;='Dashboard'!$B$5),IF(P470&gt;B470,"Accepted late","Accepted"),IF(B470&lt;'Dashboard'!$B$5,"Overdue",IF(I470="Blocked","Blocked",IF(B470='Dashboard'!$B$5,"Due today","Planned"))))</x:f>
        <x:v>Planned</x:v>
      </x:c>
      <x:c r="S470" s="26" t="str">
        <x:f>IF(I470="Accepted",IF(K470="","Add evidence",IF(O470="","Add reviewer",IF(P470="","Add accepted date",IF(AND(ISNUMBER(F470),COUNT(G470)=0),"Add actual quantity",IF(Q470=0,"Review target / date / dependencies","Complete"))))),IF(OR(I470="Blocked",I470="Deferred"),IF(L470="","Record blocker / reason",IF(M470="","Assign rescue owner",IF(N470="","Set recovery date","Recovery assigned"))),IF(B470&lt;'Dashboard'!$B$5,"Escalate and record recovery","Work to acceptance standard")))</x:f>
        <x:v>Work to acceptance standard</x:v>
      </x:c>
      <x:c r="T470" s="26" t="str">
        <x:v>T0067</x:v>
      </x:c>
      <x:c r="U470"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70" s="31" t="n">
        <x:v>3</x:v>
      </x:c>
      <x:c r="W470" s="26" t="str"/>
      <x:c r="X470" s="26" t="str">
        <x:v>DSI Reset PDF: lane responsibilities and dated runbook; dated allocation proposed for this tracker.</x:v>
      </x:c>
      <x:c r="Y470" s="30" t="n">
        <x:f>B470-WEEKDAY(B470,2)+1</x:f>
        <x:v>46370</x:v>
      </x:c>
      <x:c r="Z470" s="2" t="str">
        <x:v>capacity</x:v>
      </x:c>
      <x:c r="AA470" s="2" t="n">
        <x:f>IF(Q470=1,IF(P470&gt;B470,1,0),0)</x:f>
        <x:v>0</x:v>
      </x:c>
      <x:c r="AB470" s="2" t="n">
        <x:f>IF(AND(Q470=1,P470&lt;='Dashboard'!$B$5),0,MAX(0,'Dashboard'!$B$5-B470))</x:f>
        <x:v>0</x:v>
      </x:c>
      <x:c r="AC470" s="28" t="str"/>
      <x:c r="AD470" s="2" t="str">
        <x:f>IF(AND(ISNUMBER(F470),ISNUMBER(G470)),G470-F470,"")</x:f>
      </x:c>
      <x:c r="AE470" s="2" t="n">
        <x:f>IF(AND(I470="Accepted",K470&lt;&gt;"",O470&lt;&gt;"",ISNUMBER(P470),P470&gt;0,P470&lt;='Dashboard'!$B$5,IF(ISNUMBER(F470),ISNUMBER(G470),TRUE),IF(ISNUMBER(F470),OR(G470&gt;=F470,AC470&lt;&gt;""),TRUE)),1,0)</x:f>
        <x:v>0</x:v>
      </x:c>
    </x:row>
    <x:row r="471" ht="58" customHeight="1">
      <x:c r="A471" s="2" t="str">
        <x:v>T0403</x:v>
      </x:c>
      <x:c r="B471" s="30" t="n">
        <x:v>46372</x:v>
      </x:c>
      <x:c r="C471" s="2" t="str">
        <x:v>Setter 1</x:v>
      </x:c>
      <x:c r="D471" s="2" t="str">
        <x:v>Reply and Phone Setter</x:v>
      </x:c>
      <x:c r="E471" s="26" t="str">
        <x:v>SLA/call outcome log; bookings and next steps; handoff to Nova</x:v>
      </x:c>
      <x:c r="F471" s="2" t="n">
        <x:v>50</x:v>
      </x:c>
      <x:c r="G471" s="20"/>
      <x:c r="H471" s="2" t="str">
        <x:v>dial working target; inbound SLA takes priority</x:v>
      </x:c>
      <x:c r="I471" s="20" t="str">
        <x:v>Ready</x:v>
      </x:c>
      <x:c r="J471" s="2" t="str">
        <x:v>16:45</x:v>
      </x:c>
      <x:c r="K471" s="28" t="str"/>
      <x:c r="L471" s="28" t="str"/>
      <x:c r="M471" s="20" t="str"/>
      <x:c r="N471" s="33"/>
      <x:c r="O471" s="20" t="str"/>
      <x:c r="P471" s="33"/>
      <x:c r="Q471" s="2" t="n">
        <x:f>IF(AND(AE471=1,COUNTIFS($A$7:$A$500,"T0013",$AE$7:$AE$500,1)=1,COUNTIFS($A$7:$A$500,"T0055",$AE$7:$AE$500,1)=1),1,0)</x:f>
        <x:v>0</x:v>
      </x:c>
      <x:c r="R471" s="2" t="str">
        <x:f>IF(AND(Q471=1,P471&lt;='Dashboard'!$B$5),IF(P471&gt;B471,"Accepted late","Accepted"),IF(B471&lt;'Dashboard'!$B$5,"Overdue",IF(I471="Blocked","Blocked",IF(B471='Dashboard'!$B$5,"Due today","Planned"))))</x:f>
        <x:v>Planned</x:v>
      </x:c>
      <x:c r="S471" s="26" t="str">
        <x:f>IF(I471="Accepted",IF(K471="","Add evidence",IF(O471="","Add reviewer",IF(P471="","Add accepted date",IF(AND(ISNUMBER(F471),COUNT(G471)=0),"Add actual quantity",IF(Q471=0,"Review target / date / dependencies","Complete"))))),IF(OR(I471="Blocked",I471="Deferred"),IF(L471="","Record blocker / reason",IF(M471="","Assign rescue owner",IF(N471="","Set recovery date","Recovery assigned"))),IF(B471&lt;'Dashboard'!$B$5,"Escalate and record recovery","Work to acceptance standard")))</x:f>
        <x:v>Work to acceptance standard</x:v>
      </x:c>
      <x:c r="T471" s="26" t="str">
        <x:v>T0013; T0055</x:v>
      </x:c>
      <x:c r="U471"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71" s="31" t="n">
        <x:v>7.5</x:v>
      </x:c>
      <x:c r="W471" s="26" t="str"/>
      <x:c r="X471" s="26" t="str">
        <x:v>DSI Reset PDF: lane responsibilities and dated runbook; dated allocation proposed for this tracker.</x:v>
      </x:c>
      <x:c r="Y471" s="30" t="n">
        <x:f>B471-WEEKDAY(B471,2)+1</x:f>
        <x:v>46370</x:v>
      </x:c>
      <x:c r="Z471" s="2" t="str">
        <x:v>capacity</x:v>
      </x:c>
      <x:c r="AA471" s="2" t="n">
        <x:f>IF(Q471=1,IF(P471&gt;B471,1,0),0)</x:f>
        <x:v>0</x:v>
      </x:c>
      <x:c r="AB471" s="2" t="n">
        <x:f>IF(AND(Q471=1,P471&lt;='Dashboard'!$B$5),0,MAX(0,'Dashboard'!$B$5-B471))</x:f>
        <x:v>0</x:v>
      </x:c>
      <x:c r="AC471" s="28" t="str"/>
      <x:c r="AD471" s="2" t="str">
        <x:f>IF(AND(ISNUMBER(F471),ISNUMBER(G471)),G471-F471,"")</x:f>
      </x:c>
      <x:c r="AE471" s="2" t="n">
        <x:f>IF(AND(I471="Accepted",K471&lt;&gt;"",O471&lt;&gt;"",ISNUMBER(P471),P471&gt;0,P471&lt;='Dashboard'!$B$5,IF(ISNUMBER(F471),ISNUMBER(G471),TRUE),IF(ISNUMBER(F471),OR(G471&gt;=F471,AC471&lt;&gt;""),TRUE)),1,0)</x:f>
        <x:v>0</x:v>
      </x:c>
    </x:row>
    <x:row r="472" ht="58" customHeight="1">
      <x:c r="A472" s="2" t="str">
        <x:v>T0404</x:v>
      </x:c>
      <x:c r="B472" s="30" t="n">
        <x:v>46372</x:v>
      </x:c>
      <x:c r="C472" s="2" t="str">
        <x:v>Setter 2</x:v>
      </x:c>
      <x:c r="D472" s="2" t="str">
        <x:v>Reply and Phone Setter</x:v>
      </x:c>
      <x:c r="E472" s="26" t="str">
        <x:v>SLA/call outcome log; bookings and next steps; handoff to Nova</x:v>
      </x:c>
      <x:c r="F472" s="2" t="n">
        <x:v>50</x:v>
      </x:c>
      <x:c r="G472" s="20"/>
      <x:c r="H472" s="2" t="str">
        <x:v>dial working target; inbound SLA takes priority</x:v>
      </x:c>
      <x:c r="I472" s="20" t="str">
        <x:v>Ready</x:v>
      </x:c>
      <x:c r="J472" s="2" t="str">
        <x:v>16:45</x:v>
      </x:c>
      <x:c r="K472" s="28" t="str"/>
      <x:c r="L472" s="28" t="str"/>
      <x:c r="M472" s="20" t="str"/>
      <x:c r="N472" s="33"/>
      <x:c r="O472" s="20" t="str"/>
      <x:c r="P472" s="33"/>
      <x:c r="Q472" s="2" t="n">
        <x:f>IF(AND(AE472=1,COUNTIFS($A$7:$A$500,"T0013",$AE$7:$AE$500,1)=1,COUNTIFS($A$7:$A$500,"T0055",$AE$7:$AE$500,1)=1),1,0)</x:f>
        <x:v>0</x:v>
      </x:c>
      <x:c r="R472" s="2" t="str">
        <x:f>IF(AND(Q472=1,P472&lt;='Dashboard'!$B$5),IF(P472&gt;B472,"Accepted late","Accepted"),IF(B472&lt;'Dashboard'!$B$5,"Overdue",IF(I472="Blocked","Blocked",IF(B472='Dashboard'!$B$5,"Due today","Planned"))))</x:f>
        <x:v>Planned</x:v>
      </x:c>
      <x:c r="S472" s="26" t="str">
        <x:f>IF(I472="Accepted",IF(K472="","Add evidence",IF(O472="","Add reviewer",IF(P472="","Add accepted date",IF(AND(ISNUMBER(F472),COUNT(G472)=0),"Add actual quantity",IF(Q472=0,"Review target / date / dependencies","Complete"))))),IF(OR(I472="Blocked",I472="Deferred"),IF(L472="","Record blocker / reason",IF(M472="","Assign rescue owner",IF(N472="","Set recovery date","Recovery assigned"))),IF(B472&lt;'Dashboard'!$B$5,"Escalate and record recovery","Work to acceptance standard")))</x:f>
        <x:v>Work to acceptance standard</x:v>
      </x:c>
      <x:c r="T472" s="26" t="str">
        <x:v>T0013; T0055</x:v>
      </x:c>
      <x:c r="U472"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72" s="31" t="n">
        <x:v>7.5</x:v>
      </x:c>
      <x:c r="W472" s="26" t="str"/>
      <x:c r="X472" s="26" t="str">
        <x:v>DSI Reset PDF: lane responsibilities and dated runbook; dated allocation proposed for this tracker.</x:v>
      </x:c>
      <x:c r="Y472" s="30" t="n">
        <x:f>B472-WEEKDAY(B472,2)+1</x:f>
        <x:v>46370</x:v>
      </x:c>
      <x:c r="Z472" s="2" t="str">
        <x:v>capacity</x:v>
      </x:c>
      <x:c r="AA472" s="2" t="n">
        <x:f>IF(Q472=1,IF(P472&gt;B472,1,0),0)</x:f>
        <x:v>0</x:v>
      </x:c>
      <x:c r="AB472" s="2" t="n">
        <x:f>IF(AND(Q472=1,P472&lt;='Dashboard'!$B$5),0,MAX(0,'Dashboard'!$B$5-B472))</x:f>
        <x:v>0</x:v>
      </x:c>
      <x:c r="AC472" s="28" t="str"/>
      <x:c r="AD472" s="2" t="str">
        <x:f>IF(AND(ISNUMBER(F472),ISNUMBER(G472)),G472-F472,"")</x:f>
      </x:c>
      <x:c r="AE472" s="2" t="n">
        <x:f>IF(AND(I472="Accepted",K472&lt;&gt;"",O472&lt;&gt;"",ISNUMBER(P472),P472&gt;0,P472&lt;='Dashboard'!$B$5,IF(ISNUMBER(F472),ISNUMBER(G472),TRUE),IF(ISNUMBER(F472),OR(G472&gt;=F472,AC472&lt;&gt;""),TRUE)),1,0)</x:f>
        <x:v>0</x:v>
      </x:c>
    </x:row>
    <x:row r="473" ht="58" customHeight="1">
      <x:c r="A473" s="2" t="str">
        <x:v>T0434</x:v>
      </x:c>
      <x:c r="B473" s="30" t="n">
        <x:v>46372</x:v>
      </x:c>
      <x:c r="C473" s="2" t="str">
        <x:v>Nic</x:v>
      </x:c>
      <x:c r="D473" s="2" t="str">
        <x:v>Client dependency</x:v>
      </x:c>
      <x:c r="E473" s="26" t="str">
        <x:v>Documented decision and remaining clinical/commercial actions</x:v>
      </x:c>
      <x:c r="F473" s="2" t="n">
        <x:v>1</x:v>
      </x:c>
      <x:c r="G473" s="20"/>
      <x:c r="H473" s="2" t="str">
        <x:v>accepted output</x:v>
      </x:c>
      <x:c r="I473" s="20" t="str">
        <x:v>Ready</x:v>
      </x:c>
      <x:c r="J473" s="2" t="str">
        <x:v>16:45</x:v>
      </x:c>
      <x:c r="K473" s="28" t="str"/>
      <x:c r="L473" s="28" t="str"/>
      <x:c r="M473" s="20" t="str"/>
      <x:c r="N473" s="33"/>
      <x:c r="O473" s="20" t="str"/>
      <x:c r="P473" s="33"/>
      <x:c r="Q473" s="2" t="n">
        <x:f>IF(AND(AE473=1,COUNTIFS($A$7:$A$500,"T0028",$AE$7:$AE$500,1)=1),1,0)</x:f>
        <x:v>0</x:v>
      </x:c>
      <x:c r="R473" s="2" t="str">
        <x:f>IF(AND(Q473=1,P473&lt;='Dashboard'!$B$5),IF(P473&gt;B473,"Accepted late","Accepted"),IF(B473&lt;'Dashboard'!$B$5,"Overdue",IF(I473="Blocked","Blocked",IF(B473='Dashboard'!$B$5,"Due today","Planned"))))</x:f>
        <x:v>Planned</x:v>
      </x:c>
      <x:c r="S473" s="26" t="str">
        <x:f>IF(I473="Accepted",IF(K473="","Add evidence",IF(O473="","Add reviewer",IF(P473="","Add accepted date",IF(AND(ISNUMBER(F473),COUNT(G473)=0),"Add actual quantity",IF(Q473=0,"Review target / date / dependencies","Complete"))))),IF(OR(I473="Blocked",I473="Deferred"),IF(L473="","Record blocker / reason",IF(M473="","Assign rescue owner",IF(N473="","Set recovery date","Recovery assigned"))),IF(B473&lt;'Dashboard'!$B$5,"Escalate and record recovery","Work to acceptance standard")))</x:f>
        <x:v>Work to acceptance standard</x:v>
      </x:c>
      <x:c r="T473" s="26" t="str">
        <x:v>T0028</x:v>
      </x:c>
      <x:c r="U473" s="26" t="str">
        <x:v>Based on verified bookings/trials/cost; future Day-30 reviews assigned.</x:v>
      </x:c>
      <x:c r="V473" s="31" t="n">
        <x:v>1</x:v>
      </x:c>
      <x:c r="W473" s="26" t="str"/>
      <x:c r="X473" s="26" t="str">
        <x:v>DSI Reset PDF: lane responsibilities and dated runbook; dated allocation proposed for this tracker.</x:v>
      </x:c>
      <x:c r="Y473" s="30" t="n">
        <x:f>B473-WEEKDAY(B473,2)+1</x:f>
        <x:v>46370</x:v>
      </x:c>
      <x:c r="Z473" s="2" t="str">
        <x:v>checklist</x:v>
      </x:c>
      <x:c r="AA473" s="2" t="n">
        <x:f>IF(Q473=1,IF(P473&gt;B473,1,0),0)</x:f>
        <x:v>0</x:v>
      </x:c>
      <x:c r="AB473" s="2" t="n">
        <x:f>IF(AND(Q473=1,P473&lt;='Dashboard'!$B$5),0,MAX(0,'Dashboard'!$B$5-B473))</x:f>
        <x:v>0</x:v>
      </x:c>
      <x:c r="AC473" s="28" t="str"/>
      <x:c r="AD473" s="2" t="str">
        <x:f>IF(AND(ISNUMBER(F473),ISNUMBER(G473)),G473-F473,"")</x:f>
      </x:c>
      <x:c r="AE473" s="2" t="n">
        <x:f>IF(AND(I473="Accepted",K473&lt;&gt;"",O473&lt;&gt;"",ISNUMBER(P473),P473&gt;0,P473&lt;='Dashboard'!$B$5,IF(ISNUMBER(F473),ISNUMBER(G473),TRUE),IF(ISNUMBER(F473),G473&gt;=F473,TRUE)),1,0)</x:f>
        <x:v>0</x:v>
      </x:c>
    </x:row>
    <x:row r="474" ht="58" customHeight="1">
      <x:c r="A474" s="2" t="str">
        <x:v>T0435</x:v>
      </x:c>
      <x:c r="B474" s="30" t="n">
        <x:v>46372</x:v>
      </x:c>
      <x:c r="C474" s="2" t="str">
        <x:v>Maseeha</x:v>
      </x:c>
      <x:c r="D474" s="2" t="str">
        <x:v>Client dependency</x:v>
      </x:c>
      <x:c r="E474" s="26" t="str">
        <x:v>Trial received/delivered ledger; actual Day-30 review dates; credit balances</x:v>
      </x:c>
      <x:c r="F474" s="2" t="n">
        <x:v>1</x:v>
      </x:c>
      <x:c r="G474" s="20"/>
      <x:c r="H474" s="2" t="str">
        <x:v>accepted output</x:v>
      </x:c>
      <x:c r="I474" s="20" t="str">
        <x:v>Ready</x:v>
      </x:c>
      <x:c r="J474" s="2" t="str">
        <x:v>16:45</x:v>
      </x:c>
      <x:c r="K474" s="28" t="str"/>
      <x:c r="L474" s="28" t="str"/>
      <x:c r="M474" s="20" t="str"/>
      <x:c r="N474" s="33"/>
      <x:c r="O474" s="20" t="str"/>
      <x:c r="P474" s="33"/>
      <x:c r="Q474" s="2" t="n">
        <x:f>IF(AND(AE474=1,COUNTIFS($A$7:$A$500,"T0028",$AE$7:$AE$500,1)=1),1,0)</x:f>
        <x:v>0</x:v>
      </x:c>
      <x:c r="R474" s="2" t="str">
        <x:f>IF(AND(Q474=1,P474&lt;='Dashboard'!$B$5),IF(P474&gt;B474,"Accepted late","Accepted"),IF(B474&lt;'Dashboard'!$B$5,"Overdue",IF(I474="Blocked","Blocked",IF(B474='Dashboard'!$B$5,"Due today","Planned"))))</x:f>
        <x:v>Planned</x:v>
      </x:c>
      <x:c r="S474" s="26" t="str">
        <x:f>IF(I474="Accepted",IF(K474="","Add evidence",IF(O474="","Add reviewer",IF(P474="","Add accepted date",IF(AND(ISNUMBER(F474),COUNT(G474)=0),"Add actual quantity",IF(Q474=0,"Review target / date / dependencies","Complete"))))),IF(OR(I474="Blocked",I474="Deferred"),IF(L474="","Record blocker / reason",IF(M474="","Assign rescue owner",IF(N474="","Set recovery date","Recovery assigned"))),IF(B474&lt;'Dashboard'!$B$5,"Escalate and record recovery","Work to acceptance standard")))</x:f>
        <x:v>Work to acceptance standard</x:v>
      </x:c>
      <x:c r="T474" s="26" t="str">
        <x:v>T0028</x:v>
      </x:c>
      <x:c r="U474" s="26" t="str">
        <x:v>Trial start means received; recurring only after signed plan; post-sprint reviews stay open.</x:v>
      </x:c>
      <x:c r="V474" s="31" t="n">
        <x:v>1</x:v>
      </x:c>
      <x:c r="W474" s="26" t="str"/>
      <x:c r="X474" s="26" t="str">
        <x:v>DSI Reset PDF: lane responsibilities and dated runbook; dated allocation proposed for this tracker.</x:v>
      </x:c>
      <x:c r="Y474" s="30" t="n">
        <x:f>B474-WEEKDAY(B474,2)+1</x:f>
        <x:v>46370</x:v>
      </x:c>
      <x:c r="Z474" s="2" t="str">
        <x:v>checklist</x:v>
      </x:c>
      <x:c r="AA474" s="2" t="n">
        <x:f>IF(Q474=1,IF(P474&gt;B474,1,0),0)</x:f>
        <x:v>0</x:v>
      </x:c>
      <x:c r="AB474" s="2" t="n">
        <x:f>IF(AND(Q474=1,P474&lt;='Dashboard'!$B$5),0,MAX(0,'Dashboard'!$B$5-B474))</x:f>
        <x:v>0</x:v>
      </x:c>
      <x:c r="AC474" s="28" t="str"/>
      <x:c r="AD474" s="2" t="str">
        <x:f>IF(AND(ISNUMBER(F474),ISNUMBER(G474)),G474-F474,"")</x:f>
      </x:c>
      <x:c r="AE474" s="2" t="n">
        <x:f>IF(AND(I474="Accepted",K474&lt;&gt;"",O474&lt;&gt;"",ISNUMBER(P474),P474&gt;0,P474&lt;='Dashboard'!$B$5,IF(ISNUMBER(F474),ISNUMBER(G474),TRUE),IF(ISNUMBER(F474),G474&gt;=F474,TRUE)),1,0)</x:f>
        <x:v>0</x:v>
      </x:c>
    </x:row>
    <x:row r="475" ht="58" customHeight="1">
      <x:c r="A475" s="2" t="str">
        <x:v>T0405</x:v>
      </x:c>
      <x:c r="B475" s="30" t="n">
        <x:v>46373</x:v>
      </x:c>
      <x:c r="C475" s="2" t="str">
        <x:v>Wyline</x:v>
      </x:c>
      <x:c r="D475" s="2" t="str">
        <x:v>Program Director</x:v>
      </x:c>
      <x:c r="E475" s="26" t="str">
        <x:v>Evidence audit and corrected report</x:v>
      </x:c>
      <x:c r="F475" s="2" t="n">
        <x:v>1</x:v>
      </x:c>
      <x:c r="G475" s="20"/>
      <x:c r="H475" s="2" t="str">
        <x:v>accepted output</x:v>
      </x:c>
      <x:c r="I475" s="20" t="str">
        <x:v>Ready</x:v>
      </x:c>
      <x:c r="J475" s="2" t="str">
        <x:v>16:45</x:v>
      </x:c>
      <x:c r="K475" s="28" t="str"/>
      <x:c r="L475" s="28" t="str"/>
      <x:c r="M475" s="20" t="str"/>
      <x:c r="N475" s="33"/>
      <x:c r="O475" s="20" t="str"/>
      <x:c r="P475" s="33"/>
      <x:c r="Q475" s="2" t="n">
        <x:f>IF(AND(AE475=1,COUNTIFS($A$7:$A$500,"T0067",$AE$7:$AE$500,1)=1,COUNTIFS($A$7:$A$500,"T0055",$AE$7:$AE$500,1)=1),1,0)</x:f>
        <x:v>0</x:v>
      </x:c>
      <x:c r="R475" s="2" t="str">
        <x:f>IF(AND(Q475=1,P475&lt;='Dashboard'!$B$5),IF(P475&gt;B475,"Accepted late","Accepted"),IF(B475&lt;'Dashboard'!$B$5,"Overdue",IF(I475="Blocked","Blocked",IF(B475='Dashboard'!$B$5,"Due today","Planned"))))</x:f>
        <x:v>Planned</x:v>
      </x:c>
      <x:c r="S475" s="26" t="str">
        <x:f>IF(I475="Accepted",IF(K475="","Add evidence",IF(O475="","Add reviewer",IF(P475="","Add accepted date",IF(AND(ISNUMBER(F475),COUNT(G475)=0),"Add actual quantity",IF(Q475=0,"Review target / date / dependencies","Complete"))))),IF(OR(I475="Blocked",I475="Deferred"),IF(L475="","Record blocker / reason",IF(M475="","Assign rescue owner",IF(N475="","Set recovery date","Recovery assigned"))),IF(B475&lt;'Dashboard'!$B$5,"Escalate and record recovery","Work to acceptance standard")))</x:f>
        <x:v>Work to acceptance standard</x:v>
      </x:c>
      <x:c r="T475" s="26" t="str">
        <x:v>T0067</x:v>
      </x:c>
      <x:c r="U475" s="26" t="str">
        <x:v>Reconcile every Accepted task and outcome; reopen nonconforming items.</x:v>
      </x:c>
      <x:c r="V475" s="31" t="n">
        <x:v>3</x:v>
      </x:c>
      <x:c r="W475" s="26" t="str"/>
      <x:c r="X475" s="26" t="str">
        <x:v>DSI Reset PDF: lane responsibilities and dated runbook; dated allocation proposed for this tracker.</x:v>
      </x:c>
      <x:c r="Y475" s="30" t="n">
        <x:f>B475-WEEKDAY(B475,2)+1</x:f>
        <x:v>46370</x:v>
      </x:c>
      <x:c r="Z475" s="2" t="str">
        <x:v>checklist</x:v>
      </x:c>
      <x:c r="AA475" s="2" t="n">
        <x:f>IF(Q475=1,IF(P475&gt;B475,1,0),0)</x:f>
        <x:v>0</x:v>
      </x:c>
      <x:c r="AB475" s="2" t="n">
        <x:f>IF(AND(Q475=1,P475&lt;='Dashboard'!$B$5),0,MAX(0,'Dashboard'!$B$5-B475))</x:f>
        <x:v>0</x:v>
      </x:c>
      <x:c r="AC475" s="28" t="str"/>
      <x:c r="AD475" s="2" t="str">
        <x:f>IF(AND(ISNUMBER(F475),ISNUMBER(G475)),G475-F475,"")</x:f>
      </x:c>
      <x:c r="AE475" s="2" t="n">
        <x:f>IF(AND(I475="Accepted",K475&lt;&gt;"",O475&lt;&gt;"",ISNUMBER(P475),P475&gt;0,P475&lt;='Dashboard'!$B$5,IF(ISNUMBER(F475),ISNUMBER(G475),TRUE),IF(ISNUMBER(F475),G475&gt;=F475,TRUE)),1,0)</x:f>
        <x:v>0</x:v>
      </x:c>
    </x:row>
    <x:row r="476" ht="58" customHeight="1">
      <x:c r="A476" s="2" t="str">
        <x:v>T0406</x:v>
      </x:c>
      <x:c r="B476" s="30" t="n">
        <x:v>46373</x:v>
      </x:c>
      <x:c r="C476" s="2" t="str">
        <x:v>Kenneth</x:v>
      </x:c>
      <x:c r="D476" s="2" t="str">
        <x:v>Message Orchestrator</x:v>
      </x:c>
      <x:c r="E476" s="26" t="str">
        <x:v>Human-reply insights; 5 Inbox draft checks; approved first lines; claim exceptions</x:v>
      </x:c>
      <x:c r="F476" s="2" t="n">
        <x:v>1</x:v>
      </x:c>
      <x:c r="G476" s="20"/>
      <x:c r="H476" s="2" t="str">
        <x:v>accepted output</x:v>
      </x:c>
      <x:c r="I476" s="20" t="str">
        <x:v>Ready</x:v>
      </x:c>
      <x:c r="J476" s="2" t="str">
        <x:v>16:45</x:v>
      </x:c>
      <x:c r="K476" s="28" t="str"/>
      <x:c r="L476" s="28" t="str"/>
      <x:c r="M476" s="20" t="str"/>
      <x:c r="N476" s="33"/>
      <x:c r="O476" s="20" t="str"/>
      <x:c r="P476" s="33"/>
      <x:c r="Q476" s="2" t="n">
        <x:f>IF(AND(AE476=1,COUNTIFS($A$7:$A$500,"T0067",$AE$7:$AE$500,1)=1,COUNTIFS($A$7:$A$500,"T0055",$AE$7:$AE$500,1)=1),1,0)</x:f>
        <x:v>0</x:v>
      </x:c>
      <x:c r="R476" s="2" t="str">
        <x:f>IF(AND(Q476=1,P476&lt;='Dashboard'!$B$5),IF(P476&gt;B476,"Accepted late","Accepted"),IF(B476&lt;'Dashboard'!$B$5,"Overdue",IF(I476="Blocked","Blocked",IF(B476='Dashboard'!$B$5,"Due today","Planned"))))</x:f>
        <x:v>Planned</x:v>
      </x:c>
      <x:c r="S476" s="26" t="str">
        <x:f>IF(I476="Accepted",IF(K476="","Add evidence",IF(O476="","Add reviewer",IF(P476="","Add accepted date",IF(AND(ISNUMBER(F476),COUNT(G476)=0),"Add actual quantity",IF(Q476=0,"Review target / date / dependencies","Complete"))))),IF(OR(I476="Blocked",I476="Deferred"),IF(L476="","Record blocker / reason",IF(M476="","Assign rescue owner",IF(N476="","Set recovery date","Recovery assigned"))),IF(B476&lt;'Dashboard'!$B$5,"Escalate and record recovery","Work to acceptance standard")))</x:f>
        <x:v>Work to acceptance standard</x:v>
      </x:c>
      <x:c r="T476" s="26" t="str">
        <x:v>T0067</x:v>
      </x:c>
      <x:c r="U476" s="26" t="str">
        <x:v>Zero invented claims. If any draft fails facts, stop drafting/retrain; no offer change without approval.</x:v>
      </x:c>
      <x:c r="V476" s="31" t="n">
        <x:v>2.4</x:v>
      </x:c>
      <x:c r="W476" s="26" t="str"/>
      <x:c r="X476" s="26" t="str">
        <x:v>DSI Reset PDF: lane responsibilities and dated runbook; dated allocation proposed for this tracker.</x:v>
      </x:c>
      <x:c r="Y476" s="30" t="n">
        <x:f>B476-WEEKDAY(B476,2)+1</x:f>
        <x:v>46370</x:v>
      </x:c>
      <x:c r="Z476" s="2" t="str">
        <x:v>checklist</x:v>
      </x:c>
      <x:c r="AA476" s="2" t="n">
        <x:f>IF(Q476=1,IF(P476&gt;B476,1,0),0)</x:f>
        <x:v>0</x:v>
      </x:c>
      <x:c r="AB476" s="2" t="n">
        <x:f>IF(AND(Q476=1,P476&lt;='Dashboard'!$B$5),0,MAX(0,'Dashboard'!$B$5-B476))</x:f>
        <x:v>0</x:v>
      </x:c>
      <x:c r="AC476" s="28" t="str"/>
      <x:c r="AD476" s="2" t="str">
        <x:f>IF(AND(ISNUMBER(F476),ISNUMBER(G476)),G476-F476,"")</x:f>
      </x:c>
      <x:c r="AE476" s="2" t="n">
        <x:f>IF(AND(I476="Accepted",K476&lt;&gt;"",O476&lt;&gt;"",ISNUMBER(P476),P476&gt;0,P476&lt;='Dashboard'!$B$5,IF(ISNUMBER(F476),ISNUMBER(G476),TRUE),IF(ISNUMBER(F476),G476&gt;=F476,TRUE)),1,0)</x:f>
        <x:v>0</x:v>
      </x:c>
    </x:row>
    <x:row r="477" ht="58" customHeight="1">
      <x:c r="A477" s="2" t="str">
        <x:v>T0407</x:v>
      </x:c>
      <x:c r="B477" s="30" t="n">
        <x:v>46373</x:v>
      </x:c>
      <x:c r="C477" s="2" t="str">
        <x:v>Joey</x:v>
      </x:c>
      <x:c r="D477" s="2" t="str">
        <x:v>Data Orchestrator</x:v>
      </x:c>
      <x:c r="E477" s="26" t="str">
        <x:v>Mailbox/bounce/suppression log; ready verified records; due-follow up versus new-send capacity plan.</x:v>
      </x:c>
      <x:c r="F477" s="2" t="n">
        <x:v>1</x:v>
      </x:c>
      <x:c r="G477" s="20"/>
      <x:c r="H477" s="2" t="str">
        <x:v>verified queue and health check</x:v>
      </x:c>
      <x:c r="I477" s="20" t="str">
        <x:v>Ready</x:v>
      </x:c>
      <x:c r="J477" s="2" t="str">
        <x:v>16:45</x:v>
      </x:c>
      <x:c r="K477" s="28" t="str"/>
      <x:c r="L477" s="28" t="str"/>
      <x:c r="M477" s="20" t="str"/>
      <x:c r="N477" s="33"/>
      <x:c r="O477" s="20" t="str"/>
      <x:c r="P477" s="33"/>
      <x:c r="Q477" s="2" t="n">
        <x:f>IF(AND(AE477=1,COUNTIFS($A$7:$A$500,"T0067",$AE$7:$AE$500,1)=1,COUNTIFS($A$7:$A$500,"T0055",$AE$7:$AE$500,1)=1),1,0)</x:f>
        <x:v>0</x:v>
      </x:c>
      <x:c r="R477" s="2" t="str">
        <x:f>IF(AND(Q477=1,P477&lt;='Dashboard'!$B$5),IF(P477&gt;B477,"Accepted late","Accepted"),IF(B477&lt;'Dashboard'!$B$5,"Overdue",IF(I477="Blocked","Blocked",IF(B477='Dashboard'!$B$5,"Due today","Planned"))))</x:f>
        <x:v>Planned</x:v>
      </x:c>
      <x:c r="S477" s="26" t="str">
        <x:f>IF(I477="Accepted",IF(K477="","Add evidence",IF(O477="","Add reviewer",IF(P477="","Add accepted date",IF(AND(ISNUMBER(F477),COUNT(G477)=0),"Add actual quantity",IF(Q477=0,"Review target / date / dependencies","Complete"))))),IF(OR(I477="Blocked",I477="Deferred"),IF(L477="","Record blocker / reason",IF(M477="","Assign rescue owner",IF(N477="","Set recovery date","Recovery assigned"))),IF(B477&lt;'Dashboard'!$B$5,"Escalate and record recovery","Work to acceptance standard")))</x:f>
        <x:v>Work to acceptance standard</x:v>
      </x:c>
      <x:c r="T477" s="26" t="str">
        <x:v>T0067</x:v>
      </x:c>
      <x:c r="U477" s="26" t="str">
        <x:v>Planning pool addition 0 contacts today; quality gate wins over quota. Total sends&lt;=150/day;&gt;3% bounce affected mailbox held. No new cold enrollments on reduced/buffer days.</x:v>
      </x:c>
      <x:c r="V477" s="31" t="n">
        <x:v>3</x:v>
      </x:c>
      <x:c r="W477" s="26" t="str"/>
      <x:c r="X477" s="26" t="str">
        <x:v>DSI Reset PDF: lane responsibilities and dated runbook; dated allocation proposed for this tracker.</x:v>
      </x:c>
      <x:c r="Y477" s="30" t="n">
        <x:f>B477-WEEKDAY(B477,2)+1</x:f>
        <x:v>46370</x:v>
      </x:c>
      <x:c r="Z477" s="2" t="str">
        <x:v>checklist</x:v>
      </x:c>
      <x:c r="AA477" s="2" t="n">
        <x:f>IF(Q477=1,IF(P477&gt;B477,1,0),0)</x:f>
        <x:v>0</x:v>
      </x:c>
      <x:c r="AB477" s="2" t="n">
        <x:f>IF(AND(Q477=1,P477&lt;='Dashboard'!$B$5),0,MAX(0,'Dashboard'!$B$5-B477))</x:f>
        <x:v>0</x:v>
      </x:c>
      <x:c r="AC477" s="28" t="str"/>
      <x:c r="AD477" s="2" t="str">
        <x:f>IF(AND(ISNUMBER(F477),ISNUMBER(G477)),G477-F477,"")</x:f>
      </x:c>
      <x:c r="AE477" s="2" t="n">
        <x:f>IF(AND(I477="Accepted",K477&lt;&gt;"",O477&lt;&gt;"",ISNUMBER(P477),P477&gt;0,P477&lt;='Dashboard'!$B$5,IF(ISNUMBER(F477),ISNUMBER(G477),TRUE),IF(ISNUMBER(F477),G477&gt;=F477,TRUE)),1,0)</x:f>
        <x:v>0</x:v>
      </x:c>
    </x:row>
    <x:row r="478" ht="58" customHeight="1">
      <x:c r="A478" s="2" t="str">
        <x:v>T0408</x:v>
      </x:c>
      <x:c r="B478" s="30" t="n">
        <x:v>46373</x:v>
      </x:c>
      <x:c r="C478" s="2" t="str">
        <x:v>Nova</x:v>
      </x:c>
      <x:c r="D478" s="2" t="str">
        <x:v>Conversion Orchestrator</x:v>
      </x:c>
      <x:c r="E478" s="26" t="str">
        <x:v>Coverage/SLA evidence; 2 call reviews; booked/held updates; next-step and trial handoffs. Log each unique qualified inquiry with practice type, decision-maker access, case volume, service need and readiness timing.</x:v>
      </x:c>
      <x:c r="F478" s="2" t="n">
        <x:v>1</x:v>
      </x:c>
      <x:c r="G478" s="20"/>
      <x:c r="H478" s="2" t="str">
        <x:v>accepted output</x:v>
      </x:c>
      <x:c r="I478" s="20" t="str">
        <x:v>Ready</x:v>
      </x:c>
      <x:c r="J478" s="2" t="str">
        <x:v>16:45</x:v>
      </x:c>
      <x:c r="K478" s="28" t="str"/>
      <x:c r="L478" s="28" t="str"/>
      <x:c r="M478" s="20" t="str"/>
      <x:c r="N478" s="33"/>
      <x:c r="O478" s="20" t="str"/>
      <x:c r="P478" s="33"/>
      <x:c r="Q478" s="2" t="n">
        <x:f>IF(AND(AE478=1,COUNTIFS($A$7:$A$500,"T0067",$AE$7:$AE$500,1)=1,COUNTIFS($A$7:$A$500,"T0055",$AE$7:$AE$500,1)=1),1,0)</x:f>
        <x:v>0</x:v>
      </x:c>
      <x:c r="R478" s="2" t="str">
        <x:f>IF(AND(Q478=1,P478&lt;='Dashboard'!$B$5),IF(P478&gt;B478,"Accepted late","Accepted"),IF(B478&lt;'Dashboard'!$B$5,"Overdue",IF(I478="Blocked","Blocked",IF(B478='Dashboard'!$B$5,"Due today","Planned"))))</x:f>
        <x:v>Planned</x:v>
      </x:c>
      <x:c r="S478" s="26" t="str">
        <x:f>IF(I478="Accepted",IF(K478="","Add evidence",IF(O478="","Add reviewer",IF(P478="","Add accepted date",IF(AND(ISNUMBER(F478),COUNT(G478)=0),"Add actual quantity",IF(Q478=0,"Review target / date / dependencies","Complete"))))),IF(OR(I478="Blocked",I478="Deferred"),IF(L478="","Record blocker / reason",IF(M478="","Assign rescue owner",IF(N478="","Set recovery date","Recovery assigned"))),IF(B478&lt;'Dashboard'!$B$5,"Escalate and record recovery","Work to acceptance standard")))</x:f>
        <x:v>Work to acceptance standard</x:v>
      </x:c>
      <x:c r="T478" s="26" t="str">
        <x:v>T0067</x:v>
      </x:c>
      <x:c r="U478" s="26" t="str">
        <x:v>Every eligible reply&lt;=15 min; positive call&lt;=60 min; no opportunity without next step; booked brief to Nic; trial logistics to Maseeha. Raw contacts, opens and accepts never count as qualified inquiries; deduplicate across channels.</x:v>
      </x:c>
      <x:c r="V478" s="31" t="n">
        <x:v>4</x:v>
      </x:c>
      <x:c r="W478" s="26" t="str"/>
      <x:c r="X478" s="26" t="str">
        <x:v>DSI Reset PDF: lane responsibilities and dated runbook; dated allocation proposed for this tracker.</x:v>
      </x:c>
      <x:c r="Y478" s="30" t="n">
        <x:f>B478-WEEKDAY(B478,2)+1</x:f>
        <x:v>46370</x:v>
      </x:c>
      <x:c r="Z478" s="2" t="str">
        <x:v>checklist</x:v>
      </x:c>
      <x:c r="AA478" s="2" t="n">
        <x:f>IF(Q478=1,IF(P478&gt;B478,1,0),0)</x:f>
        <x:v>0</x:v>
      </x:c>
      <x:c r="AB478" s="2" t="n">
        <x:f>IF(AND(Q478=1,P478&lt;='Dashboard'!$B$5),0,MAX(0,'Dashboard'!$B$5-B478))</x:f>
        <x:v>0</x:v>
      </x:c>
      <x:c r="AC478" s="28" t="str"/>
      <x:c r="AD478" s="2" t="str">
        <x:f>IF(AND(ISNUMBER(F478),ISNUMBER(G478)),G478-F478,"")</x:f>
      </x:c>
      <x:c r="AE478" s="2" t="n">
        <x:f>IF(AND(I478="Accepted",K478&lt;&gt;"",O478&lt;&gt;"",ISNUMBER(P478),P478&gt;0,P478&lt;='Dashboard'!$B$5,IF(ISNUMBER(F478),ISNUMBER(G478),TRUE),IF(ISNUMBER(F478),G478&gt;=F478,TRUE)),1,0)</x:f>
        <x:v>0</x:v>
      </x:c>
    </x:row>
    <x:row r="479" ht="58" customHeight="1">
      <x:c r="A479" s="2" t="str">
        <x:v>T0409</x:v>
      </x:c>
      <x:c r="B479" s="30" t="n">
        <x:v>46373</x:v>
      </x:c>
      <x:c r="C479" s="2" t="str">
        <x:v>Emman</x:v>
      </x:c>
      <x:c r="D479" s="2" t="str">
        <x:v>AI Build Orchestrator</x:v>
      </x:c>
      <x:c r="E479" s="26" t="str">
        <x:v>Health/retry log; one acceptance-backed build increment; updated change log</x:v>
      </x:c>
      <x:c r="F479" s="2" t="n">
        <x:v>1</x:v>
      </x:c>
      <x:c r="G479" s="20"/>
      <x:c r="H479" s="2" t="str">
        <x:v>accepted output</x:v>
      </x:c>
      <x:c r="I479" s="20" t="str">
        <x:v>Ready</x:v>
      </x:c>
      <x:c r="J479" s="2" t="str">
        <x:v>16:45</x:v>
      </x:c>
      <x:c r="K479" s="28" t="str"/>
      <x:c r="L479" s="28" t="str"/>
      <x:c r="M479" s="20" t="str"/>
      <x:c r="N479" s="33"/>
      <x:c r="O479" s="20" t="str"/>
      <x:c r="P479" s="33"/>
      <x:c r="Q479" s="2" t="n">
        <x:f>IF(AND(AE479=1,COUNTIFS($A$7:$A$500,"T0067",$AE$7:$AE$500,1)=1,COUNTIFS($A$7:$A$500,"T0055",$AE$7:$AE$500,1)=1),1,0)</x:f>
        <x:v>0</x:v>
      </x:c>
      <x:c r="R479" s="2" t="str">
        <x:f>IF(AND(Q479=1,P479&lt;='Dashboard'!$B$5),IF(P479&gt;B479,"Accepted late","Accepted"),IF(B479&lt;'Dashboard'!$B$5,"Overdue",IF(I479="Blocked","Blocked",IF(B479='Dashboard'!$B$5,"Due today","Planned"))))</x:f>
        <x:v>Planned</x:v>
      </x:c>
      <x:c r="S479" s="26" t="str">
        <x:f>IF(I479="Accepted",IF(K479="","Add evidence",IF(O479="","Add reviewer",IF(P479="","Add accepted date",IF(AND(ISNUMBER(F479),COUNT(G479)=0),"Add actual quantity",IF(Q479=0,"Review target / date / dependencies","Complete"))))),IF(OR(I479="Blocked",I479="Deferred"),IF(L479="","Record blocker / reason",IF(M479="","Assign rescue owner",IF(N479="","Set recovery date","Recovery assigned"))),IF(B479&lt;'Dashboard'!$B$5,"Escalate and record recovery","Work to acceptance standard")))</x:f>
        <x:v>Work to acceptance standard</x:v>
      </x:c>
      <x:c r="T479" s="26" t="str">
        <x:v>T0067</x:v>
      </x:c>
      <x:c r="U479" s="26" t="str">
        <x:v>Fix a failing live agent beforestarting the next build. If an agent is still not working 48 hours after its due date, activate the manual SOP. Roll back a live failure within 1 hour. Release build reserve when no approved work remains.</x:v>
      </x:c>
      <x:c r="V479" s="31" t="n">
        <x:v>4</x:v>
      </x:c>
      <x:c r="W479" s="26" t="str"/>
      <x:c r="X479" s="26" t="str">
        <x:v>DSI Reset PDF: lane responsibilities and dated runbook; dated allocation proposed for this tracker.</x:v>
      </x:c>
      <x:c r="Y479" s="30" t="n">
        <x:f>B479-WEEKDAY(B479,2)+1</x:f>
        <x:v>46370</x:v>
      </x:c>
      <x:c r="Z479" s="2" t="str">
        <x:v>checklist</x:v>
      </x:c>
      <x:c r="AA479" s="2" t="n">
        <x:f>IF(Q479=1,IF(P479&gt;B479,1,0),0)</x:f>
        <x:v>0</x:v>
      </x:c>
      <x:c r="AB479" s="2" t="n">
        <x:f>IF(AND(Q479=1,P479&lt;='Dashboard'!$B$5),0,MAX(0,'Dashboard'!$B$5-B479))</x:f>
        <x:v>0</x:v>
      </x:c>
      <x:c r="AC479" s="28" t="str"/>
      <x:c r="AD479" s="2" t="str">
        <x:f>IF(AND(ISNUMBER(F479),ISNUMBER(G479)),G479-F479,"")</x:f>
      </x:c>
      <x:c r="AE479" s="2" t="n">
        <x:f>IF(AND(I479="Accepted",K479&lt;&gt;"",O479&lt;&gt;"",ISNUMBER(P479),P479&gt;0,P479&lt;='Dashboard'!$B$5,IF(ISNUMBER(F479),ISNUMBER(G479),TRUE),IF(ISNUMBER(F479),G479&gt;=F479,TRUE)),1,0)</x:f>
        <x:v>0</x:v>
      </x:c>
    </x:row>
    <x:row r="480" ht="58" customHeight="1">
      <x:c r="A480" s="2" t="str">
        <x:v>T0410</x:v>
      </x:c>
      <x:c r="B480" s="30" t="n">
        <x:v>46373</x:v>
      </x:c>
      <x:c r="C480" s="2" t="str">
        <x:v>Ludwig</x:v>
      </x:c>
      <x:c r="D480" s="2" t="str">
        <x:v>Integration Engineer</x:v>
      </x:c>
      <x:c r="E480" s="26" t="str">
        <x:v>Webhook/error/dead-letter check; top assigned integration ticket or verified no-ticket note</x:v>
      </x:c>
      <x:c r="F480" s="2" t="n">
        <x:v>1</x:v>
      </x:c>
      <x:c r="G480" s="20"/>
      <x:c r="H480" s="2" t="str">
        <x:v>accepted output</x:v>
      </x:c>
      <x:c r="I480" s="20" t="str">
        <x:v>Ready</x:v>
      </x:c>
      <x:c r="J480" s="2" t="str">
        <x:v>16:45</x:v>
      </x:c>
      <x:c r="K480" s="28" t="str"/>
      <x:c r="L480" s="28" t="str"/>
      <x:c r="M480" s="20" t="str"/>
      <x:c r="N480" s="33"/>
      <x:c r="O480" s="20" t="str"/>
      <x:c r="P480" s="33"/>
      <x:c r="Q480" s="2" t="n">
        <x:f>IF(AND(AE480=1,COUNTIFS($A$7:$A$500,"T0067",$AE$7:$AE$500,1)=1,COUNTIFS($A$7:$A$500,"T0055",$AE$7:$AE$500,1)=1),1,0)</x:f>
        <x:v>0</x:v>
      </x:c>
      <x:c r="R480" s="2" t="str">
        <x:f>IF(AND(Q480=1,P480&lt;='Dashboard'!$B$5),IF(P480&gt;B480,"Accepted late","Accepted"),IF(B480&lt;'Dashboard'!$B$5,"Overdue",IF(I480="Blocked","Blocked",IF(B480='Dashboard'!$B$5,"Due today","Planned"))))</x:f>
        <x:v>Planned</x:v>
      </x:c>
      <x:c r="S480" s="26" t="str">
        <x:f>IF(I480="Accepted",IF(K480="","Add evidence",IF(O480="","Add reviewer",IF(P480="","Add accepted date",IF(AND(ISNUMBER(F480),COUNT(G480)=0),"Add actual quantity",IF(Q480=0,"Review target / date / dependencies","Complete"))))),IF(OR(I480="Blocked",I480="Deferred"),IF(L480="","Record blocker / reason",IF(M480="","Assign rescue owner",IF(N480="","Set recovery date","Recovery assigned"))),IF(B480&lt;'Dashboard'!$B$5,"Escalate and record recovery","Work to acceptance standard")))</x:f>
        <x:v>Work to acceptance standard</x:v>
      </x:c>
      <x:c r="T480" s="26" t="str">
        <x:v>T0067</x:v>
      </x:c>
      <x:c r="U480" s="26" t="str">
        <x:v>Only Emman’s priority queue; 100% test capture; runbook/retry/rollback evidence. If no fault/ticket, release reserve; do not invent work.</x:v>
      </x:c>
      <x:c r="V480" s="31" t="n">
        <x:v>1.6</x:v>
      </x:c>
      <x:c r="W480" s="26" t="str"/>
      <x:c r="X480" s="26" t="str">
        <x:v>DSI Reset PDF: lane responsibilities and dated runbook; dated allocation proposed for this tracker.</x:v>
      </x:c>
      <x:c r="Y480" s="30" t="n">
        <x:f>B480-WEEKDAY(B480,2)+1</x:f>
        <x:v>46370</x:v>
      </x:c>
      <x:c r="Z480" s="2" t="str">
        <x:v>checklist</x:v>
      </x:c>
      <x:c r="AA480" s="2" t="n">
        <x:f>IF(Q480=1,IF(P480&gt;B480,1,0),0)</x:f>
        <x:v>0</x:v>
      </x:c>
      <x:c r="AB480" s="2" t="n">
        <x:f>IF(AND(Q480=1,P480&lt;='Dashboard'!$B$5),0,MAX(0,'Dashboard'!$B$5-B480))</x:f>
        <x:v>0</x:v>
      </x:c>
      <x:c r="AC480" s="28" t="str"/>
      <x:c r="AD480" s="2" t="str">
        <x:f>IF(AND(ISNUMBER(F480),ISNUMBER(G480)),G480-F480,"")</x:f>
      </x:c>
      <x:c r="AE480" s="2" t="n">
        <x:f>IF(AND(I480="Accepted",K480&lt;&gt;"",O480&lt;&gt;"",ISNUMBER(P480),P480&gt;0,P480&lt;='Dashboard'!$B$5,IF(ISNUMBER(F480),ISNUMBER(G480),TRUE),IF(ISNUMBER(F480),G480&gt;=F480,TRUE)),1,0)</x:f>
        <x:v>0</x:v>
      </x:c>
    </x:row>
    <x:row r="481" ht="58" customHeight="1">
      <x:c r="A481" s="2" t="str">
        <x:v>T0411</x:v>
      </x:c>
      <x:c r="B481" s="30" t="n">
        <x:v>46373</x:v>
      </x:c>
      <x:c r="C481" s="2" t="str">
        <x:v>Alvin</x:v>
      </x:c>
      <x:c r="D481" s="2" t="str">
        <x:v>CQL/GHL Implementation</x:v>
      </x:c>
      <x:c r="E481" s="26" t="str">
        <x:v>Stage/calendar/reminder QA; due workflow fixes</x:v>
      </x:c>
      <x:c r="F481" s="2" t="n">
        <x:v>1</x:v>
      </x:c>
      <x:c r="G481" s="20"/>
      <x:c r="H481" s="2" t="str">
        <x:v>accepted output</x:v>
      </x:c>
      <x:c r="I481" s="20" t="str">
        <x:v>Ready</x:v>
      </x:c>
      <x:c r="J481" s="2" t="str">
        <x:v>16:45</x:v>
      </x:c>
      <x:c r="K481" s="28" t="str"/>
      <x:c r="L481" s="28" t="str"/>
      <x:c r="M481" s="20" t="str"/>
      <x:c r="N481" s="33"/>
      <x:c r="O481" s="20" t="str"/>
      <x:c r="P481" s="33"/>
      <x:c r="Q481" s="2" t="n">
        <x:f>IF(AND(AE481=1,COUNTIFS($A$7:$A$500,"T0067",$AE$7:$AE$500,1)=1,COUNTIFS($A$7:$A$500,"T0055",$AE$7:$AE$500,1)=1),1,0)</x:f>
        <x:v>0</x:v>
      </x:c>
      <x:c r="R481" s="2" t="str">
        <x:f>IF(AND(Q481=1,P481&lt;='Dashboard'!$B$5),IF(P481&gt;B481,"Accepted late","Accepted"),IF(B481&lt;'Dashboard'!$B$5,"Overdue",IF(I481="Blocked","Blocked",IF(B481='Dashboard'!$B$5,"Due today","Planned"))))</x:f>
        <x:v>Planned</x:v>
      </x:c>
      <x:c r="S481" s="26" t="str">
        <x:f>IF(I481="Accepted",IF(K481="","Add evidence",IF(O481="","Add reviewer",IF(P481="","Add accepted date",IF(AND(ISNUMBER(F481),COUNT(G481)=0),"Add actual quantity",IF(Q481=0,"Review target / date / dependencies","Complete"))))),IF(OR(I481="Blocked",I481="Deferred"),IF(L481="","Record blocker / reason",IF(M481="","Assign rescue owner",IF(N481="","Set recovery date","Recovery assigned"))),IF(B481&lt;'Dashboard'!$B$5,"Escalate and record recovery","Work to acceptance standard")))</x:f>
        <x:v>Work to acceptance standard</x:v>
      </x:c>
      <x:c r="T481" s="26" t="str">
        <x:v>T0067</x:v>
      </x:c>
      <x:c r="U481" s="26" t="str">
        <x:v>No-show task&lt;=10 min; form/source fields correct; finish critical CRM defect same day. Facebook mirrors exact approved post; Instagram requires permissioned image.</x:v>
      </x:c>
      <x:c r="V481" s="31" t="n">
        <x:v>2</x:v>
      </x:c>
      <x:c r="W481" s="26" t="str"/>
      <x:c r="X481" s="26" t="str">
        <x:v>DSI Reset PDF: lane responsibilities and dated runbook; dated allocation proposed for this tracker.</x:v>
      </x:c>
      <x:c r="Y481" s="30" t="n">
        <x:f>B481-WEEKDAY(B481,2)+1</x:f>
        <x:v>46370</x:v>
      </x:c>
      <x:c r="Z481" s="2" t="str">
        <x:v>checklist</x:v>
      </x:c>
      <x:c r="AA481" s="2" t="n">
        <x:f>IF(Q481=1,IF(P481&gt;B481,1,0),0)</x:f>
        <x:v>0</x:v>
      </x:c>
      <x:c r="AB481" s="2" t="n">
        <x:f>IF(AND(Q481=1,P481&lt;='Dashboard'!$B$5),0,MAX(0,'Dashboard'!$B$5-B481))</x:f>
        <x:v>0</x:v>
      </x:c>
      <x:c r="AC481" s="28" t="str"/>
      <x:c r="AD481" s="2" t="str">
        <x:f>IF(AND(ISNUMBER(F481),ISNUMBER(G481)),G481-F481,"")</x:f>
      </x:c>
      <x:c r="AE481" s="2" t="n">
        <x:f>IF(AND(I481="Accepted",K481&lt;&gt;"",O481&lt;&gt;"",ISNUMBER(P481),P481&gt;0,P481&lt;='Dashboard'!$B$5,IF(ISNUMBER(F481),ISNUMBER(G481),TRUE),IF(ISNUMBER(F481),G481&gt;=F481,TRUE)),1,0)</x:f>
        <x:v>0</x:v>
      </x:c>
    </x:row>
    <x:row r="482" ht="58" customHeight="1">
      <x:c r="A482" s="2" t="str">
        <x:v>T0412</x:v>
      </x:c>
      <x:c r="B482" s="30" t="n">
        <x:v>46373</x:v>
      </x:c>
      <x:c r="C482" s="2" t="str">
        <x:v>Brian</x:v>
      </x:c>
      <x:c r="D482" s="2" t="str">
        <x:v>Web and Tracking</x:v>
      </x:c>
      <x:c r="E482" s="26" t="str">
        <x:v>One health-check result; at most one weekly change ticket or no-ticket note</x:v>
      </x:c>
      <x:c r="F482" s="2" t="n">
        <x:v>1</x:v>
      </x:c>
      <x:c r="G482" s="20"/>
      <x:c r="H482" s="2" t="str">
        <x:v>accepted output</x:v>
      </x:c>
      <x:c r="I482" s="20" t="str">
        <x:v>Ready</x:v>
      </x:c>
      <x:c r="J482" s="2" t="str">
        <x:v>16:45</x:v>
      </x:c>
      <x:c r="K482" s="28" t="str"/>
      <x:c r="L482" s="28" t="str"/>
      <x:c r="M482" s="20" t="str"/>
      <x:c r="N482" s="33"/>
      <x:c r="O482" s="20" t="str"/>
      <x:c r="P482" s="33"/>
      <x:c r="Q482" s="2" t="n">
        <x:f>IF(AND(AE482=1,COUNTIFS($A$7:$A$500,"T0067",$AE$7:$AE$500,1)=1,COUNTIFS($A$7:$A$500,"T0055",$AE$7:$AE$500,1)=1),1,0)</x:f>
        <x:v>0</x:v>
      </x:c>
      <x:c r="R482" s="2" t="str">
        <x:f>IF(AND(Q482=1,P482&lt;='Dashboard'!$B$5),IF(P482&gt;B482,"Accepted late","Accepted"),IF(B482&lt;'Dashboard'!$B$5,"Overdue",IF(I482="Blocked","Blocked",IF(B482='Dashboard'!$B$5,"Due today","Planned"))))</x:f>
        <x:v>Planned</x:v>
      </x:c>
      <x:c r="S482" s="26" t="str">
        <x:f>IF(I482="Accepted",IF(K482="","Add evidence",IF(O482="","Add reviewer",IF(P482="","Add accepted date",IF(AND(ISNUMBER(F482),COUNT(G482)=0),"Add actual quantity",IF(Q482=0,"Review target / date / dependencies","Complete"))))),IF(OR(I482="Blocked",I482="Deferred"),IF(L482="","Record blocker / reason",IF(M482="","Assign rescue owner",IF(N482="","Set recovery date","Recovery assigned"))),IF(B482&lt;'Dashboard'!$B$5,"Escalate and record recovery","Work to acceptance standard")))</x:f>
        <x:v>Work to acceptance standard</x:v>
      </x:c>
      <x:c r="T482" s="26" t="str">
        <x:v>T0067</x:v>
      </x:c>
      <x:c r="U482" s="26" t="str">
        <x:v>Form to CQL&lt;1 min; approved copy unchanged; no work manufactured if healthy; ongoing reserve&lt;=2 h/week.</x:v>
      </x:c>
      <x:c r="V482" s="31" t="n">
        <x:v>0.4</x:v>
      </x:c>
      <x:c r="W482" s="26" t="str"/>
      <x:c r="X482" s="26" t="str">
        <x:v>DSI Reset PDF: lane responsibilities and dated runbook; dated allocation proposed for this tracker.</x:v>
      </x:c>
      <x:c r="Y482" s="30" t="n">
        <x:f>B482-WEEKDAY(B482,2)+1</x:f>
        <x:v>46370</x:v>
      </x:c>
      <x:c r="Z482" s="2" t="str">
        <x:v>checklist</x:v>
      </x:c>
      <x:c r="AA482" s="2" t="n">
        <x:f>IF(Q482=1,IF(P482&gt;B482,1,0),0)</x:f>
        <x:v>0</x:v>
      </x:c>
      <x:c r="AB482" s="2" t="n">
        <x:f>IF(AND(Q482=1,P482&lt;='Dashboard'!$B$5),0,MAX(0,'Dashboard'!$B$5-B482))</x:f>
        <x:v>0</x:v>
      </x:c>
      <x:c r="AC482" s="28" t="str"/>
      <x:c r="AD482" s="2" t="str">
        <x:f>IF(AND(ISNUMBER(F482),ISNUMBER(G482)),G482-F482,"")</x:f>
      </x:c>
      <x:c r="AE482" s="2" t="n">
        <x:f>IF(AND(I482="Accepted",K482&lt;&gt;"",O482&lt;&gt;"",ISNUMBER(P482),P482&gt;0,P482&lt;='Dashboard'!$B$5,IF(ISNUMBER(F482),ISNUMBER(G482),TRUE),IF(ISNUMBER(F482),G482&gt;=F482,TRUE)),1,0)</x:f>
        <x:v>0</x:v>
      </x:c>
    </x:row>
    <x:row r="483" ht="58" customHeight="1">
      <x:c r="A483" s="2" t="str">
        <x:v>T0413</x:v>
      </x:c>
      <x:c r="B483" s="30" t="n">
        <x:v>46373</x:v>
      </x:c>
      <x:c r="C483" s="2" t="str">
        <x:v>Dexter</x:v>
      </x:c>
      <x:c r="D483" s="2" t="str">
        <x:v>LinkedIn Execution</x:v>
      </x:c>
      <x:c r="E483" s="26" t="str">
        <x:v>CQL logged DMs/accepts; eligible requests; referred interested replies; approved post evidence</x:v>
      </x:c>
      <x:c r="F483" s="2" t="n">
        <x:v>0</x:v>
      </x:c>
      <x:c r="G483" s="20"/>
      <x:c r="H483" s="2" t="str">
        <x:v>new request working target; eligible pool required</x:v>
      </x:c>
      <x:c r="I483" s="20" t="str">
        <x:v>Ready</x:v>
      </x:c>
      <x:c r="J483" s="2" t="str">
        <x:v>16:45</x:v>
      </x:c>
      <x:c r="K483" s="28" t="str"/>
      <x:c r="L483" s="28" t="str"/>
      <x:c r="M483" s="20" t="str"/>
      <x:c r="N483" s="33"/>
      <x:c r="O483" s="20" t="str"/>
      <x:c r="P483" s="33"/>
      <x:c r="Q483" s="2" t="n">
        <x:f>IF(AND(AE483=1,COUNTIFS($A$7:$A$500,"T0067",$AE$7:$AE$500,1)=1,COUNTIFS($A$7:$A$500,"T0055",$AE$7:$AE$500,1)=1),1,0)</x:f>
        <x:v>0</x:v>
      </x:c>
      <x:c r="R483" s="2" t="str">
        <x:f>IF(AND(Q483=1,P483&lt;='Dashboard'!$B$5),IF(P483&gt;B483,"Accepted late","Accepted"),IF(B483&lt;'Dashboard'!$B$5,"Overdue",IF(I483="Blocked","Blocked",IF(B483='Dashboard'!$B$5,"Due today","Planned"))))</x:f>
        <x:v>Planned</x:v>
      </x:c>
      <x:c r="S483" s="26" t="str">
        <x:f>IF(I483="Accepted",IF(K483="","Add evidence",IF(O483="","Add reviewer",IF(P483="","Add accepted date",IF(AND(ISNUMBER(F483),COUNT(G483)=0),"Add actual quantity",IF(Q483=0,"Review target / date / dependencies","Complete"))))),IF(OR(I483="Blocked",I483="Deferred"),IF(L483="","Record blocker / reason",IF(M483="","Assign rescue owner",IF(N483="","Set recovery date","Recovery assigned"))),IF(B483&lt;'Dashboard'!$B$5,"Escalate and record recovery","Work to acceptance standard")))</x:f>
        <x:v>Work to acceptance standard</x:v>
      </x:c>
      <x:c r="T483" s="26" t="str">
        <x:v>T0067</x:v>
      </x:c>
      <x:c r="U483"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83" s="31" t="n">
        <x:v>3</x:v>
      </x:c>
      <x:c r="W483" s="26" t="str"/>
      <x:c r="X483" s="26" t="str">
        <x:v>DSI Reset PDF: lane responsibilities and dated runbook; dated allocation proposed for this tracker.</x:v>
      </x:c>
      <x:c r="Y483" s="30" t="n">
        <x:f>B483-WEEKDAY(B483,2)+1</x:f>
        <x:v>46370</x:v>
      </x:c>
      <x:c r="Z483" s="2" t="str">
        <x:v>capacity</x:v>
      </x:c>
      <x:c r="AA483" s="2" t="n">
        <x:f>IF(Q483=1,IF(P483&gt;B483,1,0),0)</x:f>
        <x:v>0</x:v>
      </x:c>
      <x:c r="AB483" s="2" t="n">
        <x:f>IF(AND(Q483=1,P483&lt;='Dashboard'!$B$5),0,MAX(0,'Dashboard'!$B$5-B483))</x:f>
        <x:v>0</x:v>
      </x:c>
      <x:c r="AC483" s="28" t="str"/>
      <x:c r="AD483" s="2" t="str">
        <x:f>IF(AND(ISNUMBER(F483),ISNUMBER(G483)),G483-F483,"")</x:f>
      </x:c>
      <x:c r="AE483" s="2" t="n">
        <x:f>IF(AND(I483="Accepted",K483&lt;&gt;"",O483&lt;&gt;"",ISNUMBER(P483),P483&gt;0,P483&lt;='Dashboard'!$B$5,IF(ISNUMBER(F483),ISNUMBER(G483),TRUE),IF(ISNUMBER(F483),OR(G483&gt;=F483,AC483&lt;&gt;""),TRUE)),1,0)</x:f>
        <x:v>0</x:v>
      </x:c>
    </x:row>
    <x:row r="484" ht="58" customHeight="1">
      <x:c r="A484" s="2" t="str">
        <x:v>T0414</x:v>
      </x:c>
      <x:c r="B484" s="30" t="n">
        <x:v>46373</x:v>
      </x:c>
      <x:c r="C484" s="2" t="str">
        <x:v>Setter 1</x:v>
      </x:c>
      <x:c r="D484" s="2" t="str">
        <x:v>Reply and Phone Setter</x:v>
      </x:c>
      <x:c r="E484" s="26" t="str">
        <x:v>SLA/call outcome log; bookings and next steps; handoff to Nova</x:v>
      </x:c>
      <x:c r="F484" s="2" t="n">
        <x:v>0</x:v>
      </x:c>
      <x:c r="G484" s="20"/>
      <x:c r="H484" s="2" t="str">
        <x:v>dial working target; inbound SLA takes priority</x:v>
      </x:c>
      <x:c r="I484" s="20" t="str">
        <x:v>Ready</x:v>
      </x:c>
      <x:c r="J484" s="2" t="str">
        <x:v>16:45</x:v>
      </x:c>
      <x:c r="K484" s="28" t="str"/>
      <x:c r="L484" s="28" t="str"/>
      <x:c r="M484" s="20" t="str"/>
      <x:c r="N484" s="33"/>
      <x:c r="O484" s="20" t="str"/>
      <x:c r="P484" s="33"/>
      <x:c r="Q484" s="2" t="n">
        <x:f>IF(AND(AE484=1,COUNTIFS($A$7:$A$500,"T0013",$AE$7:$AE$500,1)=1,COUNTIFS($A$7:$A$500,"T0055",$AE$7:$AE$500,1)=1),1,0)</x:f>
        <x:v>0</x:v>
      </x:c>
      <x:c r="R484" s="2" t="str">
        <x:f>IF(AND(Q484=1,P484&lt;='Dashboard'!$B$5),IF(P484&gt;B484,"Accepted late","Accepted"),IF(B484&lt;'Dashboard'!$B$5,"Overdue",IF(I484="Blocked","Blocked",IF(B484='Dashboard'!$B$5,"Due today","Planned"))))</x:f>
        <x:v>Planned</x:v>
      </x:c>
      <x:c r="S484" s="26" t="str">
        <x:f>IF(I484="Accepted",IF(K484="","Add evidence",IF(O484="","Add reviewer",IF(P484="","Add accepted date",IF(AND(ISNUMBER(F484),COUNT(G484)=0),"Add actual quantity",IF(Q484=0,"Review target / date / dependencies","Complete"))))),IF(OR(I484="Blocked",I484="Deferred"),IF(L484="","Record blocker / reason",IF(M484="","Assign rescue owner",IF(N484="","Set recovery date","Recovery assigned"))),IF(B484&lt;'Dashboard'!$B$5,"Escalate and record recovery","Work to acceptance standard")))</x:f>
        <x:v>Work to acceptance standard</x:v>
      </x:c>
      <x:c r="T484" s="26" t="str">
        <x:v>T0013; T0055</x:v>
      </x:c>
      <x:c r="U484"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84" s="31" t="n">
        <x:v>7.5</x:v>
      </x:c>
      <x:c r="W484" s="26" t="str"/>
      <x:c r="X484" s="26" t="str">
        <x:v>DSI Reset PDF: lane responsibilities and dated runbook; dated allocation proposed for this tracker.</x:v>
      </x:c>
      <x:c r="Y484" s="30" t="n">
        <x:f>B484-WEEKDAY(B484,2)+1</x:f>
        <x:v>46370</x:v>
      </x:c>
      <x:c r="Z484" s="2" t="str">
        <x:v>capacity</x:v>
      </x:c>
      <x:c r="AA484" s="2" t="n">
        <x:f>IF(Q484=1,IF(P484&gt;B484,1,0),0)</x:f>
        <x:v>0</x:v>
      </x:c>
      <x:c r="AB484" s="2" t="n">
        <x:f>IF(AND(Q484=1,P484&lt;='Dashboard'!$B$5),0,MAX(0,'Dashboard'!$B$5-B484))</x:f>
        <x:v>0</x:v>
      </x:c>
      <x:c r="AC484" s="28" t="str"/>
      <x:c r="AD484" s="2" t="str">
        <x:f>IF(AND(ISNUMBER(F484),ISNUMBER(G484)),G484-F484,"")</x:f>
      </x:c>
      <x:c r="AE484" s="2" t="n">
        <x:f>IF(AND(I484="Accepted",K484&lt;&gt;"",O484&lt;&gt;"",ISNUMBER(P484),P484&gt;0,P484&lt;='Dashboard'!$B$5,IF(ISNUMBER(F484),ISNUMBER(G484),TRUE),IF(ISNUMBER(F484),OR(G484&gt;=F484,AC484&lt;&gt;""),TRUE)),1,0)</x:f>
        <x:v>0</x:v>
      </x:c>
    </x:row>
    <x:row r="485" ht="58" customHeight="1">
      <x:c r="A485" s="2" t="str">
        <x:v>T0415</x:v>
      </x:c>
      <x:c r="B485" s="30" t="n">
        <x:v>46373</x:v>
      </x:c>
      <x:c r="C485" s="2" t="str">
        <x:v>Setter 2</x:v>
      </x:c>
      <x:c r="D485" s="2" t="str">
        <x:v>Reply and Phone Setter</x:v>
      </x:c>
      <x:c r="E485" s="26" t="str">
        <x:v>SLA/call outcome log; bookings and next steps; handoff to Nova</x:v>
      </x:c>
      <x:c r="F485" s="2" t="n">
        <x:v>0</x:v>
      </x:c>
      <x:c r="G485" s="20"/>
      <x:c r="H485" s="2" t="str">
        <x:v>dial working target; inbound SLA takes priority</x:v>
      </x:c>
      <x:c r="I485" s="20" t="str">
        <x:v>Ready</x:v>
      </x:c>
      <x:c r="J485" s="2" t="str">
        <x:v>16:45</x:v>
      </x:c>
      <x:c r="K485" s="28" t="str"/>
      <x:c r="L485" s="28" t="str"/>
      <x:c r="M485" s="20" t="str"/>
      <x:c r="N485" s="33"/>
      <x:c r="O485" s="20" t="str"/>
      <x:c r="P485" s="33"/>
      <x:c r="Q485" s="2" t="n">
        <x:f>IF(AND(AE485=1,COUNTIFS($A$7:$A$500,"T0013",$AE$7:$AE$500,1)=1,COUNTIFS($A$7:$A$500,"T0055",$AE$7:$AE$500,1)=1),1,0)</x:f>
        <x:v>0</x:v>
      </x:c>
      <x:c r="R485" s="2" t="str">
        <x:f>IF(AND(Q485=1,P485&lt;='Dashboard'!$B$5),IF(P485&gt;B485,"Accepted late","Accepted"),IF(B485&lt;'Dashboard'!$B$5,"Overdue",IF(I485="Blocked","Blocked",IF(B485='Dashboard'!$B$5,"Due today","Planned"))))</x:f>
        <x:v>Planned</x:v>
      </x:c>
      <x:c r="S485" s="26" t="str">
        <x:f>IF(I485="Accepted",IF(K485="","Add evidence",IF(O485="","Add reviewer",IF(P485="","Add accepted date",IF(AND(ISNUMBER(F485),COUNT(G485)=0),"Add actual quantity",IF(Q485=0,"Review target / date / dependencies","Complete"))))),IF(OR(I485="Blocked",I485="Deferred"),IF(L485="","Record blocker / reason",IF(M485="","Assign rescue owner",IF(N485="","Set recovery date","Recovery assigned"))),IF(B485&lt;'Dashboard'!$B$5,"Escalate and record recovery","Work to acceptance standard")))</x:f>
        <x:v>Work to acceptance standard</x:v>
      </x:c>
      <x:c r="T485" s="26" t="str">
        <x:v>T0013; T0055</x:v>
      </x:c>
      <x:c r="U485"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85" s="31" t="n">
        <x:v>7.5</x:v>
      </x:c>
      <x:c r="W485" s="26" t="str"/>
      <x:c r="X485" s="26" t="str">
        <x:v>DSI Reset PDF: lane responsibilities and dated runbook; dated allocation proposed for this tracker.</x:v>
      </x:c>
      <x:c r="Y485" s="30" t="n">
        <x:f>B485-WEEKDAY(B485,2)+1</x:f>
        <x:v>46370</x:v>
      </x:c>
      <x:c r="Z485" s="2" t="str">
        <x:v>capacity</x:v>
      </x:c>
      <x:c r="AA485" s="2" t="n">
        <x:f>IF(Q485=1,IF(P485&gt;B485,1,0),0)</x:f>
        <x:v>0</x:v>
      </x:c>
      <x:c r="AB485" s="2" t="n">
        <x:f>IF(AND(Q485=1,P485&lt;='Dashboard'!$B$5),0,MAX(0,'Dashboard'!$B$5-B485))</x:f>
        <x:v>0</x:v>
      </x:c>
      <x:c r="AC485" s="28" t="str"/>
      <x:c r="AD485" s="2" t="str">
        <x:f>IF(AND(ISNUMBER(F485),ISNUMBER(G485)),G485-F485,"")</x:f>
      </x:c>
      <x:c r="AE485" s="2" t="n">
        <x:f>IF(AND(I485="Accepted",K485&lt;&gt;"",O485&lt;&gt;"",ISNUMBER(P485),P485&gt;0,P485&lt;='Dashboard'!$B$5,IF(ISNUMBER(F485),ISNUMBER(G485),TRUE),IF(ISNUMBER(F485),OR(G485&gt;=F485,AC485&lt;&gt;""),TRUE)),1,0)</x:f>
        <x:v>0</x:v>
      </x:c>
    </x:row>
    <x:row r="486" ht="58" customHeight="1">
      <x:c r="A486" s="2" t="str">
        <x:v>T0491</x:v>
      </x:c>
      <x:c r="B486" s="30" t="n">
        <x:v>46373</x:v>
      </x:c>
      <x:c r="C486" s="2" t="str">
        <x:v>Nic</x:v>
      </x:c>
      <x:c r="D486" s="2" t="str">
        <x:v>Client dependency</x:v>
      </x:c>
      <x:c r="E486" s="26" t="str">
        <x:v>Call outcome/next step for every appointment due; first-case decisions</x:v>
      </x:c>
      <x:c r="F486" s="2" t="str"/>
      <x:c r="G486" s="20"/>
      <x:c r="H486" s="2" t="str">
        <x:v>all due appointments</x:v>
      </x:c>
      <x:c r="I486" s="20" t="str">
        <x:v>Ready</x:v>
      </x:c>
      <x:c r="J486" s="2" t="str">
        <x:v>16:45</x:v>
      </x:c>
      <x:c r="K486" s="28" t="str"/>
      <x:c r="L486" s="28" t="str"/>
      <x:c r="M486" s="20" t="str"/>
      <x:c r="N486" s="33"/>
      <x:c r="O486" s="20" t="str"/>
      <x:c r="P486" s="33"/>
      <x:c r="Q486" s="2" t="n">
        <x:f>IF(AND(AE486=1,COUNTIFS($A$7:$A$500,"T0028",$AE$7:$AE$500,1)=1),1,0)</x:f>
        <x:v>0</x:v>
      </x:c>
      <x:c r="R486" s="2" t="str">
        <x:f>IF(AND(Q486=1,P486&lt;='Dashboard'!$B$5),IF(P486&gt;B486,"Accepted late","Accepted"),IF(B486&lt;'Dashboard'!$B$5,"Overdue",IF(I486="Blocked","Blocked",IF(B486='Dashboard'!$B$5,"Due today","Planned"))))</x:f>
        <x:v>Planned</x:v>
      </x:c>
      <x:c r="S486" s="26" t="str">
        <x:f>IF(I486="Accepted",IF(K486="","Add evidence",IF(O486="","Add reviewer",IF(P486="","Add accepted date",IF(AND(ISNUMBER(F486),COUNT(G486)=0),"Add actual quantity",IF(Q486=0,"Review target / date / dependencies","Complete"))))),IF(OR(I486="Blocked",I486="Deferred"),IF(L486="","Record blocker / reason",IF(M486="","Assign rescue owner",IF(N486="","Set recovery date","Recovery assigned"))),IF(B486&lt;'Dashboard'!$B$5,"Escalate and record recovery","Work to acceptance standard")))</x:f>
        <x:v>Work to acceptance standard</x:v>
      </x:c>
      <x:c r="T486" s="26" t="str">
        <x:v>T0028</x:v>
      </x:c>
      <x:c r="U486" s="26" t="str">
        <x:v>Demand-linked: work actual approved calendar; setter brief present; outcome logged same day. No calls scheduled is N/A with calendar evidence.</x:v>
      </x:c>
      <x:c r="V486" s="31" t="n">
        <x:v>0.5</x:v>
      </x:c>
      <x:c r="W486" s="26" t="str"/>
      <x:c r="X486" s="26" t="str">
        <x:v>DSI Reset PDF: lane responsibilities and dated runbook; dated allocation proposed for this tracker.</x:v>
      </x:c>
      <x:c r="Y486" s="30" t="n">
        <x:f>B486-WEEKDAY(B486,2)+1</x:f>
        <x:v>46370</x:v>
      </x:c>
      <x:c r="Z486" s="2" t="str">
        <x:v>demand</x:v>
      </x:c>
      <x:c r="AA486" s="2" t="n">
        <x:f>IF(Q486=1,IF(P486&gt;B486,1,0),0)</x:f>
        <x:v>0</x:v>
      </x:c>
      <x:c r="AB486" s="2" t="n">
        <x:f>IF(AND(Q486=1,P486&lt;='Dashboard'!$B$5),0,MAX(0,'Dashboard'!$B$5-B486))</x:f>
        <x:v>0</x:v>
      </x:c>
      <x:c r="AC486" s="28" t="str"/>
      <x:c r="AD486" s="2" t="str">
        <x:f>IF(AND(ISNUMBER(F486),ISNUMBER(G486)),G486-F486,"")</x:f>
      </x:c>
      <x:c r="AE486" s="2" t="n">
        <x:f>IF(AND(I486="Accepted",K486&lt;&gt;"",O486&lt;&gt;"",ISNUMBER(P486),P486&gt;0,P486&lt;='Dashboard'!$B$5,IF(ISNUMBER(F486),ISNUMBER(G486),TRUE)),1,0)</x:f>
        <x:v>0</x:v>
      </x:c>
    </x:row>
    <x:row r="487" ht="58" customHeight="1">
      <x:c r="A487" s="2" t="str">
        <x:v>T0492</x:v>
      </x:c>
      <x:c r="B487" s="30" t="n">
        <x:v>46373</x:v>
      </x:c>
      <x:c r="C487" s="2" t="str">
        <x:v>Maseeha</x:v>
      </x:c>
      <x:c r="D487" s="2" t="str">
        <x:v>Client dependency</x:v>
      </x:c>
      <x:c r="E487" s="26" t="str">
        <x:v>Due intro verification; kit/case handoff; delivery/Day-30 dates; credit trigger log</x:v>
      </x:c>
      <x:c r="F487" s="2" t="str"/>
      <x:c r="G487" s="20"/>
      <x:c r="H487" s="2" t="str">
        <x:v>all due cases</x:v>
      </x:c>
      <x:c r="I487" s="20" t="str">
        <x:v>Ready</x:v>
      </x:c>
      <x:c r="J487" s="2" t="str">
        <x:v>16:45</x:v>
      </x:c>
      <x:c r="K487" s="28" t="str"/>
      <x:c r="L487" s="28" t="str"/>
      <x:c r="M487" s="20" t="str"/>
      <x:c r="N487" s="33"/>
      <x:c r="O487" s="20" t="str"/>
      <x:c r="P487" s="33"/>
      <x:c r="Q487" s="2" t="n">
        <x:f>IF(AND(AE487=1,COUNTIFS($A$7:$A$500,"T0028",$AE$7:$AE$500,1)=1),1,0)</x:f>
        <x:v>0</x:v>
      </x:c>
      <x:c r="R487" s="2" t="str">
        <x:f>IF(AND(Q487=1,P487&lt;='Dashboard'!$B$5),IF(P487&gt;B487,"Accepted late","Accepted"),IF(B487&lt;'Dashboard'!$B$5,"Overdue",IF(I487="Blocked","Blocked",IF(B487='Dashboard'!$B$5,"Due today","Planned"))))</x:f>
        <x:v>Planned</x:v>
      </x:c>
      <x:c r="S487" s="26" t="str">
        <x:f>IF(I487="Accepted",IF(K487="","Add evidence",IF(O487="","Add reviewer",IF(P487="","Add accepted date",IF(AND(ISNUMBER(F487),COUNT(G487)=0),"Add actual quantity",IF(Q487=0,"Review target / date / dependencies","Complete"))))),IF(OR(I487="Blocked",I487="Deferred"),IF(L487="","Record blocker / reason",IF(M487="","Assign rescue owner",IF(N487="","Set recovery date","Recovery assigned"))),IF(B487&lt;'Dashboard'!$B$5,"Escalate and record recovery","Work to acceptance standard")))</x:f>
        <x:v>Work to acceptance standard</x:v>
      </x:c>
      <x:c r="T487" s="26" t="str">
        <x:v>T0028</x:v>
      </x:c>
      <x:c r="U487" s="26" t="str">
        <x:v>Demand-linked: referral verification&lt;=2 business days; trial capacity respected; $200 credit only on eligible invoice paid.</x:v>
      </x:c>
      <x:c r="V487" s="31" t="n">
        <x:v>0.5</x:v>
      </x:c>
      <x:c r="W487" s="26" t="str"/>
      <x:c r="X487" s="26" t="str">
        <x:v>DSI Reset PDF: lane responsibilities and dated runbook; dated allocation proposed for this tracker.</x:v>
      </x:c>
      <x:c r="Y487" s="30" t="n">
        <x:f>B487-WEEKDAY(B487,2)+1</x:f>
        <x:v>46370</x:v>
      </x:c>
      <x:c r="Z487" s="2" t="str">
        <x:v>demand</x:v>
      </x:c>
      <x:c r="AA487" s="2" t="n">
        <x:f>IF(Q487=1,IF(P487&gt;B487,1,0),0)</x:f>
        <x:v>0</x:v>
      </x:c>
      <x:c r="AB487" s="2" t="n">
        <x:f>IF(AND(Q487=1,P487&lt;='Dashboard'!$B$5),0,MAX(0,'Dashboard'!$B$5-B487))</x:f>
        <x:v>0</x:v>
      </x:c>
      <x:c r="AC487" s="28" t="str"/>
      <x:c r="AD487" s="2" t="str">
        <x:f>IF(AND(ISNUMBER(F487),ISNUMBER(G487)),G487-F487,"")</x:f>
      </x:c>
      <x:c r="AE487" s="2" t="n">
        <x:f>IF(AND(I487="Accepted",K487&lt;&gt;"",O487&lt;&gt;"",ISNUMBER(P487),P487&gt;0,P487&lt;='Dashboard'!$B$5,IF(ISNUMBER(F487),ISNUMBER(G487),TRUE)),1,0)</x:f>
        <x:v>0</x:v>
      </x:c>
    </x:row>
    <x:row r="488" ht="58" customHeight="1">
      <x:c r="A488" s="2" t="str">
        <x:v>T0416</x:v>
      </x:c>
      <x:c r="B488" s="30" t="n">
        <x:v>46374</x:v>
      </x:c>
      <x:c r="C488" s="2" t="str">
        <x:v>Wyline</x:v>
      </x:c>
      <x:c r="D488" s="2" t="str">
        <x:v>Program Director</x:v>
      </x:c>
      <x:c r="E488" s="26" t="str">
        <x:v>Closeout report, January queue, owner/dates</x:v>
      </x:c>
      <x:c r="F488" s="2" t="n">
        <x:v>1</x:v>
      </x:c>
      <x:c r="G488" s="20"/>
      <x:c r="H488" s="2" t="str">
        <x:v>accepted output</x:v>
      </x:c>
      <x:c r="I488" s="20" t="str">
        <x:v>Ready</x:v>
      </x:c>
      <x:c r="J488" s="2" t="str">
        <x:v>16:45</x:v>
      </x:c>
      <x:c r="K488" s="28" t="str"/>
      <x:c r="L488" s="28" t="str"/>
      <x:c r="M488" s="20" t="str"/>
      <x:c r="N488" s="33"/>
      <x:c r="O488" s="20" t="str"/>
      <x:c r="P488" s="33"/>
      <x:c r="Q488" s="2" t="n">
        <x:f>IF(AND(AE488=1,COUNTIFS($A$7:$A$500,"T0067",$AE$7:$AE$500,1)=1,COUNTIFS($A$7:$A$500,"T0055",$AE$7:$AE$500,1)=1),1,0)</x:f>
        <x:v>0</x:v>
      </x:c>
      <x:c r="R488" s="2" t="str">
        <x:f>IF(AND(Q488=1,P488&lt;='Dashboard'!$B$5),IF(P488&gt;B488,"Accepted late","Accepted"),IF(B488&lt;'Dashboard'!$B$5,"Overdue",IF(I488="Blocked","Blocked",IF(B488='Dashboard'!$B$5,"Due today","Planned"))))</x:f>
        <x:v>Planned</x:v>
      </x:c>
      <x:c r="S488" s="26" t="str">
        <x:f>IF(I488="Accepted",IF(K488="","Add evidence",IF(O488="","Add reviewer",IF(P488="","Add accepted date",IF(AND(ISNUMBER(F488),COUNT(G488)=0),"Add actual quantity",IF(Q488=0,"Review target / date / dependencies","Complete"))))),IF(OR(I488="Blocked",I488="Deferred"),IF(L488="","Record blocker / reason",IF(M488="","Assign rescue owner",IF(N488="","Set recovery date","Recovery assigned"))),IF(B488&lt;'Dashboard'!$B$5,"Escalate and record recovery","Work to acceptance standard")))</x:f>
        <x:v>Work to acceptance standard</x:v>
      </x:c>
      <x:c r="T488" s="26" t="str">
        <x:v>T0067</x:v>
      </x:c>
      <x:c r="U488" s="26" t="str">
        <x:v>CEO/client readout QA passed; critical open items explicit; no silent deadline reset.</x:v>
      </x:c>
      <x:c r="V488" s="31" t="n">
        <x:v>3</x:v>
      </x:c>
      <x:c r="W488" s="26" t="str"/>
      <x:c r="X488" s="26" t="str">
        <x:v>DSI Reset PDF: lane responsibilities and dated runbook; dated allocation proposed for this tracker.</x:v>
      </x:c>
      <x:c r="Y488" s="30" t="n">
        <x:f>B488-WEEKDAY(B488,2)+1</x:f>
        <x:v>46370</x:v>
      </x:c>
      <x:c r="Z488" s="2" t="str">
        <x:v>checklist</x:v>
      </x:c>
      <x:c r="AA488" s="2" t="n">
        <x:f>IF(Q488=1,IF(P488&gt;B488,1,0),0)</x:f>
        <x:v>0</x:v>
      </x:c>
      <x:c r="AB488" s="2" t="n">
        <x:f>IF(AND(Q488=1,P488&lt;='Dashboard'!$B$5),0,MAX(0,'Dashboard'!$B$5-B488))</x:f>
        <x:v>0</x:v>
      </x:c>
      <x:c r="AC488" s="28" t="str"/>
      <x:c r="AD488" s="2" t="str">
        <x:f>IF(AND(ISNUMBER(F488),ISNUMBER(G488)),G488-F488,"")</x:f>
      </x:c>
      <x:c r="AE488" s="2" t="n">
        <x:f>IF(AND(I488="Accepted",K488&lt;&gt;"",O488&lt;&gt;"",ISNUMBER(P488),P488&gt;0,P488&lt;='Dashboard'!$B$5,IF(ISNUMBER(F488),ISNUMBER(G488),TRUE),IF(ISNUMBER(F488),G488&gt;=F488,TRUE)),1,0)</x:f>
        <x:v>0</x:v>
      </x:c>
    </x:row>
    <x:row r="489" ht="58" customHeight="1">
      <x:c r="A489" s="2" t="str">
        <x:v>T0417</x:v>
      </x:c>
      <x:c r="B489" s="30" t="n">
        <x:v>46374</x:v>
      </x:c>
      <x:c r="C489" s="2" t="str">
        <x:v>Kenneth</x:v>
      </x:c>
      <x:c r="D489" s="2" t="str">
        <x:v>Message Orchestrator</x:v>
      </x:c>
      <x:c r="E489" s="26" t="str">
        <x:v>Five-call review with Nova; 3 next-week posts with proof links; one controlled test decision</x:v>
      </x:c>
      <x:c r="F489" s="2" t="n">
        <x:v>1</x:v>
      </x:c>
      <x:c r="G489" s="20"/>
      <x:c r="H489" s="2" t="str">
        <x:v>accepted output</x:v>
      </x:c>
      <x:c r="I489" s="20" t="str">
        <x:v>Ready</x:v>
      </x:c>
      <x:c r="J489" s="2" t="str">
        <x:v>16:45</x:v>
      </x:c>
      <x:c r="K489" s="28" t="str"/>
      <x:c r="L489" s="28" t="str"/>
      <x:c r="M489" s="20" t="str"/>
      <x:c r="N489" s="33"/>
      <x:c r="O489" s="20" t="str"/>
      <x:c r="P489" s="33"/>
      <x:c r="Q489" s="2" t="n">
        <x:f>IF(AND(AE489=1,COUNTIFS($A$7:$A$500,"T0067",$AE$7:$AE$500,1)=1,COUNTIFS($A$7:$A$500,"T0055",$AE$7:$AE$500,1)=1),1,0)</x:f>
        <x:v>0</x:v>
      </x:c>
      <x:c r="R489" s="2" t="str">
        <x:f>IF(AND(Q489=1,P489&lt;='Dashboard'!$B$5),IF(P489&gt;B489,"Accepted late","Accepted"),IF(B489&lt;'Dashboard'!$B$5,"Overdue",IF(I489="Blocked","Blocked",IF(B489='Dashboard'!$B$5,"Due today","Planned"))))</x:f>
        <x:v>Planned</x:v>
      </x:c>
      <x:c r="S489" s="26" t="str">
        <x:f>IF(I489="Accepted",IF(K489="","Add evidence",IF(O489="","Add reviewer",IF(P489="","Add accepted date",IF(AND(ISNUMBER(F489),COUNT(G489)=0),"Add actual quantity",IF(Q489=0,"Review target / date / dependencies","Complete"))))),IF(OR(I489="Blocked",I489="Deferred"),IF(L489="","Record blocker / reason",IF(M489="","Assign rescue owner",IF(N489="","Set recovery date","Recovery assigned"))),IF(B489&lt;'Dashboard'!$B$5,"Escalate and record recovery","Work to acceptance standard")))</x:f>
        <x:v>Work to acceptance standard</x:v>
      </x:c>
      <x:c r="T489" s="26" t="str">
        <x:v>T0067</x:v>
      </x:c>
      <x:c r="U489" s="26" t="str">
        <x:v>Two hours per week reserved for social within Kenneth’s cap. Across each 12-post cycle use 6 Engage / 4 Educate / 2 Promote, with promotion no more than once per fortnight. Wyline approves the exact version before publishing.</x:v>
      </x:c>
      <x:c r="V489" s="31" t="n">
        <x:v>2.4</x:v>
      </x:c>
      <x:c r="W489" s="26" t="str"/>
      <x:c r="X489" s="26" t="str">
        <x:v>DSI Reset PDF: lane responsibilities and dated runbook; dated allocation proposed for this tracker.</x:v>
      </x:c>
      <x:c r="Y489" s="30" t="n">
        <x:f>B489-WEEKDAY(B489,2)+1</x:f>
        <x:v>46370</x:v>
      </x:c>
      <x:c r="Z489" s="2" t="str">
        <x:v>checklist</x:v>
      </x:c>
      <x:c r="AA489" s="2" t="n">
        <x:f>IF(Q489=1,IF(P489&gt;B489,1,0),0)</x:f>
        <x:v>0</x:v>
      </x:c>
      <x:c r="AB489" s="2" t="n">
        <x:f>IF(AND(Q489=1,P489&lt;='Dashboard'!$B$5),0,MAX(0,'Dashboard'!$B$5-B489))</x:f>
        <x:v>0</x:v>
      </x:c>
      <x:c r="AC489" s="28" t="str"/>
      <x:c r="AD489" s="2" t="str">
        <x:f>IF(AND(ISNUMBER(F489),ISNUMBER(G489)),G489-F489,"")</x:f>
      </x:c>
      <x:c r="AE489" s="2" t="n">
        <x:f>IF(AND(I489="Accepted",K489&lt;&gt;"",O489&lt;&gt;"",ISNUMBER(P489),P489&gt;0,P489&lt;='Dashboard'!$B$5,IF(ISNUMBER(F489),ISNUMBER(G489),TRUE),IF(ISNUMBER(F489),G489&gt;=F489,TRUE)),1,0)</x:f>
        <x:v>0</x:v>
      </x:c>
    </x:row>
    <x:row r="490" ht="58" customHeight="1">
      <x:c r="A490" s="2" t="str">
        <x:v>T0418</x:v>
      </x:c>
      <x:c r="B490" s="30" t="n">
        <x:v>46374</x:v>
      </x:c>
      <x:c r="C490" s="2" t="str">
        <x:v>Joey</x:v>
      </x:c>
      <x:c r="D490" s="2" t="str">
        <x:v>Data Orchestrator</x:v>
      </x:c>
      <x:c r="E490" s="26" t="str">
        <x:v>Mailbox/bounce/suppression log; ready verified records; due-follow up versus new-send capacity plan.</x:v>
      </x:c>
      <x:c r="F490" s="2" t="n">
        <x:v>1</x:v>
      </x:c>
      <x:c r="G490" s="20"/>
      <x:c r="H490" s="2" t="str">
        <x:v>verified queue and health check</x:v>
      </x:c>
      <x:c r="I490" s="20" t="str">
        <x:v>Ready</x:v>
      </x:c>
      <x:c r="J490" s="2" t="str">
        <x:v>16:45</x:v>
      </x:c>
      <x:c r="K490" s="28" t="str"/>
      <x:c r="L490" s="28" t="str"/>
      <x:c r="M490" s="20" t="str"/>
      <x:c r="N490" s="33"/>
      <x:c r="O490" s="20" t="str"/>
      <x:c r="P490" s="33"/>
      <x:c r="Q490" s="2" t="n">
        <x:f>IF(AND(AE490=1,COUNTIFS($A$7:$A$500,"T0067",$AE$7:$AE$500,1)=1,COUNTIFS($A$7:$A$500,"T0055",$AE$7:$AE$500,1)=1),1,0)</x:f>
        <x:v>0</x:v>
      </x:c>
      <x:c r="R490" s="2" t="str">
        <x:f>IF(AND(Q490=1,P490&lt;='Dashboard'!$B$5),IF(P490&gt;B490,"Accepted late","Accepted"),IF(B490&lt;'Dashboard'!$B$5,"Overdue",IF(I490="Blocked","Blocked",IF(B490='Dashboard'!$B$5,"Due today","Planned"))))</x:f>
        <x:v>Planned</x:v>
      </x:c>
      <x:c r="S490" s="26" t="str">
        <x:f>IF(I490="Accepted",IF(K490="","Add evidence",IF(O490="","Add reviewer",IF(P490="","Add accepted date",IF(AND(ISNUMBER(F490),COUNT(G490)=0),"Add actual quantity",IF(Q490=0,"Review target / date / dependencies","Complete"))))),IF(OR(I490="Blocked",I490="Deferred"),IF(L490="","Record blocker / reason",IF(M490="","Assign rescue owner",IF(N490="","Set recovery date","Recovery assigned"))),IF(B490&lt;'Dashboard'!$B$5,"Escalate and record recovery","Work to acceptance standard")))</x:f>
        <x:v>Work to acceptance standard</x:v>
      </x:c>
      <x:c r="T490" s="26" t="str">
        <x:v>T0067</x:v>
      </x:c>
      <x:c r="U490" s="26" t="str">
        <x:v>Planning pool addition 0 contacts today; quality gate wins over quota. Total sends&lt;=150/day;&gt;3% bounce affected mailbox held. No new cold enrollments on reduced/buffer days.</x:v>
      </x:c>
      <x:c r="V490" s="31" t="n">
        <x:v>3</x:v>
      </x:c>
      <x:c r="W490" s="26" t="str"/>
      <x:c r="X490" s="26" t="str">
        <x:v>DSI Reset PDF: lane responsibilities and dated runbook; dated allocation proposed for this tracker.</x:v>
      </x:c>
      <x:c r="Y490" s="30" t="n">
        <x:f>B490-WEEKDAY(B490,2)+1</x:f>
        <x:v>46370</x:v>
      </x:c>
      <x:c r="Z490" s="2" t="str">
        <x:v>checklist</x:v>
      </x:c>
      <x:c r="AA490" s="2" t="n">
        <x:f>IF(Q490=1,IF(P490&gt;B490,1,0),0)</x:f>
        <x:v>0</x:v>
      </x:c>
      <x:c r="AB490" s="2" t="n">
        <x:f>IF(AND(Q490=1,P490&lt;='Dashboard'!$B$5),0,MAX(0,'Dashboard'!$B$5-B490))</x:f>
        <x:v>0</x:v>
      </x:c>
      <x:c r="AC490" s="28" t="str"/>
      <x:c r="AD490" s="2" t="str">
        <x:f>IF(AND(ISNUMBER(F490),ISNUMBER(G490)),G490-F490,"")</x:f>
      </x:c>
      <x:c r="AE490" s="2" t="n">
        <x:f>IF(AND(I490="Accepted",K490&lt;&gt;"",O490&lt;&gt;"",ISNUMBER(P490),P490&gt;0,P490&lt;='Dashboard'!$B$5,IF(ISNUMBER(F490),ISNUMBER(G490),TRUE),IF(ISNUMBER(F490),G490&gt;=F490,TRUE)),1,0)</x:f>
        <x:v>0</x:v>
      </x:c>
    </x:row>
    <x:row r="491" ht="58" customHeight="1">
      <x:c r="A491" s="2" t="str">
        <x:v>T0419</x:v>
      </x:c>
      <x:c r="B491" s="30" t="n">
        <x:v>46374</x:v>
      </x:c>
      <x:c r="C491" s="2" t="str">
        <x:v>Nova</x:v>
      </x:c>
      <x:c r="D491" s="2" t="str">
        <x:v>Conversion Orchestrator</x:v>
      </x:c>
      <x:c r="E491" s="26" t="str">
        <x:v>Coverage/SLA evidence; 2 call reviews; booked/held updates; next-step and trial handoffs. Log each unique qualified inquiry with practice type, decision-maker access, case volume, service need and readiness timing.</x:v>
      </x:c>
      <x:c r="F491" s="2" t="n">
        <x:v>1</x:v>
      </x:c>
      <x:c r="G491" s="20"/>
      <x:c r="H491" s="2" t="str">
        <x:v>accepted output</x:v>
      </x:c>
      <x:c r="I491" s="20" t="str">
        <x:v>Ready</x:v>
      </x:c>
      <x:c r="J491" s="2" t="str">
        <x:v>16:45</x:v>
      </x:c>
      <x:c r="K491" s="28" t="str"/>
      <x:c r="L491" s="28" t="str"/>
      <x:c r="M491" s="20" t="str"/>
      <x:c r="N491" s="33"/>
      <x:c r="O491" s="20" t="str"/>
      <x:c r="P491" s="33"/>
      <x:c r="Q491" s="2" t="n">
        <x:f>IF(AND(AE491=1,COUNTIFS($A$7:$A$500,"T0067",$AE$7:$AE$500,1)=1,COUNTIFS($A$7:$A$500,"T0055",$AE$7:$AE$500,1)=1),1,0)</x:f>
        <x:v>0</x:v>
      </x:c>
      <x:c r="R491" s="2" t="str">
        <x:f>IF(AND(Q491=1,P491&lt;='Dashboard'!$B$5),IF(P491&gt;B491,"Accepted late","Accepted"),IF(B491&lt;'Dashboard'!$B$5,"Overdue",IF(I491="Blocked","Blocked",IF(B491='Dashboard'!$B$5,"Due today","Planned"))))</x:f>
        <x:v>Planned</x:v>
      </x:c>
      <x:c r="S491" s="26" t="str">
        <x:f>IF(I491="Accepted",IF(K491="","Add evidence",IF(O491="","Add reviewer",IF(P491="","Add accepted date",IF(AND(ISNUMBER(F491),COUNT(G491)=0),"Add actual quantity",IF(Q491=0,"Review target / date / dependencies","Complete"))))),IF(OR(I491="Blocked",I491="Deferred"),IF(L491="","Record blocker / reason",IF(M491="","Assign rescue owner",IF(N491="","Set recovery date","Recovery assigned"))),IF(B491&lt;'Dashboard'!$B$5,"Escalate and record recovery","Work to acceptance standard")))</x:f>
        <x:v>Work to acceptance standard</x:v>
      </x:c>
      <x:c r="T491" s="26" t="str">
        <x:v>T0067</x:v>
      </x:c>
      <x:c r="U491" s="26" t="str">
        <x:v>Every eligible reply&lt;=15 min; positive call&lt;=60 min; no opportunity without next step; booked brief to Nic; trial logistics to Maseeha. Raw contacts, opens and accepts never count as qualified inquiries; deduplicate across channels.</x:v>
      </x:c>
      <x:c r="V491" s="31" t="n">
        <x:v>4</x:v>
      </x:c>
      <x:c r="W491" s="26" t="str"/>
      <x:c r="X491" s="26" t="str">
        <x:v>DSI Reset PDF: lane responsibilities and dated runbook; dated allocation proposed for this tracker.</x:v>
      </x:c>
      <x:c r="Y491" s="30" t="n">
        <x:f>B491-WEEKDAY(B491,2)+1</x:f>
        <x:v>46370</x:v>
      </x:c>
      <x:c r="Z491" s="2" t="str">
        <x:v>checklist</x:v>
      </x:c>
      <x:c r="AA491" s="2" t="n">
        <x:f>IF(Q491=1,IF(P491&gt;B491,1,0),0)</x:f>
        <x:v>0</x:v>
      </x:c>
      <x:c r="AB491" s="2" t="n">
        <x:f>IF(AND(Q491=1,P491&lt;='Dashboard'!$B$5),0,MAX(0,'Dashboard'!$B$5-B491))</x:f>
        <x:v>0</x:v>
      </x:c>
      <x:c r="AC491" s="28" t="str"/>
      <x:c r="AD491" s="2" t="str">
        <x:f>IF(AND(ISNUMBER(F491),ISNUMBER(G491)),G491-F491,"")</x:f>
      </x:c>
      <x:c r="AE491" s="2" t="n">
        <x:f>IF(AND(I491="Accepted",K491&lt;&gt;"",O491&lt;&gt;"",ISNUMBER(P491),P491&gt;0,P491&lt;='Dashboard'!$B$5,IF(ISNUMBER(F491),ISNUMBER(G491),TRUE),IF(ISNUMBER(F491),G491&gt;=F491,TRUE)),1,0)</x:f>
        <x:v>0</x:v>
      </x:c>
    </x:row>
    <x:row r="492" ht="58" customHeight="1">
      <x:c r="A492" s="2" t="str">
        <x:v>T0420</x:v>
      </x:c>
      <x:c r="B492" s="30" t="n">
        <x:v>46374</x:v>
      </x:c>
      <x:c r="C492" s="2" t="str">
        <x:v>Emman</x:v>
      </x:c>
      <x:c r="D492" s="2" t="str">
        <x:v>AI Build Orchestrator</x:v>
      </x:c>
      <x:c r="E492" s="26" t="str">
        <x:v>Health/retry log; one acceptance-backed build increment; updated change log</x:v>
      </x:c>
      <x:c r="F492" s="2" t="n">
        <x:v>1</x:v>
      </x:c>
      <x:c r="G492" s="20"/>
      <x:c r="H492" s="2" t="str">
        <x:v>accepted output</x:v>
      </x:c>
      <x:c r="I492" s="20" t="str">
        <x:v>Ready</x:v>
      </x:c>
      <x:c r="J492" s="2" t="str">
        <x:v>16:45</x:v>
      </x:c>
      <x:c r="K492" s="28" t="str"/>
      <x:c r="L492" s="28" t="str"/>
      <x:c r="M492" s="20" t="str"/>
      <x:c r="N492" s="33"/>
      <x:c r="O492" s="20" t="str"/>
      <x:c r="P492" s="33"/>
      <x:c r="Q492" s="2" t="n">
        <x:f>IF(AND(AE492=1,COUNTIFS($A$7:$A$500,"T0067",$AE$7:$AE$500,1)=1,COUNTIFS($A$7:$A$500,"T0055",$AE$7:$AE$500,1)=1),1,0)</x:f>
        <x:v>0</x:v>
      </x:c>
      <x:c r="R492" s="2" t="str">
        <x:f>IF(AND(Q492=1,P492&lt;='Dashboard'!$B$5),IF(P492&gt;B492,"Accepted late","Accepted"),IF(B492&lt;'Dashboard'!$B$5,"Overdue",IF(I492="Blocked","Blocked",IF(B492='Dashboard'!$B$5,"Due today","Planned"))))</x:f>
        <x:v>Planned</x:v>
      </x:c>
      <x:c r="S492" s="26" t="str">
        <x:f>IF(I492="Accepted",IF(K492="","Add evidence",IF(O492="","Add reviewer",IF(P492="","Add accepted date",IF(AND(ISNUMBER(F492),COUNT(G492)=0),"Add actual quantity",IF(Q492=0,"Review target / date / dependencies","Complete"))))),IF(OR(I492="Blocked",I492="Deferred"),IF(L492="","Record blocker / reason",IF(M492="","Assign rescue owner",IF(N492="","Set recovery date","Recovery assigned"))),IF(B492&lt;'Dashboard'!$B$5,"Escalate and record recovery","Work to acceptance standard")))</x:f>
        <x:v>Work to acceptance standard</x:v>
      </x:c>
      <x:c r="T492" s="26" t="str">
        <x:v>T0067</x:v>
      </x:c>
      <x:c r="U492" s="26" t="str">
        <x:v>Fix a failing live agent beforestarting the next build. If an agent is still not working 48 hours after its due date, activate the manual SOP. Roll back a live failure within 1 hour. Release build reserve when no approved work remains.</x:v>
      </x:c>
      <x:c r="V492" s="31" t="n">
        <x:v>4</x:v>
      </x:c>
      <x:c r="W492" s="26" t="str"/>
      <x:c r="X492" s="26" t="str">
        <x:v>DSI Reset PDF: lane responsibilities and dated runbook; dated allocation proposed for this tracker.</x:v>
      </x:c>
      <x:c r="Y492" s="30" t="n">
        <x:f>B492-WEEKDAY(B492,2)+1</x:f>
        <x:v>46370</x:v>
      </x:c>
      <x:c r="Z492" s="2" t="str">
        <x:v>checklist</x:v>
      </x:c>
      <x:c r="AA492" s="2" t="n">
        <x:f>IF(Q492=1,IF(P492&gt;B492,1,0),0)</x:f>
        <x:v>0</x:v>
      </x:c>
      <x:c r="AB492" s="2" t="n">
        <x:f>IF(AND(Q492=1,P492&lt;='Dashboard'!$B$5),0,MAX(0,'Dashboard'!$B$5-B492))</x:f>
        <x:v>0</x:v>
      </x:c>
      <x:c r="AC492" s="28" t="str"/>
      <x:c r="AD492" s="2" t="str">
        <x:f>IF(AND(ISNUMBER(F492),ISNUMBER(G492)),G492-F492,"")</x:f>
      </x:c>
      <x:c r="AE492" s="2" t="n">
        <x:f>IF(AND(I492="Accepted",K492&lt;&gt;"",O492&lt;&gt;"",ISNUMBER(P492),P492&gt;0,P492&lt;='Dashboard'!$B$5,IF(ISNUMBER(F492),ISNUMBER(G492),TRUE),IF(ISNUMBER(F492),G492&gt;=F492,TRUE)),1,0)</x:f>
        <x:v>0</x:v>
      </x:c>
    </x:row>
    <x:row r="493" ht="58" customHeight="1">
      <x:c r="A493" s="2" t="str">
        <x:v>T0421</x:v>
      </x:c>
      <x:c r="B493" s="30" t="n">
        <x:v>46374</x:v>
      </x:c>
      <x:c r="C493" s="2" t="str">
        <x:v>Ludwig</x:v>
      </x:c>
      <x:c r="D493" s="2" t="str">
        <x:v>Integration Engineer</x:v>
      </x:c>
      <x:c r="E493" s="26" t="str">
        <x:v>Webhook/error/dead-letter check; top assigned integration ticket or verified no-ticket note</x:v>
      </x:c>
      <x:c r="F493" s="2" t="n">
        <x:v>1</x:v>
      </x:c>
      <x:c r="G493" s="20"/>
      <x:c r="H493" s="2" t="str">
        <x:v>accepted output</x:v>
      </x:c>
      <x:c r="I493" s="20" t="str">
        <x:v>Ready</x:v>
      </x:c>
      <x:c r="J493" s="2" t="str">
        <x:v>16:45</x:v>
      </x:c>
      <x:c r="K493" s="28" t="str"/>
      <x:c r="L493" s="28" t="str"/>
      <x:c r="M493" s="20" t="str"/>
      <x:c r="N493" s="33"/>
      <x:c r="O493" s="20" t="str"/>
      <x:c r="P493" s="33"/>
      <x:c r="Q493" s="2" t="n">
        <x:f>IF(AND(AE493=1,COUNTIFS($A$7:$A$500,"T0067",$AE$7:$AE$500,1)=1,COUNTIFS($A$7:$A$500,"T0055",$AE$7:$AE$500,1)=1),1,0)</x:f>
        <x:v>0</x:v>
      </x:c>
      <x:c r="R493" s="2" t="str">
        <x:f>IF(AND(Q493=1,P493&lt;='Dashboard'!$B$5),IF(P493&gt;B493,"Accepted late","Accepted"),IF(B493&lt;'Dashboard'!$B$5,"Overdue",IF(I493="Blocked","Blocked",IF(B493='Dashboard'!$B$5,"Due today","Planned"))))</x:f>
        <x:v>Planned</x:v>
      </x:c>
      <x:c r="S493" s="26" t="str">
        <x:f>IF(I493="Accepted",IF(K493="","Add evidence",IF(O493="","Add reviewer",IF(P493="","Add accepted date",IF(AND(ISNUMBER(F493),COUNT(G493)=0),"Add actual quantity",IF(Q493=0,"Review target / date / dependencies","Complete"))))),IF(OR(I493="Blocked",I493="Deferred"),IF(L493="","Record blocker / reason",IF(M493="","Assign rescue owner",IF(N493="","Set recovery date","Recovery assigned"))),IF(B493&lt;'Dashboard'!$B$5,"Escalate and record recovery","Work to acceptance standard")))</x:f>
        <x:v>Work to acceptance standard</x:v>
      </x:c>
      <x:c r="T493" s="26" t="str">
        <x:v>T0067</x:v>
      </x:c>
      <x:c r="U493" s="26" t="str">
        <x:v>Only Emman’s priority queue; 100% test capture; runbook/retry/rollback evidence. If no fault/ticket, release reserve; do not invent work.</x:v>
      </x:c>
      <x:c r="V493" s="31" t="n">
        <x:v>1.6</x:v>
      </x:c>
      <x:c r="W493" s="26" t="str"/>
      <x:c r="X493" s="26" t="str">
        <x:v>DSI Reset PDF: lane responsibilities and dated runbook; dated allocation proposed for this tracker.</x:v>
      </x:c>
      <x:c r="Y493" s="30" t="n">
        <x:f>B493-WEEKDAY(B493,2)+1</x:f>
        <x:v>46370</x:v>
      </x:c>
      <x:c r="Z493" s="2" t="str">
        <x:v>checklist</x:v>
      </x:c>
      <x:c r="AA493" s="2" t="n">
        <x:f>IF(Q493=1,IF(P493&gt;B493,1,0),0)</x:f>
        <x:v>0</x:v>
      </x:c>
      <x:c r="AB493" s="2" t="n">
        <x:f>IF(AND(Q493=1,P493&lt;='Dashboard'!$B$5),0,MAX(0,'Dashboard'!$B$5-B493))</x:f>
        <x:v>0</x:v>
      </x:c>
      <x:c r="AC493" s="28" t="str"/>
      <x:c r="AD493" s="2" t="str">
        <x:f>IF(AND(ISNUMBER(F493),ISNUMBER(G493)),G493-F493,"")</x:f>
      </x:c>
      <x:c r="AE493" s="2" t="n">
        <x:f>IF(AND(I493="Accepted",K493&lt;&gt;"",O493&lt;&gt;"",ISNUMBER(P493),P493&gt;0,P493&lt;='Dashboard'!$B$5,IF(ISNUMBER(F493),ISNUMBER(G493),TRUE),IF(ISNUMBER(F493),G493&gt;=F493,TRUE)),1,0)</x:f>
        <x:v>0</x:v>
      </x:c>
    </x:row>
    <x:row r="494" ht="58" customHeight="1">
      <x:c r="A494" s="2" t="str">
        <x:v>T0422</x:v>
      </x:c>
      <x:c r="B494" s="30" t="n">
        <x:v>46374</x:v>
      </x:c>
      <x:c r="C494" s="2" t="str">
        <x:v>Alvin</x:v>
      </x:c>
      <x:c r="D494" s="2" t="str">
        <x:v>CQL/GHL Implementation</x:v>
      </x:c>
      <x:c r="E494" s="26" t="str">
        <x:v>Stage/calendar/reminder QA; due workflow fixes</x:v>
      </x:c>
      <x:c r="F494" s="2" t="n">
        <x:v>1</x:v>
      </x:c>
      <x:c r="G494" s="20"/>
      <x:c r="H494" s="2" t="str">
        <x:v>accepted output</x:v>
      </x:c>
      <x:c r="I494" s="20" t="str">
        <x:v>Ready</x:v>
      </x:c>
      <x:c r="J494" s="2" t="str">
        <x:v>16:45</x:v>
      </x:c>
      <x:c r="K494" s="28" t="str"/>
      <x:c r="L494" s="28" t="str"/>
      <x:c r="M494" s="20" t="str"/>
      <x:c r="N494" s="33"/>
      <x:c r="O494" s="20" t="str"/>
      <x:c r="P494" s="33"/>
      <x:c r="Q494" s="2" t="n">
        <x:f>IF(AND(AE494=1,COUNTIFS($A$7:$A$500,"T0067",$AE$7:$AE$500,1)=1,COUNTIFS($A$7:$A$500,"T0055",$AE$7:$AE$500,1)=1),1,0)</x:f>
        <x:v>0</x:v>
      </x:c>
      <x:c r="R494" s="2" t="str">
        <x:f>IF(AND(Q494=1,P494&lt;='Dashboard'!$B$5),IF(P494&gt;B494,"Accepted late","Accepted"),IF(B494&lt;'Dashboard'!$B$5,"Overdue",IF(I494="Blocked","Blocked",IF(B494='Dashboard'!$B$5,"Due today","Planned"))))</x:f>
        <x:v>Planned</x:v>
      </x:c>
      <x:c r="S494" s="26" t="str">
        <x:f>IF(I494="Accepted",IF(K494="","Add evidence",IF(O494="","Add reviewer",IF(P494="","Add accepted date",IF(AND(ISNUMBER(F494),COUNT(G494)=0),"Add actual quantity",IF(Q494=0,"Review target / date / dependencies","Complete"))))),IF(OR(I494="Blocked",I494="Deferred"),IF(L494="","Record blocker / reason",IF(M494="","Assign rescue owner",IF(N494="","Set recovery date","Recovery assigned"))),IF(B494&lt;'Dashboard'!$B$5,"Escalate and record recovery","Work to acceptance standard")))</x:f>
        <x:v>Work to acceptance standard</x:v>
      </x:c>
      <x:c r="T494" s="26" t="str">
        <x:v>T0067</x:v>
      </x:c>
      <x:c r="U494" s="26" t="str">
        <x:v>No-show task&lt;=10 min; form/source fields correct; finish critical CRM defect same day. Facebook mirrors exact approved post; Instagram requires permissioned image.</x:v>
      </x:c>
      <x:c r="V494" s="31" t="n">
        <x:v>2</x:v>
      </x:c>
      <x:c r="W494" s="26" t="str"/>
      <x:c r="X494" s="26" t="str">
        <x:v>DSI Reset PDF: lane responsibilities and dated runbook; dated allocation proposed for this tracker.</x:v>
      </x:c>
      <x:c r="Y494" s="30" t="n">
        <x:f>B494-WEEKDAY(B494,2)+1</x:f>
        <x:v>46370</x:v>
      </x:c>
      <x:c r="Z494" s="2" t="str">
        <x:v>checklist</x:v>
      </x:c>
      <x:c r="AA494" s="2" t="n">
        <x:f>IF(Q494=1,IF(P494&gt;B494,1,0),0)</x:f>
        <x:v>0</x:v>
      </x:c>
      <x:c r="AB494" s="2" t="n">
        <x:f>IF(AND(Q494=1,P494&lt;='Dashboard'!$B$5),0,MAX(0,'Dashboard'!$B$5-B494))</x:f>
        <x:v>0</x:v>
      </x:c>
      <x:c r="AC494" s="28" t="str"/>
      <x:c r="AD494" s="2" t="str">
        <x:f>IF(AND(ISNUMBER(F494),ISNUMBER(G494)),G494-F494,"")</x:f>
      </x:c>
      <x:c r="AE494" s="2" t="n">
        <x:f>IF(AND(I494="Accepted",K494&lt;&gt;"",O494&lt;&gt;"",ISNUMBER(P494),P494&gt;0,P494&lt;='Dashboard'!$B$5,IF(ISNUMBER(F494),ISNUMBER(G494),TRUE),IF(ISNUMBER(F494),G494&gt;=F494,TRUE)),1,0)</x:f>
        <x:v>0</x:v>
      </x:c>
    </x:row>
    <x:row r="495" ht="58" customHeight="1">
      <x:c r="A495" s="2" t="str">
        <x:v>T0423</x:v>
      </x:c>
      <x:c r="B495" s="30" t="n">
        <x:v>46374</x:v>
      </x:c>
      <x:c r="C495" s="2" t="str">
        <x:v>Brian</x:v>
      </x:c>
      <x:c r="D495" s="2" t="str">
        <x:v>Web and Tracking</x:v>
      </x:c>
      <x:c r="E495" s="26" t="str">
        <x:v>One health-check result; at most one weekly change ticket or no-ticket note</x:v>
      </x:c>
      <x:c r="F495" s="2" t="n">
        <x:v>1</x:v>
      </x:c>
      <x:c r="G495" s="20"/>
      <x:c r="H495" s="2" t="str">
        <x:v>accepted output</x:v>
      </x:c>
      <x:c r="I495" s="20" t="str">
        <x:v>Ready</x:v>
      </x:c>
      <x:c r="J495" s="2" t="str">
        <x:v>16:45</x:v>
      </x:c>
      <x:c r="K495" s="28" t="str"/>
      <x:c r="L495" s="28" t="str"/>
      <x:c r="M495" s="20" t="str"/>
      <x:c r="N495" s="33"/>
      <x:c r="O495" s="20" t="str"/>
      <x:c r="P495" s="33"/>
      <x:c r="Q495" s="2" t="n">
        <x:f>IF(AND(AE495=1,COUNTIFS($A$7:$A$500,"T0067",$AE$7:$AE$500,1)=1,COUNTIFS($A$7:$A$500,"T0055",$AE$7:$AE$500,1)=1),1,0)</x:f>
        <x:v>0</x:v>
      </x:c>
      <x:c r="R495" s="2" t="str">
        <x:f>IF(AND(Q495=1,P495&lt;='Dashboard'!$B$5),IF(P495&gt;B495,"Accepted late","Accepted"),IF(B495&lt;'Dashboard'!$B$5,"Overdue",IF(I495="Blocked","Blocked",IF(B495='Dashboard'!$B$5,"Due today","Planned"))))</x:f>
        <x:v>Planned</x:v>
      </x:c>
      <x:c r="S495" s="26" t="str">
        <x:f>IF(I495="Accepted",IF(K495="","Add evidence",IF(O495="","Add reviewer",IF(P495="","Add accepted date",IF(AND(ISNUMBER(F495),COUNT(G495)=0),"Add actual quantity",IF(Q495=0,"Review target / date / dependencies","Complete"))))),IF(OR(I495="Blocked",I495="Deferred"),IF(L495="","Record blocker / reason",IF(M495="","Assign rescue owner",IF(N495="","Set recovery date","Recovery assigned"))),IF(B495&lt;'Dashboard'!$B$5,"Escalate and record recovery","Work to acceptance standard")))</x:f>
        <x:v>Work to acceptance standard</x:v>
      </x:c>
      <x:c r="T495" s="26" t="str">
        <x:v>T0067</x:v>
      </x:c>
      <x:c r="U495" s="26" t="str">
        <x:v>Form to CQL&lt;1 min; approved copy unchanged; no work manufactured if healthy; ongoing reserve&lt;=2 h/week.</x:v>
      </x:c>
      <x:c r="V495" s="31" t="n">
        <x:v>0.4</x:v>
      </x:c>
      <x:c r="W495" s="26" t="str"/>
      <x:c r="X495" s="26" t="str">
        <x:v>DSI Reset PDF: lane responsibilities and dated runbook; dated allocation proposed for this tracker.</x:v>
      </x:c>
      <x:c r="Y495" s="30" t="n">
        <x:f>B495-WEEKDAY(B495,2)+1</x:f>
        <x:v>46370</x:v>
      </x:c>
      <x:c r="Z495" s="2" t="str">
        <x:v>checklist</x:v>
      </x:c>
      <x:c r="AA495" s="2" t="n">
        <x:f>IF(Q495=1,IF(P495&gt;B495,1,0),0)</x:f>
        <x:v>0</x:v>
      </x:c>
      <x:c r="AB495" s="2" t="n">
        <x:f>IF(AND(Q495=1,P495&lt;='Dashboard'!$B$5),0,MAX(0,'Dashboard'!$B$5-B495))</x:f>
        <x:v>0</x:v>
      </x:c>
      <x:c r="AC495" s="28" t="str"/>
      <x:c r="AD495" s="2" t="str">
        <x:f>IF(AND(ISNUMBER(F495),ISNUMBER(G495)),G495-F495,"")</x:f>
      </x:c>
      <x:c r="AE495" s="2" t="n">
        <x:f>IF(AND(I495="Accepted",K495&lt;&gt;"",O495&lt;&gt;"",ISNUMBER(P495),P495&gt;0,P495&lt;='Dashboard'!$B$5,IF(ISNUMBER(F495),ISNUMBER(G495),TRUE),IF(ISNUMBER(F495),G495&gt;=F495,TRUE)),1,0)</x:f>
        <x:v>0</x:v>
      </x:c>
    </x:row>
    <x:row r="496" ht="58" customHeight="1">
      <x:c r="A496" s="2" t="str">
        <x:v>T0424</x:v>
      </x:c>
      <x:c r="B496" s="30" t="n">
        <x:v>46374</x:v>
      </x:c>
      <x:c r="C496" s="2" t="str">
        <x:v>Dexter</x:v>
      </x:c>
      <x:c r="D496" s="2" t="str">
        <x:v>LinkedIn Execution</x:v>
      </x:c>
      <x:c r="E496" s="26" t="str">
        <x:v>CQL logged DMs/accepts; eligible requests; referred interested replies; approved post evidence</x:v>
      </x:c>
      <x:c r="F496" s="2" t="n">
        <x:v>0</x:v>
      </x:c>
      <x:c r="G496" s="20"/>
      <x:c r="H496" s="2" t="str">
        <x:v>new request working target; eligible pool required</x:v>
      </x:c>
      <x:c r="I496" s="20" t="str">
        <x:v>Ready</x:v>
      </x:c>
      <x:c r="J496" s="2" t="str">
        <x:v>16:45</x:v>
      </x:c>
      <x:c r="K496" s="28" t="str"/>
      <x:c r="L496" s="28" t="str"/>
      <x:c r="M496" s="20" t="str"/>
      <x:c r="N496" s="33"/>
      <x:c r="O496" s="20" t="str"/>
      <x:c r="P496" s="33"/>
      <x:c r="Q496" s="2" t="n">
        <x:f>IF(AND(AE496=1,COUNTIFS($A$7:$A$500,"T0067",$AE$7:$AE$500,1)=1,COUNTIFS($A$7:$A$500,"T0055",$AE$7:$AE$500,1)=1),1,0)</x:f>
        <x:v>0</x:v>
      </x:c>
      <x:c r="R496" s="2" t="str">
        <x:f>IF(AND(Q496=1,P496&lt;='Dashboard'!$B$5),IF(P496&gt;B496,"Accepted late","Accepted"),IF(B496&lt;'Dashboard'!$B$5,"Overdue",IF(I496="Blocked","Blocked",IF(B496='Dashboard'!$B$5,"Due today","Planned"))))</x:f>
        <x:v>Planned</x:v>
      </x:c>
      <x:c r="S496" s="26" t="str">
        <x:f>IF(I496="Accepted",IF(K496="","Add evidence",IF(O496="","Add reviewer",IF(P496="","Add accepted date",IF(AND(ISNUMBER(F496),COUNT(G496)=0),"Add actual quantity",IF(Q496=0,"Review target / date / dependencies","Complete"))))),IF(OR(I496="Blocked",I496="Deferred"),IF(L496="","Record blocker / reason",IF(M496="","Assign rescue owner",IF(N496="","Set recovery date","Recovery assigned"))),IF(B496&lt;'Dashboard'!$B$5,"Escalate and record recovery","Work to acceptance standard")))</x:f>
        <x:v>Work to acceptance standard</x:v>
      </x:c>
      <x:c r="T496" s="26" t="str">
        <x:v>T0067</x:v>
      </x:c>
      <x:c r="U496" s="26" t="str">
        <x:v>Replies/follow-up first; 20–25 requests/day only eligible pool/account allow; 100/week source capacity, not invented quota; interested to Nova&lt;=15 min; manual only. If actual activity is below the working target, record the eligible demand, inbound workload or capacity reason. Wyline reviews the variance; the ceiling is not a reason to invent activity.</x:v>
      </x:c>
      <x:c r="V496" s="31" t="n">
        <x:v>3</x:v>
      </x:c>
      <x:c r="W496" s="26" t="str"/>
      <x:c r="X496" s="26" t="str">
        <x:v>DSI Reset PDF: lane responsibilities and dated runbook; dated allocation proposed for this tracker.</x:v>
      </x:c>
      <x:c r="Y496" s="30" t="n">
        <x:f>B496-WEEKDAY(B496,2)+1</x:f>
        <x:v>46370</x:v>
      </x:c>
      <x:c r="Z496" s="2" t="str">
        <x:v>capacity</x:v>
      </x:c>
      <x:c r="AA496" s="2" t="n">
        <x:f>IF(Q496=1,IF(P496&gt;B496,1,0),0)</x:f>
        <x:v>0</x:v>
      </x:c>
      <x:c r="AB496" s="2" t="n">
        <x:f>IF(AND(Q496=1,P496&lt;='Dashboard'!$B$5),0,MAX(0,'Dashboard'!$B$5-B496))</x:f>
        <x:v>0</x:v>
      </x:c>
      <x:c r="AC496" s="28" t="str"/>
      <x:c r="AD496" s="2" t="str">
        <x:f>IF(AND(ISNUMBER(F496),ISNUMBER(G496)),G496-F496,"")</x:f>
      </x:c>
      <x:c r="AE496" s="2" t="n">
        <x:f>IF(AND(I496="Accepted",K496&lt;&gt;"",O496&lt;&gt;"",ISNUMBER(P496),P496&gt;0,P496&lt;='Dashboard'!$B$5,IF(ISNUMBER(F496),ISNUMBER(G496),TRUE),IF(ISNUMBER(F496),OR(G496&gt;=F496,AC496&lt;&gt;""),TRUE)),1,0)</x:f>
        <x:v>0</x:v>
      </x:c>
    </x:row>
    <x:row r="497" ht="58" customHeight="1">
      <x:c r="A497" s="2" t="str">
        <x:v>T0425</x:v>
      </x:c>
      <x:c r="B497" s="30" t="n">
        <x:v>46374</x:v>
      </x:c>
      <x:c r="C497" s="2" t="str">
        <x:v>Setter 1</x:v>
      </x:c>
      <x:c r="D497" s="2" t="str">
        <x:v>Reply and Phone Setter</x:v>
      </x:c>
      <x:c r="E497" s="26" t="str">
        <x:v>SLA/call outcome log; bookings and next steps; handoff to Nova</x:v>
      </x:c>
      <x:c r="F497" s="2" t="n">
        <x:v>0</x:v>
      </x:c>
      <x:c r="G497" s="20"/>
      <x:c r="H497" s="2" t="str">
        <x:v>dial working target; inbound SLA takes priority</x:v>
      </x:c>
      <x:c r="I497" s="20" t="str">
        <x:v>Ready</x:v>
      </x:c>
      <x:c r="J497" s="2" t="str">
        <x:v>16:45</x:v>
      </x:c>
      <x:c r="K497" s="28" t="str"/>
      <x:c r="L497" s="28" t="str"/>
      <x:c r="M497" s="20" t="str"/>
      <x:c r="N497" s="33"/>
      <x:c r="O497" s="20" t="str"/>
      <x:c r="P497" s="33"/>
      <x:c r="Q497" s="2" t="n">
        <x:f>IF(AND(AE497=1,COUNTIFS($A$7:$A$500,"T0013",$AE$7:$AE$500,1)=1,COUNTIFS($A$7:$A$500,"T0055",$AE$7:$AE$500,1)=1),1,0)</x:f>
        <x:v>0</x:v>
      </x:c>
      <x:c r="R497" s="2" t="str">
        <x:f>IF(AND(Q497=1,P497&lt;='Dashboard'!$B$5),IF(P497&gt;B497,"Accepted late","Accepted"),IF(B497&lt;'Dashboard'!$B$5,"Overdue",IF(I497="Blocked","Blocked",IF(B497='Dashboard'!$B$5,"Due today","Planned"))))</x:f>
        <x:v>Planned</x:v>
      </x:c>
      <x:c r="S497" s="26" t="str">
        <x:f>IF(I497="Accepted",IF(K497="","Add evidence",IF(O497="","Add reviewer",IF(P497="","Add accepted date",IF(AND(ISNUMBER(F497),COUNT(G497)=0),"Add actual quantity",IF(Q497=0,"Review target / date / dependencies","Complete"))))),IF(OR(I497="Blocked",I497="Deferred"),IF(L497="","Record blocker / reason",IF(M497="","Assign rescue owner",IF(N497="","Set recovery date","Recovery assigned"))),IF(B497&lt;'Dashboard'!$B$5,"Escalate and record recovery","Work to acceptance standard")))</x:f>
        <x:v>Work to acceptance standard</x:v>
      </x:c>
      <x:c r="T497" s="26" t="str">
        <x:v>T0013; T0055</x:v>
      </x:c>
      <x:c r="U497"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97" s="31" t="n">
        <x:v>7.5</x:v>
      </x:c>
      <x:c r="W497" s="26" t="str"/>
      <x:c r="X497" s="26" t="str">
        <x:v>DSI Reset PDF: lane responsibilities and dated runbook; dated allocation proposed for this tracker.</x:v>
      </x:c>
      <x:c r="Y497" s="30" t="n">
        <x:f>B497-WEEKDAY(B497,2)+1</x:f>
        <x:v>46370</x:v>
      </x:c>
      <x:c r="Z497" s="2" t="str">
        <x:v>capacity</x:v>
      </x:c>
      <x:c r="AA497" s="2" t="n">
        <x:f>IF(Q497=1,IF(P497&gt;B497,1,0),0)</x:f>
        <x:v>0</x:v>
      </x:c>
      <x:c r="AB497" s="2" t="n">
        <x:f>IF(AND(Q497=1,P497&lt;='Dashboard'!$B$5),0,MAX(0,'Dashboard'!$B$5-B497))</x:f>
        <x:v>0</x:v>
      </x:c>
      <x:c r="AC497" s="28" t="str"/>
      <x:c r="AD497" s="2" t="str">
        <x:f>IF(AND(ISNUMBER(F497),ISNUMBER(G497)),G497-F497,"")</x:f>
      </x:c>
      <x:c r="AE497" s="2" t="n">
        <x:f>IF(AND(I497="Accepted",K497&lt;&gt;"",O497&lt;&gt;"",ISNUMBER(P497),P497&gt;0,P497&lt;='Dashboard'!$B$5,IF(ISNUMBER(F497),ISNUMBER(G497),TRUE),IF(ISNUMBER(F497),OR(G497&gt;=F497,AC497&lt;&gt;""),TRUE)),1,0)</x:f>
        <x:v>0</x:v>
      </x:c>
    </x:row>
    <x:row r="498" ht="58" customHeight="1">
      <x:c r="A498" s="2" t="str">
        <x:v>T0426</x:v>
      </x:c>
      <x:c r="B498" s="30" t="n">
        <x:v>46374</x:v>
      </x:c>
      <x:c r="C498" s="2" t="str">
        <x:v>Setter 2</x:v>
      </x:c>
      <x:c r="D498" s="2" t="str">
        <x:v>Reply and Phone Setter</x:v>
      </x:c>
      <x:c r="E498" s="26" t="str">
        <x:v>SLA/call outcome log; bookings and next steps; handoff to Nova</x:v>
      </x:c>
      <x:c r="F498" s="2" t="n">
        <x:v>0</x:v>
      </x:c>
      <x:c r="G498" s="20"/>
      <x:c r="H498" s="2" t="str">
        <x:v>dial working target; inbound SLA takes priority</x:v>
      </x:c>
      <x:c r="I498" s="20" t="str">
        <x:v>Ready</x:v>
      </x:c>
      <x:c r="J498" s="2" t="str">
        <x:v>16:45</x:v>
      </x:c>
      <x:c r="K498" s="28" t="str"/>
      <x:c r="L498" s="28" t="str"/>
      <x:c r="M498" s="20" t="str"/>
      <x:c r="N498" s="33"/>
      <x:c r="O498" s="20" t="str"/>
      <x:c r="P498" s="33"/>
      <x:c r="Q498" s="2" t="n">
        <x:f>IF(AND(AE498=1,COUNTIFS($A$7:$A$500,"T0013",$AE$7:$AE$500,1)=1,COUNTIFS($A$7:$A$500,"T0055",$AE$7:$AE$500,1)=1),1,0)</x:f>
        <x:v>0</x:v>
      </x:c>
      <x:c r="R498" s="2" t="str">
        <x:f>IF(AND(Q498=1,P498&lt;='Dashboard'!$B$5),IF(P498&gt;B498,"Accepted late","Accepted"),IF(B498&lt;'Dashboard'!$B$5,"Overdue",IF(I498="Blocked","Blocked",IF(B498='Dashboard'!$B$5,"Due today","Planned"))))</x:f>
        <x:v>Planned</x:v>
      </x:c>
      <x:c r="S498" s="26" t="str">
        <x:f>IF(I498="Accepted",IF(K498="","Add evidence",IF(O498="","Add reviewer",IF(P498="","Add accepted date",IF(AND(ISNUMBER(F498),COUNT(G498)=0),"Add actual quantity",IF(Q498=0,"Review target / date / dependencies","Complete"))))),IF(OR(I498="Blocked",I498="Deferred"),IF(L498="","Record blocker / reason",IF(M498="","Assign rescue owner",IF(N498="","Set recovery date","Recovery assigned"))),IF(B498&lt;'Dashboard'!$B$5,"Escalate and record recovery","Work to acceptance standard")))</x:f>
        <x:v>Work to acceptance standard</x:v>
      </x:c>
      <x:c r="T498" s="26" t="str">
        <x:v>T0013; T0055</x:v>
      </x:c>
      <x:c r="U498" s="26" t="str">
        <x:v>50 dials/8 office conversations per full staffed day are stretch capacity; SLA first; 100% calls logged; clinical/pricing to Nic; actual shift and break coverage confirmed. If actual activity is below the working target, record the eligible demand, inbound workload or capacity reason. Wyline reviews the variance; the ceiling is not a reason to invent activity.</x:v>
      </x:c>
      <x:c r="V498" s="31" t="n">
        <x:v>7.5</x:v>
      </x:c>
      <x:c r="W498" s="26" t="str"/>
      <x:c r="X498" s="26" t="str">
        <x:v>DSI Reset PDF: lane responsibilities and dated runbook; dated allocation proposed for this tracker.</x:v>
      </x:c>
      <x:c r="Y498" s="30" t="n">
        <x:f>B498-WEEKDAY(B498,2)+1</x:f>
        <x:v>46370</x:v>
      </x:c>
      <x:c r="Z498" s="2" t="str">
        <x:v>capacity</x:v>
      </x:c>
      <x:c r="AA498" s="2" t="n">
        <x:f>IF(Q498=1,IF(P498&gt;B498,1,0),0)</x:f>
        <x:v>0</x:v>
      </x:c>
      <x:c r="AB498" s="2" t="n">
        <x:f>IF(AND(Q498=1,P498&lt;='Dashboard'!$B$5),0,MAX(0,'Dashboard'!$B$5-B498))</x:f>
        <x:v>0</x:v>
      </x:c>
      <x:c r="AC498" s="28" t="str"/>
      <x:c r="AD498" s="2" t="str">
        <x:f>IF(AND(ISNUMBER(F498),ISNUMBER(G498)),G498-F498,"")</x:f>
      </x:c>
      <x:c r="AE498" s="2" t="n">
        <x:f>IF(AND(I498="Accepted",K498&lt;&gt;"",O498&lt;&gt;"",ISNUMBER(P498),P498&gt;0,P498&lt;='Dashboard'!$B$5,IF(ISNUMBER(F498),ISNUMBER(G498),TRUE),IF(ISNUMBER(F498),OR(G498&gt;=F498,AC498&lt;&gt;""),TRUE)),1,0)</x:f>
        <x:v>0</x:v>
      </x:c>
    </x:row>
    <x:row r="499" ht="58" customHeight="1">
      <x:c r="A499" s="2" t="str">
        <x:v>T0493</x:v>
      </x:c>
      <x:c r="B499" s="30" t="n">
        <x:v>46374</x:v>
      </x:c>
      <x:c r="C499" s="2" t="str">
        <x:v>Nic</x:v>
      </x:c>
      <x:c r="D499" s="2" t="str">
        <x:v>Client dependency</x:v>
      </x:c>
      <x:c r="E499" s="26" t="str">
        <x:v>Call outcome/next step for every appointment due; first-case decisions</x:v>
      </x:c>
      <x:c r="F499" s="2" t="str"/>
      <x:c r="G499" s="20"/>
      <x:c r="H499" s="2" t="str">
        <x:v>all due appointments</x:v>
      </x:c>
      <x:c r="I499" s="20" t="str">
        <x:v>Ready</x:v>
      </x:c>
      <x:c r="J499" s="2" t="str">
        <x:v>16:45</x:v>
      </x:c>
      <x:c r="K499" s="28" t="str"/>
      <x:c r="L499" s="28" t="str"/>
      <x:c r="M499" s="20" t="str"/>
      <x:c r="N499" s="33"/>
      <x:c r="O499" s="20" t="str"/>
      <x:c r="P499" s="33"/>
      <x:c r="Q499" s="2" t="n">
        <x:f>IF(AND(AE499=1,COUNTIFS($A$7:$A$500,"T0028",$AE$7:$AE$500,1)=1),1,0)</x:f>
        <x:v>0</x:v>
      </x:c>
      <x:c r="R499" s="2" t="str">
        <x:f>IF(AND(Q499=1,P499&lt;='Dashboard'!$B$5),IF(P499&gt;B499,"Accepted late","Accepted"),IF(B499&lt;'Dashboard'!$B$5,"Overdue",IF(I499="Blocked","Blocked",IF(B499='Dashboard'!$B$5,"Due today","Planned"))))</x:f>
        <x:v>Planned</x:v>
      </x:c>
      <x:c r="S499" s="26" t="str">
        <x:f>IF(I499="Accepted",IF(K499="","Add evidence",IF(O499="","Add reviewer",IF(P499="","Add accepted date",IF(AND(ISNUMBER(F499),COUNT(G499)=0),"Add actual quantity",IF(Q499=0,"Review target / date / dependencies","Complete"))))),IF(OR(I499="Blocked",I499="Deferred"),IF(L499="","Record blocker / reason",IF(M499="","Assign rescue owner",IF(N499="","Set recovery date","Recovery assigned"))),IF(B499&lt;'Dashboard'!$B$5,"Escalate and record recovery","Work to acceptance standard")))</x:f>
        <x:v>Work to acceptance standard</x:v>
      </x:c>
      <x:c r="T499" s="26" t="str">
        <x:v>T0028</x:v>
      </x:c>
      <x:c r="U499" s="26" t="str">
        <x:v>Demand-linked: work actual approved calendar; setter brief present; outcome logged same day. No calls scheduled is N/A with calendar evidence.</x:v>
      </x:c>
      <x:c r="V499" s="31" t="n">
        <x:v>0.5</x:v>
      </x:c>
      <x:c r="W499" s="26" t="str"/>
      <x:c r="X499" s="26" t="str">
        <x:v>DSI Reset PDF: lane responsibilities and dated runbook; dated allocation proposed for this tracker.</x:v>
      </x:c>
      <x:c r="Y499" s="30" t="n">
        <x:f>B499-WEEKDAY(B499,2)+1</x:f>
        <x:v>46370</x:v>
      </x:c>
      <x:c r="Z499" s="2" t="str">
        <x:v>demand</x:v>
      </x:c>
      <x:c r="AA499" s="2" t="n">
        <x:f>IF(Q499=1,IF(P499&gt;B499,1,0),0)</x:f>
        <x:v>0</x:v>
      </x:c>
      <x:c r="AB499" s="2" t="n">
        <x:f>IF(AND(Q499=1,P499&lt;='Dashboard'!$B$5),0,MAX(0,'Dashboard'!$B$5-B499))</x:f>
        <x:v>0</x:v>
      </x:c>
      <x:c r="AC499" s="28" t="str"/>
      <x:c r="AD499" s="2" t="str">
        <x:f>IF(AND(ISNUMBER(F499),ISNUMBER(G499)),G499-F499,"")</x:f>
      </x:c>
      <x:c r="AE499" s="2" t="n">
        <x:f>IF(AND(I499="Accepted",K499&lt;&gt;"",O499&lt;&gt;"",ISNUMBER(P499),P499&gt;0,P499&lt;='Dashboard'!$B$5,IF(ISNUMBER(F499),ISNUMBER(G499),TRUE)),1,0)</x:f>
        <x:v>0</x:v>
      </x:c>
    </x:row>
    <x:row r="500" ht="58" customHeight="1">
      <x:c r="A500" s="2" t="str">
        <x:v>T0494</x:v>
      </x:c>
      <x:c r="B500" s="30" t="n">
        <x:v>46374</x:v>
      </x:c>
      <x:c r="C500" s="2" t="str">
        <x:v>Maseeha</x:v>
      </x:c>
      <x:c r="D500" s="2" t="str">
        <x:v>Client dependency</x:v>
      </x:c>
      <x:c r="E500" s="26" t="str">
        <x:v>Due intro verification; kit/case handoff; delivery/Day-30 dates; credit trigger log</x:v>
      </x:c>
      <x:c r="F500" s="2" t="str"/>
      <x:c r="G500" s="20"/>
      <x:c r="H500" s="2" t="str">
        <x:v>all due cases</x:v>
      </x:c>
      <x:c r="I500" s="20" t="str">
        <x:v>Ready</x:v>
      </x:c>
      <x:c r="J500" s="2" t="str">
        <x:v>16:45</x:v>
      </x:c>
      <x:c r="K500" s="28" t="str"/>
      <x:c r="L500" s="28" t="str"/>
      <x:c r="M500" s="20" t="str"/>
      <x:c r="N500" s="33"/>
      <x:c r="O500" s="20" t="str"/>
      <x:c r="P500" s="33"/>
      <x:c r="Q500" s="2" t="n">
        <x:f>IF(AND(AE500=1,COUNTIFS($A$7:$A$500,"T0028",$AE$7:$AE$500,1)=1),1,0)</x:f>
        <x:v>0</x:v>
      </x:c>
      <x:c r="R500" s="2" t="str">
        <x:f>IF(AND(Q500=1,P500&lt;='Dashboard'!$B$5),IF(P500&gt;B500,"Accepted late","Accepted"),IF(B500&lt;'Dashboard'!$B$5,"Overdue",IF(I500="Blocked","Blocked",IF(B500='Dashboard'!$B$5,"Due today","Planned"))))</x:f>
        <x:v>Planned</x:v>
      </x:c>
      <x:c r="S500" s="26" t="str">
        <x:f>IF(I500="Accepted",IF(K500="","Add evidence",IF(O500="","Add reviewer",IF(P500="","Add accepted date",IF(AND(ISNUMBER(F500),COUNT(G500)=0),"Add actual quantity",IF(Q500=0,"Review target / date / dependencies","Complete"))))),IF(OR(I500="Blocked",I500="Deferred"),IF(L500="","Record blocker / reason",IF(M500="","Assign rescue owner",IF(N500="","Set recovery date","Recovery assigned"))),IF(B500&lt;'Dashboard'!$B$5,"Escalate and record recovery","Work to acceptance standard")))</x:f>
        <x:v>Work to acceptance standard</x:v>
      </x:c>
      <x:c r="T500" s="26" t="str">
        <x:v>T0028</x:v>
      </x:c>
      <x:c r="U500" s="26" t="str">
        <x:v>Demand-linked: referral verification&lt;=2 business days; trial capacity respected; $200 credit only on eligible invoice paid.</x:v>
      </x:c>
      <x:c r="V500" s="31" t="n">
        <x:v>0.5</x:v>
      </x:c>
      <x:c r="W500" s="26" t="str"/>
      <x:c r="X500" s="26" t="str">
        <x:v>DSI Reset PDF: lane responsibilities and dated runbook; dated allocation proposed for this tracker.</x:v>
      </x:c>
      <x:c r="Y500" s="30" t="n">
        <x:f>B500-WEEKDAY(B500,2)+1</x:f>
        <x:v>46370</x:v>
      </x:c>
      <x:c r="Z500" s="2" t="str">
        <x:v>demand</x:v>
      </x:c>
      <x:c r="AA500" s="2" t="n">
        <x:f>IF(Q500=1,IF(P500&gt;B500,1,0),0)</x:f>
        <x:v>0</x:v>
      </x:c>
      <x:c r="AB500" s="2" t="n">
        <x:f>IF(AND(Q500=1,P500&lt;='Dashboard'!$B$5),0,MAX(0,'Dashboard'!$B$5-B500))</x:f>
        <x:v>0</x:v>
      </x:c>
      <x:c r="AC500" s="28" t="str"/>
      <x:c r="AD500" s="2" t="str">
        <x:f>IF(AND(ISNUMBER(F500),ISNUMBER(G500)),G500-F500,"")</x:f>
      </x:c>
      <x:c r="AE500" s="2" t="n">
        <x:f>IF(AND(I500="Accepted",K500&lt;&gt;"",O500&lt;&gt;"",ISNUMBER(P500),P500&gt;0,P500&lt;='Dashboard'!$B$5,IF(ISNUMBER(F500),ISNUMBER(G500),TRUE)),1,0)</x:f>
        <x:v>0</x:v>
      </x:c>
    </x:row>
  </x:sheetData>
  <x:conditionalFormatting sqref="I7:I500">
    <x:cfRule type="expression" dxfId="4" priority="1">
      <x:formula>$I7="Blocked"</x:formula>
    </x:cfRule>
    <x:cfRule type="expression" dxfId="5" priority="2">
      <x:formula>$I7="Review"</x:formula>
    </x:cfRule>
    <x:cfRule type="expression" dxfId="6" priority="3">
      <x:formula>$I7="Accepted"</x:formula>
    </x:cfRule>
  </x:conditionalFormatting>
  <x:conditionalFormatting sqref="R7:S500">
    <x:cfRule type="expression" dxfId="7" priority="4">
      <x:formula>$R7="Overdue"</x:formula>
    </x:cfRule>
  </x:conditionalFormatting>
  <x:conditionalFormatting sqref="S7:S500">
    <x:cfRule type="expression" dxfId="8" priority="5">
      <x:formula>AND($I7="Accepted",$Q7=0)</x:formula>
    </x:cfRule>
  </x:conditionalFormatting>
  <x:conditionalFormatting sqref="AD7:AD500">
    <x:cfRule type="expression" dxfId="9" priority="6">
      <x:formula>AND(ISNUMBER($AD7),$AD7&lt;0,$Z7&lt;&gt;"capacity",$Z7&lt;&gt;"demand")</x:formula>
    </x:cfRule>
  </x:conditionalFormatting>
  <x:dataValidations count="3">
    <x:dataValidation type="list" sqref="I7:I500">
      <x:formula1>"Ready,In progress,Blocked,Review,Accepted,Deferred"</x:formula1>
    </x:dataValidation>
    <x:dataValidation type="list" sqref="M7:M500">
      <x:formula1>"Wyline,Kenneth,Joey,Nova,Emman,Ludwig,Alvin,Brian,Dexter,Setter 1,Setter 2,Nic,Maseeha"</x:formula1>
    </x:dataValidation>
    <x:dataValidation type="list" sqref="O7:O500">
      <x:formula1>"Wyline,Kenneth,Joey,Nova,Emman,Ludwig,Alvin,Brian,Dexter,Setter 1,Setter 2,Nic,Maseeha"</x:formula1>
    </x:dataValidation>
  </x:dataValidations>
  <x:pageMargins left="0.7" right="0.7" top="0.75" bottom="0.75" header="0.3" footer="0.3"/>
  <x:tableParts count="1">
    <x:tablePart xmlns:r="http://schemas.openxmlformats.org/officeDocument/2006/relationships" r:id="Rbfc36c52ba0a4abe"/>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12" hidden="0" customWidth="1"/>
    <x:col min="3" max="3" width="22" hidden="0" customWidth="1"/>
    <x:col min="4" max="4" width="26" hidden="0" customWidth="1"/>
    <x:col min="5" max="5" width="70" hidden="0" customWidth="1"/>
    <x:col min="6" max="6" width="12" hidden="0" customWidth="1"/>
    <x:col min="7" max="7" width="15" hidden="0" customWidth="1"/>
    <x:col min="8" max="8" width="13"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70" hidden="0" customWidth="1"/>
    <x:col min="16" max="16" width="17" hidden="0" customWidth="1"/>
    <x:col min="17" max="17" width="17" hidden="0" customWidth="1"/>
    <x:col min="18" max="18" width="13"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Day-by-day map</x:v>
      </x:c>
      <x:c r="B2" s="2"/>
      <x:c r="C2" s="2"/>
      <x:c r="D2" s="2"/>
      <x:c r="E2" s="2"/>
      <x:c r="F2" s="2"/>
      <x:c r="G2" s="2"/>
      <x:c r="H2" s="2"/>
      <x:c r="I2" s="2"/>
      <x:c r="J2" s="2"/>
      <x:c r="K2" s="2"/>
      <x:c r="L2" s="2"/>
      <x:c r="M2" s="2"/>
      <x:c r="N2" s="2"/>
      <x:c r="O2" s="2"/>
      <x:c r="P2" s="2"/>
      <x:c r="Q2" s="2"/>
    </x:row>
    <x:row r="3" ht="22" customHeight="1">
      <x:c r="A3" s="4" t="str">
        <x:v>Execution ends December 16. December 17–18 is review and recovery. All dates and times use Pacific time.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5"/>
      <x:c r="K4" s="5"/>
      <x:c r="L4" s="5"/>
      <x:c r="M4" s="5"/>
      <x:c r="N4" s="5"/>
      <x:c r="O4" s="5"/>
      <x:c r="P4" s="5"/>
      <x:c r="Q4" s="5"/>
    </x:row>
    <x:row r="5" ht="22" customHeight="1">
      <x:c r="A5" s="2"/>
      <x:c r="B5" s="2"/>
      <x:c r="C5" s="2"/>
      <x:c r="D5" s="2"/>
      <x:c r="E5" s="2"/>
      <x:c r="F5" s="2"/>
      <x:c r="G5" s="2"/>
      <x:c r="H5" s="2"/>
      <x:c r="I5" s="2"/>
      <x:c r="J5" s="2"/>
      <x:c r="K5" s="2"/>
      <x:c r="L5" s="2"/>
      <x:c r="M5" s="2"/>
      <x:c r="N5" s="2"/>
      <x:c r="O5" s="2"/>
      <x:c r="P5" s="2"/>
      <x:c r="Q5" s="2"/>
    </x:row>
    <x:row r="6" ht="32" customHeight="1">
      <x:c r="A6" s="14" t="str">
        <x:v>Date</x:v>
      </x:c>
      <x:c r="B6" s="15" t="str">
        <x:v>Day</x:v>
      </x:c>
      <x:c r="C6" s="15" t="str">
        <x:v>Working pattern</x:v>
      </x:c>
      <x:c r="D6" s="15" t="str">
        <x:v>Phase</x:v>
      </x:c>
      <x:c r="E6" s="15" t="str">
        <x:v>Daily focus</x:v>
      </x:c>
      <x:c r="F6" s="15" t="str">
        <x:v>Due tasks</x:v>
      </x:c>
      <x:c r="G6" s="15" t="str">
        <x:v>Accepted due tasks</x:v>
      </x:c>
      <x:c r="H6" s="15" t="str">
        <x:v>Completion</x:v>
      </x:c>
      <x:c r="I6" s="15" t="str">
        <x:v>Open due tasks</x:v>
      </x:c>
      <x:c r="J6" s="15" t="str">
        <x:v>Verified target</x:v>
      </x:c>
      <x:c r="K6" s="15" t="str">
        <x:v>Inquiry target</x:v>
      </x:c>
      <x:c r="L6" s="15" t="str">
        <x:v>Booked target</x:v>
      </x:c>
      <x:c r="M6" s="15" t="str">
        <x:v>Held target</x:v>
      </x:c>
      <x:c r="N6" s="15" t="str">
        <x:v>Trial target</x:v>
      </x:c>
      <x:c r="O6" s="15" t="str">
        <x:v>Daily target detail</x:v>
      </x:c>
      <x:c r="P6" s="15" t="str">
        <x:v>Cumulative due</x:v>
      </x:c>
      <x:c r="Q6" s="15" t="str">
        <x:v>Accepted by date</x:v>
      </x:c>
      <x:c r="R6" s="16" t="str">
        <x:v>Chart date</x:v>
      </x:c>
    </x:row>
    <x:row r="7" ht="54" customHeight="1">
      <x:c r="A7" s="30" t="n">
        <x:v>46317</x:v>
      </x:c>
      <x:c r="B7" s="2" t="str">
        <x:v>Thursday</x:v>
      </x:c>
      <x:c r="C7" s="26" t="str">
        <x:v>Execution</x:v>
      </x:c>
      <x:c r="D7" s="26" t="str">
        <x:v>Freeze and assign</x:v>
      </x:c>
      <x:c r="E7" s="26" t="str">
        <x:v>Freeze old activity and name ownership</x:v>
      </x:c>
      <x:c r="F7" s="2" t="n">
        <x:f>COUNTIFS('Daily Tasks'!$B$7:$B$500,A7)</x:f>
        <x:v>9</x:v>
      </x:c>
      <x:c r="G7" s="2" t="n">
        <x:f>SUMIFS('Daily Tasks'!$Q$7:$Q$500,'Daily Tasks'!$B$7:$B$500,A7,'Daily Tasks'!$P$7:$P$500,"&lt;="&amp;'Dashboard'!$B$5)</x:f>
        <x:v>0</x:v>
      </x:c>
      <x:c r="H7" s="39" t="n">
        <x:f>IF(F7=0,"n.a.",G7/F7)</x:f>
        <x:v>0</x:v>
      </x:c>
      <x:c r="I7" s="2" t="n">
        <x:f>F7-G7</x:f>
        <x:v>9</x:v>
      </x:c>
      <x:c r="J7" s="2" t="n">
        <x:v>0</x:v>
      </x:c>
      <x:c r="K7" s="2" t="n">
        <x:v>0</x:v>
      </x:c>
      <x:c r="L7" s="2" t="n">
        <x:v>0</x:v>
      </x:c>
      <x:c r="M7" s="2" t="n">
        <x:v>0</x:v>
      </x:c>
      <x:c r="N7" s="2" t="n">
        <x:v>0</x:v>
      </x:c>
      <x:c r="O7" s="26" t="str">
        <x:v>verified: 0; booked: 0; held: 0; trials: 0; referralIntros: 0; referralBookings: 0; linkedinBookings: 0; referralAsks: 0; emailSendCeiling: 0; linkedinRequestCapacity: 0; dialsPerSetterCapacity: 0; officeConversationsPerSetterTarget: 0; replySlaTarget: ; qualifiedInquiries: 0</x:v>
      </x:c>
      <x:c r="P7" s="2" t="n">
        <x:f>COUNTIFS('Daily Tasks'!$B$7:$B$500,"&lt;="&amp;A7)</x:f>
        <x:v>9</x:v>
      </x:c>
      <x:c r="Q7" s="2" t="n">
        <x:f>IF(A7&gt;'Dashboard'!$B$5,"",SUMIFS('Daily Tasks'!$Q$7:$Q$500,'Daily Tasks'!$P$7:$P$500,"&lt;="&amp;A7))</x:f>
        <x:v>0</x:v>
      </x:c>
      <x:c r="R7" t="str">
        <x:v>Oct 22</x:v>
      </x:c>
    </x:row>
    <x:row r="8" ht="54" customHeight="1">
      <x:c r="A8" s="30" t="n">
        <x:v>46318</x:v>
      </x:c>
      <x:c r="B8" s="2" t="str">
        <x:v>Friday</x:v>
      </x:c>
      <x:c r="C8" s="26" t="str">
        <x:v>Execution</x:v>
      </x:c>
      <x:c r="D8" s="26" t="str">
        <x:v>Freeze and assign</x:v>
      </x:c>
      <x:c r="E8" s="26" t="str">
        <x:v>Coverage roster and build design</x:v>
      </x:c>
      <x:c r="F8" s="2" t="n">
        <x:f>COUNTIFS('Daily Tasks'!$B$7:$B$500,A8)</x:f>
        <x:v>9</x:v>
      </x:c>
      <x:c r="G8" s="2" t="n">
        <x:f>SUMIFS('Daily Tasks'!$Q$7:$Q$500,'Daily Tasks'!$B$7:$B$500,A8,'Daily Tasks'!$P$7:$P$500,"&lt;="&amp;'Dashboard'!$B$5)</x:f>
        <x:v>0</x:v>
      </x:c>
      <x:c r="H8" s="39" t="n">
        <x:f>IF(F8=0,"n.a.",G8/F8)</x:f>
        <x:v>0</x:v>
      </x:c>
      <x:c r="I8" s="2" t="n">
        <x:f>F8-G8</x:f>
        <x:v>9</x:v>
      </x:c>
      <x:c r="J8" s="2" t="n">
        <x:v>0</x:v>
      </x:c>
      <x:c r="K8" s="2" t="n">
        <x:v>0</x:v>
      </x:c>
      <x:c r="L8" s="2" t="n">
        <x:v>0</x:v>
      </x:c>
      <x:c r="M8" s="2" t="n">
        <x:v>0</x:v>
      </x:c>
      <x:c r="N8" s="2" t="n">
        <x:v>0</x:v>
      </x:c>
      <x:c r="O8" s="26" t="str">
        <x:v>verified: 0; booked: 0; held: 0; trials: 0; referralIntros: 0; referralBookings: 0; linkedinBookings: 0; referralAsks: 0; emailSendCeiling: 0; linkedinRequestCapacity: 0; dialsPerSetterCapacity: 0; officeConversationsPerSetterTarget: 0; replySlaTarget: ; qualifiedInquiries: 0</x:v>
      </x:c>
      <x:c r="P8" s="2" t="n">
        <x:f>COUNTIFS('Daily Tasks'!$B$7:$B$500,"&lt;="&amp;A8)</x:f>
        <x:v>18</x:v>
      </x:c>
      <x:c r="Q8" s="2" t="str">
        <x:f>IF(A8&gt;'Dashboard'!$B$5,"",SUMIFS('Daily Tasks'!$Q$7:$Q$500,'Daily Tasks'!$P$7:$P$500,"&lt;="&amp;A8))</x:f>
      </x:c>
      <x:c r="R8" t="str">
        <x:v>Oct 23</x:v>
      </x:c>
    </x:row>
    <x:row r="9" ht="54" customHeight="1">
      <x:c r="A9" s="30" t="n">
        <x:v>46319</x:v>
      </x:c>
      <x:c r="B9" s="2" t="str">
        <x:v>Saturday</x:v>
      </x:c>
      <x:c r="C9" s="26" t="str">
        <x:v>Weekend</x:v>
      </x:c>
      <x:c r="D9" s="26" t="str">
        <x:v>rest</x:v>
      </x:c>
      <x:c r="E9" s="26" t="str">
        <x:v>Rest; approved systems only</x:v>
      </x:c>
      <x:c r="F9" s="2" t="n">
        <x:f>COUNTIFS('Daily Tasks'!$B$7:$B$500,A9)</x:f>
        <x:v>0</x:v>
      </x:c>
      <x:c r="G9" s="2" t="n">
        <x:f>SUMIFS('Daily Tasks'!$Q$7:$Q$500,'Daily Tasks'!$B$7:$B$500,A9,'Daily Tasks'!$P$7:$P$500,"&lt;="&amp;'Dashboard'!$B$5)</x:f>
        <x:v>0</x:v>
      </x:c>
      <x:c r="H9" s="39" t="str">
        <x:f>IF(F9=0,"n.a.",G9/F9)</x:f>
        <x:v>n.a.</x:v>
      </x:c>
      <x:c r="I9" s="2" t="n">
        <x:f>F9-G9</x:f>
        <x:v>0</x:v>
      </x:c>
      <x:c r="J9" s="2" t="n">
        <x:v>0</x:v>
      </x:c>
      <x:c r="K9" s="2" t="n">
        <x:v>0</x:v>
      </x:c>
      <x:c r="L9" s="2" t="n">
        <x:v>0</x:v>
      </x:c>
      <x:c r="M9" s="2" t="n">
        <x:v>0</x:v>
      </x:c>
      <x:c r="N9" s="2" t="n">
        <x:v>0</x:v>
      </x:c>
      <x:c r="O9" s="26" t="str">
        <x:v>verified: 0; booked: 0; held: 0; trials: 0; referralIntros: 0; referralBookings: 0; linkedinBookings: 0; referralAsks: 0; emailSendCeiling: 0; linkedinRequestCapacity: 0; dialsPerSetterCapacity: 0; officeConversationsPerSetterTarget: 0; replySlaTarget: ; qualifiedInquiries: 0</x:v>
      </x:c>
      <x:c r="P9" s="2" t="n">
        <x:f>COUNTIFS('Daily Tasks'!$B$7:$B$500,"&lt;="&amp;A9)</x:f>
        <x:v>18</x:v>
      </x:c>
      <x:c r="Q9" s="2" t="str">
        <x:f>IF(A9&gt;'Dashboard'!$B$5,"",SUMIFS('Daily Tasks'!$Q$7:$Q$500,'Daily Tasks'!$P$7:$P$500,"&lt;="&amp;A9))</x:f>
      </x:c>
      <x:c r="R9" t="str">
        <x:v>Oct 24</x:v>
      </x:c>
    </x:row>
    <x:row r="10" ht="54" customHeight="1">
      <x:c r="A10" s="30" t="n">
        <x:v>46320</x:v>
      </x:c>
      <x:c r="B10" s="2" t="str">
        <x:v>Sunday</x:v>
      </x:c>
      <x:c r="C10" s="26" t="str">
        <x:v>Weekend</x:v>
      </x:c>
      <x:c r="D10" s="26" t="str">
        <x:v>rest</x:v>
      </x:c>
      <x:c r="E10" s="26" t="str">
        <x:v>Rest; approved systems only</x:v>
      </x:c>
      <x:c r="F10" s="2" t="n">
        <x:f>COUNTIFS('Daily Tasks'!$B$7:$B$500,A10)</x:f>
        <x:v>0</x:v>
      </x:c>
      <x:c r="G10" s="2" t="n">
        <x:f>SUMIFS('Daily Tasks'!$Q$7:$Q$500,'Daily Tasks'!$B$7:$B$500,A10,'Daily Tasks'!$P$7:$P$500,"&lt;="&amp;'Dashboard'!$B$5)</x:f>
        <x:v>0</x:v>
      </x:c>
      <x:c r="H10" s="39" t="str">
        <x:f>IF(F10=0,"n.a.",G10/F10)</x:f>
        <x:v>n.a.</x:v>
      </x:c>
      <x:c r="I10" s="2" t="n">
        <x:f>F10-G10</x:f>
        <x:v>0</x:v>
      </x:c>
      <x:c r="J10" s="2" t="n">
        <x:v>0</x:v>
      </x:c>
      <x:c r="K10" s="2" t="n">
        <x:v>0</x:v>
      </x:c>
      <x:c r="L10" s="2" t="n">
        <x:v>0</x:v>
      </x:c>
      <x:c r="M10" s="2" t="n">
        <x:v>0</x:v>
      </x:c>
      <x:c r="N10" s="2" t="n">
        <x:v>0</x:v>
      </x:c>
      <x:c r="O10" s="26" t="str">
        <x:v>verified: 0; booked: 0; held: 0; trials: 0; referralIntros: 0; referralBookings: 0; linkedinBookings: 0; referralAsks: 0; emailSendCeiling: 0; linkedinRequestCapacity: 0; dialsPerSetterCapacity: 0; officeConversationsPerSetterTarget: 0; replySlaTarget: ; qualifiedInquiries: 0</x:v>
      </x:c>
      <x:c r="P10" s="2" t="n">
        <x:f>COUNTIFS('Daily Tasks'!$B$7:$B$500,"&lt;="&amp;A10)</x:f>
        <x:v>18</x:v>
      </x:c>
      <x:c r="Q10" s="2" t="str">
        <x:f>IF(A10&gt;'Dashboard'!$B$5,"",SUMIFS('Daily Tasks'!$Q$7:$Q$500,'Daily Tasks'!$P$7:$P$500,"&lt;="&amp;A10))</x:f>
      </x:c>
      <x:c r="R10" t="str">
        <x:v>Oct 25</x:v>
      </x:c>
    </x:row>
    <x:row r="11" ht="54" customHeight="1">
      <x:c r="A11" s="30" t="n">
        <x:v>46321</x:v>
      </x:c>
      <x:c r="B11" s="2" t="str">
        <x:v>Monday</x:v>
      </x:c>
      <x:c r="C11" s="26" t="str">
        <x:v>Execution</x:v>
      </x:c>
      <x:c r="D11" s="26" t="str">
        <x:v>Build and approve</x:v>
      </x:c>
      <x:c r="E11" s="26" t="str">
        <x:v>Build and approve</x:v>
      </x:c>
      <x:c r="F11" s="2" t="n">
        <x:f>COUNTIFS('Daily Tasks'!$B$7:$B$500,A11)</x:f>
        <x:v>9</x:v>
      </x:c>
      <x:c r="G11" s="2" t="n">
        <x:f>SUMIFS('Daily Tasks'!$Q$7:$Q$500,'Daily Tasks'!$B$7:$B$500,A11,'Daily Tasks'!$P$7:$P$500,"&lt;="&amp;'Dashboard'!$B$5)</x:f>
        <x:v>0</x:v>
      </x:c>
      <x:c r="H11" s="39" t="n">
        <x:f>IF(F11=0,"n.a.",G11/F11)</x:f>
        <x:v>0</x:v>
      </x:c>
      <x:c r="I11" s="2" t="n">
        <x:f>F11-G11</x:f>
        <x:v>9</x:v>
      </x:c>
      <x:c r="J11" s="2" t="n">
        <x:v>100</x:v>
      </x:c>
      <x:c r="K11" s="2" t="n">
        <x:v>0</x:v>
      </x:c>
      <x:c r="L11" s="2" t="n">
        <x:v>0</x:v>
      </x:c>
      <x:c r="M11" s="2" t="n">
        <x:v>0</x:v>
      </x:c>
      <x:c r="N11" s="2" t="n">
        <x:v>0</x:v>
      </x:c>
      <x:c r="O11" s="26" t="str">
        <x:v>verified: 100; booked: 0; held: 0; trials: 0; referralIntros: 0; referralBookings: 0; linkedinBookings: 0; referralAsks: 0; emailSendCeiling: 0; linkedinRequestCapacity: 0; dialsPerSetterCapacity: 0; officeConversationsPerSetterTarget: 0; replySlaTarget: ; qualifiedInquiries: 0</x:v>
      </x:c>
      <x:c r="P11" s="2" t="n">
        <x:f>COUNTIFS('Daily Tasks'!$B$7:$B$500,"&lt;="&amp;A11)</x:f>
        <x:v>27</x:v>
      </x:c>
      <x:c r="Q11" s="2" t="str">
        <x:f>IF(A11&gt;'Dashboard'!$B$5,"",SUMIFS('Daily Tasks'!$Q$7:$Q$500,'Daily Tasks'!$P$7:$P$500,"&lt;="&amp;A11))</x:f>
      </x:c>
      <x:c r="R11" t="str">
        <x:v>Oct 26</x:v>
      </x:c>
    </x:row>
    <x:row r="12" ht="54" customHeight="1">
      <x:c r="A12" s="30" t="n">
        <x:v>46322</x:v>
      </x:c>
      <x:c r="B12" s="2" t="str">
        <x:v>Tuesday</x:v>
      </x:c>
      <x:c r="C12" s="26" t="str">
        <x:v>Execution</x:v>
      </x:c>
      <x:c r="D12" s="26" t="str">
        <x:v>Build and approve</x:v>
      </x:c>
      <x:c r="E12" s="26" t="str">
        <x:v>DSI written approvals</x:v>
      </x:c>
      <x:c r="F12" s="2" t="n">
        <x:f>COUNTIFS('Daily Tasks'!$B$7:$B$500,A12)</x:f>
        <x:v>11</x:v>
      </x:c>
      <x:c r="G12" s="2" t="n">
        <x:f>SUMIFS('Daily Tasks'!$Q$7:$Q$500,'Daily Tasks'!$B$7:$B$500,A12,'Daily Tasks'!$P$7:$P$500,"&lt;="&amp;'Dashboard'!$B$5)</x:f>
        <x:v>0</x:v>
      </x:c>
      <x:c r="H12" s="39" t="n">
        <x:f>IF(F12=0,"n.a.",G12/F12)</x:f>
        <x:v>0</x:v>
      </x:c>
      <x:c r="I12" s="2" t="n">
        <x:f>F12-G12</x:f>
        <x:v>11</x:v>
      </x:c>
      <x:c r="J12" s="2" t="n">
        <x:v>150</x:v>
      </x:c>
      <x:c r="K12" s="2" t="n">
        <x:v>0</x:v>
      </x:c>
      <x:c r="L12" s="2" t="n">
        <x:v>0</x:v>
      </x:c>
      <x:c r="M12" s="2" t="n">
        <x:v>0</x:v>
      </x:c>
      <x:c r="N12" s="2" t="n">
        <x:v>0</x:v>
      </x:c>
      <x:c r="O12" s="26" t="str">
        <x:v>verified: 50; booked: 0; held: 0; trials: 0; referralIntros: 0; referralBookings: 0; linkedinBookings: 0; referralAsks: 0; emailSendCeiling: 0; linkedinRequestCapacity: 0; dialsPerSetterCapacity: 0; officeConversationsPerSetterTarget: 0; replySlaTarget: ; qualifiedInquiries: 0</x:v>
      </x:c>
      <x:c r="P12" s="2" t="n">
        <x:f>COUNTIFS('Daily Tasks'!$B$7:$B$500,"&lt;="&amp;A12)</x:f>
        <x:v>38</x:v>
      </x:c>
      <x:c r="Q12" s="2" t="str">
        <x:f>IF(A12&gt;'Dashboard'!$B$5,"",SUMIFS('Daily Tasks'!$Q$7:$Q$500,'Daily Tasks'!$P$7:$P$500,"&lt;="&amp;A12))</x:f>
      </x:c>
      <x:c r="R12" t="str">
        <x:v>Oct 27</x:v>
      </x:c>
    </x:row>
    <x:row r="13" ht="54" customHeight="1">
      <x:c r="A13" s="30" t="n">
        <x:v>46323</x:v>
      </x:c>
      <x:c r="B13" s="2" t="str">
        <x:v>Wednesday</x:v>
      </x:c>
      <x:c r="C13" s="26" t="str">
        <x:v>Execution</x:v>
      </x:c>
      <x:c r="D13" s="26" t="str">
        <x:v>Build and approve</x:v>
      </x:c>
      <x:c r="E13" s="26" t="str">
        <x:v>250-contact list QA</x:v>
      </x:c>
      <x:c r="F13" s="2" t="n">
        <x:f>COUNTIFS('Daily Tasks'!$B$7:$B$500,A13)</x:f>
        <x:v>9</x:v>
      </x:c>
      <x:c r="G13" s="2" t="n">
        <x:f>SUMIFS('Daily Tasks'!$Q$7:$Q$500,'Daily Tasks'!$B$7:$B$500,A13,'Daily Tasks'!$P$7:$P$500,"&lt;="&amp;'Dashboard'!$B$5)</x:f>
        <x:v>0</x:v>
      </x:c>
      <x:c r="H13" s="39" t="n">
        <x:f>IF(F13=0,"n.a.",G13/F13)</x:f>
        <x:v>0</x:v>
      </x:c>
      <x:c r="I13" s="2" t="n">
        <x:f>F13-G13</x:f>
        <x:v>9</x:v>
      </x:c>
      <x:c r="J13" s="2" t="n">
        <x:v>250</x:v>
      </x:c>
      <x:c r="K13" s="2" t="n">
        <x:v>0</x:v>
      </x:c>
      <x:c r="L13" s="2" t="n">
        <x:v>0</x:v>
      </x:c>
      <x:c r="M13" s="2" t="n">
        <x:v>0</x:v>
      </x:c>
      <x:c r="N13" s="2" t="n">
        <x:v>0</x:v>
      </x:c>
      <x:c r="O13" s="26" t="str">
        <x:v>verified: 100; booked: 0; held: 0; trials: 0; referralIntros: 0; referralBookings: 0; linkedinBookings: 0; referralAsks: 0; emailSendCeiling: 0; linkedinRequestCapacity: 0; dialsPerSetterCapacity: 0; officeConversationsPerSetterTarget: 0; replySlaTarget: ; qualifiedInquiries: 0</x:v>
      </x:c>
      <x:c r="P13" s="2" t="n">
        <x:f>COUNTIFS('Daily Tasks'!$B$7:$B$500,"&lt;="&amp;A13)</x:f>
        <x:v>47</x:v>
      </x:c>
      <x:c r="Q13" s="2" t="str">
        <x:f>IF(A13&gt;'Dashboard'!$B$5,"",SUMIFS('Daily Tasks'!$Q$7:$Q$500,'Daily Tasks'!$P$7:$P$500,"&lt;="&amp;A13))</x:f>
      </x:c>
      <x:c r="R13" t="str">
        <x:v>Oct 28</x:v>
      </x:c>
    </x:row>
    <x:row r="14" ht="54" customHeight="1">
      <x:c r="A14" s="30" t="n">
        <x:v>46324</x:v>
      </x:c>
      <x:c r="B14" s="2" t="str">
        <x:v>Thursday</x:v>
      </x:c>
      <x:c r="C14" s="26" t="str">
        <x:v>Execution</x:v>
      </x:c>
      <x:c r="D14" s="26" t="str">
        <x:v>Build and approve</x:v>
      </x:c>
      <x:c r="E14" s="26" t="str">
        <x:v>Copy and operating pack approved</x:v>
      </x:c>
      <x:c r="F14" s="2" t="n">
        <x:f>COUNTIFS('Daily Tasks'!$B$7:$B$500,A14)</x:f>
        <x:v>9</x:v>
      </x:c>
      <x:c r="G14" s="2" t="n">
        <x:f>SUMIFS('Daily Tasks'!$Q$7:$Q$500,'Daily Tasks'!$B$7:$B$500,A14,'Daily Tasks'!$P$7:$P$500,"&lt;="&amp;'Dashboard'!$B$5)</x:f>
        <x:v>0</x:v>
      </x:c>
      <x:c r="H14" s="39" t="n">
        <x:f>IF(F14=0,"n.a.",G14/F14)</x:f>
        <x:v>0</x:v>
      </x:c>
      <x:c r="I14" s="2" t="n">
        <x:f>F14-G14</x:f>
        <x:v>9</x:v>
      </x:c>
      <x:c r="J14" s="2" t="n">
        <x:v>250</x:v>
      </x:c>
      <x:c r="K14" s="2" t="n">
        <x:v>0</x:v>
      </x:c>
      <x:c r="L14" s="2" t="n">
        <x:v>0</x:v>
      </x:c>
      <x:c r="M14" s="2" t="n">
        <x:v>0</x:v>
      </x:c>
      <x:c r="N14" s="2" t="n">
        <x:v>0</x:v>
      </x:c>
      <x:c r="O14" s="26" t="str">
        <x:v>verified: 0; booked: 0; held: 0; trials: 0; referralIntros: 0; referralBookings: 0; linkedinBookings: 0; referralAsks: 0; emailSendCeiling: 0; linkedinRequestCapacity: 0; dialsPerSetterCapacity: 0; officeConversationsPerSetterTarget: 0; replySlaTarget: ; qualifiedInquiries: 0</x:v>
      </x:c>
      <x:c r="P14" s="2" t="n">
        <x:f>COUNTIFS('Daily Tasks'!$B$7:$B$500,"&lt;="&amp;A14)</x:f>
        <x:v>56</x:v>
      </x:c>
      <x:c r="Q14" s="2" t="str">
        <x:f>IF(A14&gt;'Dashboard'!$B$5,"",SUMIFS('Daily Tasks'!$Q$7:$Q$500,'Daily Tasks'!$P$7:$P$500,"&lt;="&amp;A14))</x:f>
      </x:c>
      <x:c r="R14" t="str">
        <x:v>Oct 29</x:v>
      </x:c>
    </x:row>
    <x:row r="15" ht="54" customHeight="1">
      <x:c r="A15" s="30" t="n">
        <x:v>46325</x:v>
      </x:c>
      <x:c r="B15" s="2" t="str">
        <x:v>Friday</x:v>
      </x:c>
      <x:c r="C15" s="26" t="str">
        <x:v>Execution</x:v>
      </x:c>
      <x:c r="D15" s="26" t="str">
        <x:v>Build and approve</x:v>
      </x:c>
      <x:c r="E15" s="26" t="str">
        <x:v>Launch go/no-go</x:v>
      </x:c>
      <x:c r="F15" s="2" t="n">
        <x:f>COUNTIFS('Daily Tasks'!$B$7:$B$500,A15)</x:f>
        <x:v>11</x:v>
      </x:c>
      <x:c r="G15" s="2" t="n">
        <x:f>SUMIFS('Daily Tasks'!$Q$7:$Q$500,'Daily Tasks'!$B$7:$B$500,A15,'Daily Tasks'!$P$7:$P$500,"&lt;="&amp;'Dashboard'!$B$5)</x:f>
        <x:v>0</x:v>
      </x:c>
      <x:c r="H15" s="39" t="n">
        <x:f>IF(F15=0,"n.a.",G15/F15)</x:f>
        <x:v>0</x:v>
      </x:c>
      <x:c r="I15" s="2" t="n">
        <x:f>F15-G15</x:f>
        <x:v>11</x:v>
      </x:c>
      <x:c r="J15" s="2" t="n">
        <x:v>250</x:v>
      </x:c>
      <x:c r="K15" s="2" t="n">
        <x:v>0</x:v>
      </x:c>
      <x:c r="L15" s="2" t="n">
        <x:v>0</x:v>
      </x:c>
      <x:c r="M15" s="2" t="n">
        <x:v>0</x:v>
      </x:c>
      <x:c r="N15" s="2" t="n">
        <x:v>0</x:v>
      </x:c>
      <x:c r="O15" s="26" t="str">
        <x:v>verified: 0; booked: 0; held: 0; trials: 0; referralIntros: 0; referralBookings: 0; linkedinBookings: 0; referralAsks: 5; emailSendCeiling: 0; linkedinRequestCapacity: 0; dialsPerSetterCapacity: 0; officeConversationsPerSetterTarget: 0; replySlaTarget: ; qualifiedInquiries: 0</x:v>
      </x:c>
      <x:c r="P15" s="2" t="n">
        <x:f>COUNTIFS('Daily Tasks'!$B$7:$B$500,"&lt;="&amp;A15)</x:f>
        <x:v>67</x:v>
      </x:c>
      <x:c r="Q15" s="2" t="str">
        <x:f>IF(A15&gt;'Dashboard'!$B$5,"",SUMIFS('Daily Tasks'!$Q$7:$Q$500,'Daily Tasks'!$P$7:$P$500,"&lt;="&amp;A15))</x:f>
      </x:c>
      <x:c r="R15" t="str">
        <x:v>Oct 30</x:v>
      </x:c>
    </x:row>
    <x:row r="16" ht="54" customHeight="1">
      <x:c r="A16" s="30" t="n">
        <x:v>46326</x:v>
      </x:c>
      <x:c r="B16" s="2" t="str">
        <x:v>Saturday</x:v>
      </x:c>
      <x:c r="C16" s="26" t="str">
        <x:v>Weekend</x:v>
      </x:c>
      <x:c r="D16" s="26" t="str">
        <x:v>rest</x:v>
      </x:c>
      <x:c r="E16" s="26" t="str">
        <x:v>Rest; approved systems only</x:v>
      </x:c>
      <x:c r="F16" s="2" t="n">
        <x:f>COUNTIFS('Daily Tasks'!$B$7:$B$500,A16)</x:f>
        <x:v>0</x:v>
      </x:c>
      <x:c r="G16" s="2" t="n">
        <x:f>SUMIFS('Daily Tasks'!$Q$7:$Q$500,'Daily Tasks'!$B$7:$B$500,A16,'Daily Tasks'!$P$7:$P$500,"&lt;="&amp;'Dashboard'!$B$5)</x:f>
        <x:v>0</x:v>
      </x:c>
      <x:c r="H16" s="39" t="str">
        <x:f>IF(F16=0,"n.a.",G16/F16)</x:f>
        <x:v>n.a.</x:v>
      </x:c>
      <x:c r="I16" s="2" t="n">
        <x:f>F16-G16</x:f>
        <x:v>0</x:v>
      </x:c>
      <x:c r="J16" s="2" t="n">
        <x:v>250</x:v>
      </x:c>
      <x:c r="K16" s="2" t="n">
        <x:v>0</x:v>
      </x:c>
      <x:c r="L16" s="2" t="n">
        <x:v>0</x:v>
      </x:c>
      <x:c r="M16" s="2" t="n">
        <x:v>0</x:v>
      </x:c>
      <x:c r="N16" s="2" t="n">
        <x:v>0</x:v>
      </x:c>
      <x:c r="O16" s="26" t="str">
        <x:v>verified: 0; booked: 0; held: 0; trials: 0; referralIntros: 0; referralBookings: 0; linkedinBookings: 0; referralAsks: 0; emailSendCeiling: 0; linkedinRequestCapacity: 0; dialsPerSetterCapacity: 0; officeConversationsPerSetterTarget: 0; replySlaTarget: ; qualifiedInquiries: 0</x:v>
      </x:c>
      <x:c r="P16" s="2" t="n">
        <x:f>COUNTIFS('Daily Tasks'!$B$7:$B$500,"&lt;="&amp;A16)</x:f>
        <x:v>67</x:v>
      </x:c>
      <x:c r="Q16" s="2" t="str">
        <x:f>IF(A16&gt;'Dashboard'!$B$5,"",SUMIFS('Daily Tasks'!$Q$7:$Q$500,'Daily Tasks'!$P$7:$P$500,"&lt;="&amp;A16))</x:f>
      </x:c>
      <x:c r="R16" t="str">
        <x:v>Oct 31</x:v>
      </x:c>
    </x:row>
    <x:row r="17" ht="54" customHeight="1">
      <x:c r="A17" s="30" t="n">
        <x:v>46327</x:v>
      </x:c>
      <x:c r="B17" s="2" t="str">
        <x:v>Sunday</x:v>
      </x:c>
      <x:c r="C17" s="26" t="str">
        <x:v>Weekend</x:v>
      </x:c>
      <x:c r="D17" s="26" t="str">
        <x:v>rest</x:v>
      </x:c>
      <x:c r="E17" s="26" t="str">
        <x:v>Rest; approved systems only</x:v>
      </x:c>
      <x:c r="F17" s="2" t="n">
        <x:f>COUNTIFS('Daily Tasks'!$B$7:$B$500,A17)</x:f>
        <x:v>0</x:v>
      </x:c>
      <x:c r="G17" s="2" t="n">
        <x:f>SUMIFS('Daily Tasks'!$Q$7:$Q$500,'Daily Tasks'!$B$7:$B$500,A17,'Daily Tasks'!$P$7:$P$500,"&lt;="&amp;'Dashboard'!$B$5)</x:f>
        <x:v>0</x:v>
      </x:c>
      <x:c r="H17" s="39" t="str">
        <x:f>IF(F17=0,"n.a.",G17/F17)</x:f>
        <x:v>n.a.</x:v>
      </x:c>
      <x:c r="I17" s="2" t="n">
        <x:f>F17-G17</x:f>
        <x:v>0</x:v>
      </x:c>
      <x:c r="J17" s="2" t="n">
        <x:v>250</x:v>
      </x:c>
      <x:c r="K17" s="2" t="n">
        <x:v>0</x:v>
      </x:c>
      <x:c r="L17" s="2" t="n">
        <x:v>0</x:v>
      </x:c>
      <x:c r="M17" s="2" t="n">
        <x:v>0</x:v>
      </x:c>
      <x:c r="N17" s="2" t="n">
        <x:v>0</x:v>
      </x:c>
      <x:c r="O17" s="26" t="str">
        <x:v>verified: 0; booked: 0; held: 0; trials: 0; referralIntros: 0; referralBookings: 0; linkedinBookings: 0; referralAsks: 0; emailSendCeiling: 0; linkedinRequestCapacity: 0; dialsPerSetterCapacity: 0; officeConversationsPerSetterTarget: 0; replySlaTarget: ; qualifiedInquiries: 0</x:v>
      </x:c>
      <x:c r="P17" s="2" t="n">
        <x:f>COUNTIFS('Daily Tasks'!$B$7:$B$500,"&lt;="&amp;A17)</x:f>
        <x:v>67</x:v>
      </x:c>
      <x:c r="Q17" s="2" t="str">
        <x:f>IF(A17&gt;'Dashboard'!$B$5,"",SUMIFS('Daily Tasks'!$Q$7:$Q$500,'Daily Tasks'!$P$7:$P$500,"&lt;="&amp;A17))</x:f>
      </x:c>
      <x:c r="R17" t="str">
        <x:v>Nov 1</x:v>
      </x:c>
    </x:row>
    <x:row r="18" ht="54" customHeight="1">
      <x:c r="A18" s="30" t="n">
        <x:v>46328</x:v>
      </x:c>
      <x:c r="B18" s="2" t="str">
        <x:v>Monday</x:v>
      </x:c>
      <x:c r="C18" s="26" t="str">
        <x:v>Execution</x:v>
      </x:c>
      <x:c r="D18" s="26" t="str">
        <x:v>Dry run and Wave 1</x:v>
      </x:c>
      <x:c r="E18" s="26" t="str">
        <x:v>Timed full dry run</x:v>
      </x:c>
      <x:c r="F18" s="2" t="n">
        <x:f>COUNTIFS('Daily Tasks'!$B$7:$B$500,A18)</x:f>
        <x:v>11</x:v>
      </x:c>
      <x:c r="G18" s="2" t="n">
        <x:f>SUMIFS('Daily Tasks'!$Q$7:$Q$500,'Daily Tasks'!$B$7:$B$500,A18,'Daily Tasks'!$P$7:$P$500,"&lt;="&amp;'Dashboard'!$B$5)</x:f>
        <x:v>0</x:v>
      </x:c>
      <x:c r="H18" s="39" t="n">
        <x:f>IF(F18=0,"n.a.",G18/F18)</x:f>
        <x:v>0</x:v>
      </x:c>
      <x:c r="I18" s="2" t="n">
        <x:f>F18-G18</x:f>
        <x:v>11</x:v>
      </x:c>
      <x:c r="J18" s="2" t="n">
        <x:v>300</x:v>
      </x:c>
      <x:c r="K18" s="2" t="n">
        <x:v>0</x:v>
      </x:c>
      <x:c r="L18" s="2" t="n">
        <x:v>0</x:v>
      </x:c>
      <x:c r="M18" s="2" t="n">
        <x:v>0</x:v>
      </x:c>
      <x:c r="N18" s="2" t="n">
        <x:v>0</x:v>
      </x:c>
      <x:c r="O18" s="26" t="str">
        <x:v>verified: 50; booked: 0; held: 0; trials: 0; referralIntros: 0; referralBookings: 0; linkedinBookings: 0; referralAsks: 0; emailSendCeiling: 0; linkedinRequestCapacity: 0; dialsPerSetterCapacity: 0; officeConversationsPerSetterTarget: 0; replySlaTarget: ; qualifiedInquiries: 0</x:v>
      </x:c>
      <x:c r="P18" s="2" t="n">
        <x:f>COUNTIFS('Daily Tasks'!$B$7:$B$500,"&lt;="&amp;A18)</x:f>
        <x:v>78</x:v>
      </x:c>
      <x:c r="Q18" s="2" t="str">
        <x:f>IF(A18&gt;'Dashboard'!$B$5,"",SUMIFS('Daily Tasks'!$Q$7:$Q$500,'Daily Tasks'!$P$7:$P$500,"&lt;="&amp;A18))</x:f>
      </x:c>
      <x:c r="R18" t="str">
        <x:v>Nov 2</x:v>
      </x:c>
    </x:row>
    <x:row r="19" ht="54" customHeight="1">
      <x:c r="A19" s="30" t="n">
        <x:v>46329</x:v>
      </x:c>
      <x:c r="B19" s="2" t="str">
        <x:v>Tuesday</x:v>
      </x:c>
      <x:c r="C19" s="26" t="str">
        <x:v>Execution</x:v>
      </x:c>
      <x:c r="D19" s="26" t="str">
        <x:v>Dry run and Wave 1</x:v>
      </x:c>
      <x:c r="E19" s="26" t="str">
        <x:v>Wave 1 live</x:v>
      </x:c>
      <x:c r="F19" s="2" t="n">
        <x:f>COUNTIFS('Daily Tasks'!$B$7:$B$500,A19)</x:f>
        <x:v>13</x:v>
      </x:c>
      <x:c r="G19" s="2" t="n">
        <x:f>SUMIFS('Daily Tasks'!$Q$7:$Q$500,'Daily Tasks'!$B$7:$B$500,A19,'Daily Tasks'!$P$7:$P$500,"&lt;="&amp;'Dashboard'!$B$5)</x:f>
        <x:v>0</x:v>
      </x:c>
      <x:c r="H19" s="39" t="n">
        <x:f>IF(F19=0,"n.a.",G19/F19)</x:f>
        <x:v>0</x:v>
      </x:c>
      <x:c r="I19" s="2" t="n">
        <x:f>F19-G19</x:f>
        <x:v>13</x:v>
      </x:c>
      <x:c r="J19" s="2" t="n">
        <x:v>350</x:v>
      </x:c>
      <x:c r="K19" s="2" t="n">
        <x:v>1</x:v>
      </x:c>
      <x:c r="L19" s="2" t="n">
        <x:v>0</x:v>
      </x:c>
      <x:c r="M19" s="2" t="n">
        <x:v>0</x:v>
      </x:c>
      <x:c r="N19" s="2" t="n">
        <x:v>0</x:v>
      </x:c>
      <x:c r="O19" s="26" t="str">
        <x:v>verified: 50; booked: 0; held: 0; trials: 0; referralIntros: 1; referralBookings: 0; linkedinBookings: 0; referralAsks: 4; emailSendCeiling: 150; linkedinRequestCapacity: 25; dialsPerSetterCapacity: 50; officeConversationsPerSetterTarget: 8; replySlaTarget: 100; qualifiedInquiries: 1</x:v>
      </x:c>
      <x:c r="P19" s="2" t="n">
        <x:f>COUNTIFS('Daily Tasks'!$B$7:$B$500,"&lt;="&amp;A19)</x:f>
        <x:v>91</x:v>
      </x:c>
      <x:c r="Q19" s="2" t="str">
        <x:f>IF(A19&gt;'Dashboard'!$B$5,"",SUMIFS('Daily Tasks'!$Q$7:$Q$500,'Daily Tasks'!$P$7:$P$500,"&lt;="&amp;A19))</x:f>
      </x:c>
      <x:c r="R19" t="str">
        <x:v>Nov 3</x:v>
      </x:c>
    </x:row>
    <x:row r="20" ht="54" customHeight="1">
      <x:c r="A20" s="30" t="n">
        <x:v>46330</x:v>
      </x:c>
      <x:c r="B20" s="2" t="str">
        <x:v>Wednesday</x:v>
      </x:c>
      <x:c r="C20" s="26" t="str">
        <x:v>Execution</x:v>
      </x:c>
      <x:c r="D20" s="26" t="str">
        <x:v>Dry run and Wave 1</x:v>
      </x:c>
      <x:c r="E20" s="26" t="str">
        <x:v>Dry run and Wave 1</x:v>
      </x:c>
      <x:c r="F20" s="2" t="n">
        <x:f>COUNTIFS('Daily Tasks'!$B$7:$B$500,A20)</x:f>
        <x:v>13</x:v>
      </x:c>
      <x:c r="G20" s="2" t="n">
        <x:f>SUMIFS('Daily Tasks'!$Q$7:$Q$500,'Daily Tasks'!$B$7:$B$500,A20,'Daily Tasks'!$P$7:$P$500,"&lt;="&amp;'Dashboard'!$B$5)</x:f>
        <x:v>0</x:v>
      </x:c>
      <x:c r="H20" s="39" t="n">
        <x:f>IF(F20=0,"n.a.",G20/F20)</x:f>
        <x:v>0</x:v>
      </x:c>
      <x:c r="I20" s="2" t="n">
        <x:f>F20-G20</x:f>
        <x:v>13</x:v>
      </x:c>
      <x:c r="J20" s="2" t="n">
        <x:v>400</x:v>
      </x:c>
      <x:c r="K20" s="2" t="n">
        <x:v>2</x:v>
      </x:c>
      <x:c r="L20" s="2" t="n">
        <x:v>1</x:v>
      </x:c>
      <x:c r="M20" s="2" t="n">
        <x:v>0</x:v>
      </x:c>
      <x:c r="N20" s="2" t="n">
        <x:v>0</x:v>
      </x:c>
      <x:c r="O20" s="26" t="str">
        <x:v>verified: 50; booked: 1; held: 0; trials: 0; referralIntros: 0; referralBookings: 0; linkedinBookings: 0; referralAsks: 2; emailSendCeiling: 150; linkedinRequestCapacity: 25; dialsPerSetterCapacity: 50; officeConversationsPerSetterTarget: 8; replySlaTarget: 100; qualifiedInquiries: 1</x:v>
      </x:c>
      <x:c r="P20" s="2" t="n">
        <x:f>COUNTIFS('Daily Tasks'!$B$7:$B$500,"&lt;="&amp;A20)</x:f>
        <x:v>104</x:v>
      </x:c>
      <x:c r="Q20" s="2" t="str">
        <x:f>IF(A20&gt;'Dashboard'!$B$5,"",SUMIFS('Daily Tasks'!$Q$7:$Q$500,'Daily Tasks'!$P$7:$P$500,"&lt;="&amp;A20))</x:f>
      </x:c>
      <x:c r="R20" t="str">
        <x:v>Nov 4</x:v>
      </x:c>
    </x:row>
    <x:row r="21" ht="54" customHeight="1">
      <x:c r="A21" s="30" t="n">
        <x:v>46331</x:v>
      </x:c>
      <x:c r="B21" s="2" t="str">
        <x:v>Thursday</x:v>
      </x:c>
      <x:c r="C21" s="26" t="str">
        <x:v>Execution</x:v>
      </x:c>
      <x:c r="D21" s="26" t="str">
        <x:v>Dry run and Wave 1</x:v>
      </x:c>
      <x:c r="E21" s="26" t="str">
        <x:v>Dry run and Wave 1</x:v>
      </x:c>
      <x:c r="F21" s="2" t="n">
        <x:f>COUNTIFS('Daily Tasks'!$B$7:$B$500,A21)</x:f>
        <x:v>13</x:v>
      </x:c>
      <x:c r="G21" s="2" t="n">
        <x:f>SUMIFS('Daily Tasks'!$Q$7:$Q$500,'Daily Tasks'!$B$7:$B$500,A21,'Daily Tasks'!$P$7:$P$500,"&lt;="&amp;'Dashboard'!$B$5)</x:f>
        <x:v>0</x:v>
      </x:c>
      <x:c r="H21" s="39" t="n">
        <x:f>IF(F21=0,"n.a.",G21/F21)</x:f>
        <x:v>0</x:v>
      </x:c>
      <x:c r="I21" s="2" t="n">
        <x:f>F21-G21</x:f>
        <x:v>13</x:v>
      </x:c>
      <x:c r="J21" s="2" t="n">
        <x:v>450</x:v>
      </x:c>
      <x:c r="K21" s="2" t="n">
        <x:v>3</x:v>
      </x:c>
      <x:c r="L21" s="2" t="n">
        <x:v>1</x:v>
      </x:c>
      <x:c r="M21" s="2" t="n">
        <x:v>0</x:v>
      </x:c>
      <x:c r="N21" s="2" t="n">
        <x:v>0</x:v>
      </x:c>
      <x:c r="O21" s="26" t="str">
        <x:v>verified: 50; booked: 0; held: 0; trials: 0; referralIntros: 1; referralBookings: 0; linkedinBookings: 0; referralAsks: 2; emailSendCeiling: 150; linkedinRequestCapacity: 25; dialsPerSetterCapacity: 50; officeConversationsPerSetterTarget: 8; replySlaTarget: 100; qualifiedInquiries: 1</x:v>
      </x:c>
      <x:c r="P21" s="2" t="n">
        <x:f>COUNTIFS('Daily Tasks'!$B$7:$B$500,"&lt;="&amp;A21)</x:f>
        <x:v>117</x:v>
      </x:c>
      <x:c r="Q21" s="2" t="str">
        <x:f>IF(A21&gt;'Dashboard'!$B$5,"",SUMIFS('Daily Tasks'!$Q$7:$Q$500,'Daily Tasks'!$P$7:$P$500,"&lt;="&amp;A21))</x:f>
      </x:c>
      <x:c r="R21" t="str">
        <x:v>Nov 5</x:v>
      </x:c>
    </x:row>
    <x:row r="22" ht="54" customHeight="1">
      <x:c r="A22" s="30" t="n">
        <x:v>46332</x:v>
      </x:c>
      <x:c r="B22" s="2" t="str">
        <x:v>Friday</x:v>
      </x:c>
      <x:c r="C22" s="26" t="str">
        <x:v>Execution</x:v>
      </x:c>
      <x:c r="D22" s="26" t="str">
        <x:v>Dry run and Wave 1</x:v>
      </x:c>
      <x:c r="E22" s="26" t="str">
        <x:v>500 verified and assists accepted</x:v>
      </x:c>
      <x:c r="F22" s="2" t="n">
        <x:f>COUNTIFS('Daily Tasks'!$B$7:$B$500,A22)</x:f>
        <x:v>13</x:v>
      </x:c>
      <x:c r="G22" s="2" t="n">
        <x:f>SUMIFS('Daily Tasks'!$Q$7:$Q$500,'Daily Tasks'!$B$7:$B$500,A22,'Daily Tasks'!$P$7:$P$500,"&lt;="&amp;'Dashboard'!$B$5)</x:f>
        <x:v>0</x:v>
      </x:c>
      <x:c r="H22" s="39" t="n">
        <x:f>IF(F22=0,"n.a.",G22/F22)</x:f>
        <x:v>0</x:v>
      </x:c>
      <x:c r="I22" s="2" t="n">
        <x:f>F22-G22</x:f>
        <x:v>13</x:v>
      </x:c>
      <x:c r="J22" s="2" t="n">
        <x:v>500</x:v>
      </x:c>
      <x:c r="K22" s="2" t="n">
        <x:v>4</x:v>
      </x:c>
      <x:c r="L22" s="2" t="n">
        <x:v>2</x:v>
      </x:c>
      <x:c r="M22" s="2" t="n">
        <x:v>1</x:v>
      </x:c>
      <x:c r="N22" s="2" t="n">
        <x:v>0</x:v>
      </x:c>
      <x:c r="O22" s="26" t="str">
        <x:v>verified: 50; booked: 1; held: 1; trials: 0; referralIntros: 1; referralBookings: 1; linkedinBookings: 1; referralAsks: 2; emailSendCeiling: 150; linkedinRequestCapacity: 25; dialsPerSetterCapacity: 50; officeConversationsPerSetterTarget: 8; replySlaTarget: 100; qualifiedInquiries: 1</x:v>
      </x:c>
      <x:c r="P22" s="2" t="n">
        <x:f>COUNTIFS('Daily Tasks'!$B$7:$B$500,"&lt;="&amp;A22)</x:f>
        <x:v>130</x:v>
      </x:c>
      <x:c r="Q22" s="2" t="str">
        <x:f>IF(A22&gt;'Dashboard'!$B$5,"",SUMIFS('Daily Tasks'!$Q$7:$Q$500,'Daily Tasks'!$P$7:$P$500,"&lt;="&amp;A22))</x:f>
      </x:c>
      <x:c r="R22" t="str">
        <x:v>Nov 6</x:v>
      </x:c>
    </x:row>
    <x:row r="23" ht="54" customHeight="1">
      <x:c r="A23" s="30" t="n">
        <x:v>46333</x:v>
      </x:c>
      <x:c r="B23" s="2" t="str">
        <x:v>Saturday</x:v>
      </x:c>
      <x:c r="C23" s="26" t="str">
        <x:v>Weekend</x:v>
      </x:c>
      <x:c r="D23" s="26" t="str">
        <x:v>rest</x:v>
      </x:c>
      <x:c r="E23" s="26" t="str">
        <x:v>Rest; approved systems only</x:v>
      </x:c>
      <x:c r="F23" s="2" t="n">
        <x:f>COUNTIFS('Daily Tasks'!$B$7:$B$500,A23)</x:f>
        <x:v>0</x:v>
      </x:c>
      <x:c r="G23" s="2" t="n">
        <x:f>SUMIFS('Daily Tasks'!$Q$7:$Q$500,'Daily Tasks'!$B$7:$B$500,A23,'Daily Tasks'!$P$7:$P$500,"&lt;="&amp;'Dashboard'!$B$5)</x:f>
        <x:v>0</x:v>
      </x:c>
      <x:c r="H23" s="39" t="str">
        <x:f>IF(F23=0,"n.a.",G23/F23)</x:f>
        <x:v>n.a.</x:v>
      </x:c>
      <x:c r="I23" s="2" t="n">
        <x:f>F23-G23</x:f>
        <x:v>0</x:v>
      </x:c>
      <x:c r="J23" s="2" t="n">
        <x:v>500</x:v>
      </x:c>
      <x:c r="K23" s="2" t="n">
        <x:v>4</x:v>
      </x:c>
      <x:c r="L23" s="2" t="n">
        <x:v>2</x:v>
      </x:c>
      <x:c r="M23" s="2" t="n">
        <x:v>1</x:v>
      </x:c>
      <x:c r="N23" s="2" t="n">
        <x:v>0</x:v>
      </x:c>
      <x:c r="O23" s="26" t="str">
        <x:v>verified: 0; booked: 0; held: 0; trials: 0; referralIntros: 0; referralBookings: 0; linkedinBookings: 0; referralAsks: 0; emailSendCeiling: 0; linkedinRequestCapacity: 0; dialsPerSetterCapacity: 0; officeConversationsPerSetterTarget: 0; replySlaTarget: ; qualifiedInquiries: 0</x:v>
      </x:c>
      <x:c r="P23" s="2" t="n">
        <x:f>COUNTIFS('Daily Tasks'!$B$7:$B$500,"&lt;="&amp;A23)</x:f>
        <x:v>130</x:v>
      </x:c>
      <x:c r="Q23" s="2" t="str">
        <x:f>IF(A23&gt;'Dashboard'!$B$5,"",SUMIFS('Daily Tasks'!$Q$7:$Q$500,'Daily Tasks'!$P$7:$P$500,"&lt;="&amp;A23))</x:f>
      </x:c>
      <x:c r="R23" t="str">
        <x:v>Nov 7</x:v>
      </x:c>
    </x:row>
    <x:row r="24" ht="54" customHeight="1">
      <x:c r="A24" s="30" t="n">
        <x:v>46334</x:v>
      </x:c>
      <x:c r="B24" s="2" t="str">
        <x:v>Sunday</x:v>
      </x:c>
      <x:c r="C24" s="26" t="str">
        <x:v>Weekend</x:v>
      </x:c>
      <x:c r="D24" s="26" t="str">
        <x:v>rest</x:v>
      </x:c>
      <x:c r="E24" s="26" t="str">
        <x:v>Rest; approved systems only</x:v>
      </x:c>
      <x:c r="F24" s="2" t="n">
        <x:f>COUNTIFS('Daily Tasks'!$B$7:$B$500,A24)</x:f>
        <x:v>0</x:v>
      </x:c>
      <x:c r="G24" s="2" t="n">
        <x:f>SUMIFS('Daily Tasks'!$Q$7:$Q$500,'Daily Tasks'!$B$7:$B$500,A24,'Daily Tasks'!$P$7:$P$500,"&lt;="&amp;'Dashboard'!$B$5)</x:f>
        <x:v>0</x:v>
      </x:c>
      <x:c r="H24" s="39" t="str">
        <x:f>IF(F24=0,"n.a.",G24/F24)</x:f>
        <x:v>n.a.</x:v>
      </x:c>
      <x:c r="I24" s="2" t="n">
        <x:f>F24-G24</x:f>
        <x:v>0</x:v>
      </x:c>
      <x:c r="J24" s="2" t="n">
        <x:v>500</x:v>
      </x:c>
      <x:c r="K24" s="2" t="n">
        <x:v>4</x:v>
      </x:c>
      <x:c r="L24" s="2" t="n">
        <x:v>2</x:v>
      </x:c>
      <x:c r="M24" s="2" t="n">
        <x:v>1</x:v>
      </x:c>
      <x:c r="N24" s="2" t="n">
        <x:v>0</x:v>
      </x:c>
      <x:c r="O24" s="26" t="str">
        <x:v>verified: 0; booked: 0; held: 0; trials: 0; referralIntros: 0; referralBookings: 0; linkedinBookings: 0; referralAsks: 0; emailSendCeiling: 0; linkedinRequestCapacity: 0; dialsPerSetterCapacity: 0; officeConversationsPerSetterTarget: 0; replySlaTarget: ; qualifiedInquiries: 0</x:v>
      </x:c>
      <x:c r="P24" s="2" t="n">
        <x:f>COUNTIFS('Daily Tasks'!$B$7:$B$500,"&lt;="&amp;A24)</x:f>
        <x:v>130</x:v>
      </x:c>
      <x:c r="Q24" s="2" t="str">
        <x:f>IF(A24&gt;'Dashboard'!$B$5,"",SUMIFS('Daily Tasks'!$Q$7:$Q$500,'Daily Tasks'!$P$7:$P$500,"&lt;="&amp;A24))</x:f>
      </x:c>
      <x:c r="R24" t="str">
        <x:v>Nov 8</x:v>
      </x:c>
    </x:row>
    <x:row r="25" ht="54" customHeight="1">
      <x:c r="A25" s="30" t="n">
        <x:v>46335</x:v>
      </x:c>
      <x:c r="B25" s="2" t="str">
        <x:v>Monday</x:v>
      </x:c>
      <x:c r="C25" s="26" t="str">
        <x:v>Execution</x:v>
      </x:c>
      <x:c r="D25" s="26" t="str">
        <x:v>Wave 2 and first trials</x:v>
      </x:c>
      <x:c r="E25" s="26" t="str">
        <x:v>Wave 2 and first trials</x:v>
      </x:c>
      <x:c r="F25" s="2" t="n">
        <x:f>COUNTIFS('Daily Tasks'!$B$7:$B$500,A25)</x:f>
        <x:v>13</x:v>
      </x:c>
      <x:c r="G25" s="2" t="n">
        <x:f>SUMIFS('Daily Tasks'!$Q$7:$Q$500,'Daily Tasks'!$B$7:$B$500,A25,'Daily Tasks'!$P$7:$P$500,"&lt;="&amp;'Dashboard'!$B$5)</x:f>
        <x:v>0</x:v>
      </x:c>
      <x:c r="H25" s="39" t="n">
        <x:f>IF(F25=0,"n.a.",G25/F25)</x:f>
        <x:v>0</x:v>
      </x:c>
      <x:c r="I25" s="2" t="n">
        <x:f>F25-G25</x:f>
        <x:v>13</x:v>
      </x:c>
      <x:c r="J25" s="2" t="n">
        <x:v>500</x:v>
      </x:c>
      <x:c r="K25" s="2" t="n">
        <x:v>5</x:v>
      </x:c>
      <x:c r="L25" s="2" t="n">
        <x:v>2</x:v>
      </x:c>
      <x:c r="M25" s="2" t="n">
        <x:v>1</x:v>
      </x:c>
      <x:c r="N25" s="2" t="n">
        <x:v>0</x:v>
      </x:c>
      <x:c r="O25" s="26" t="str">
        <x:v>verified: 0; booked: 0; held: 0; trials: 0; referralIntros: 0; referralBookings: 0; linkedinBookings: 0; referralAsks: 2; emailSendCeiling: 150; linkedinRequestCapacity: 25; dialsPerSetterCapacity: 50; officeConversationsPerSetterTarget: 8; replySlaTarget: 100; qualifiedInquiries: 1</x:v>
      </x:c>
      <x:c r="P25" s="2" t="n">
        <x:f>COUNTIFS('Daily Tasks'!$B$7:$B$500,"&lt;="&amp;A25)</x:f>
        <x:v>143</x:v>
      </x:c>
      <x:c r="Q25" s="2" t="str">
        <x:f>IF(A25&gt;'Dashboard'!$B$5,"",SUMIFS('Daily Tasks'!$Q$7:$Q$500,'Daily Tasks'!$P$7:$P$500,"&lt;="&amp;A25))</x:f>
      </x:c>
      <x:c r="R25" t="str">
        <x:v>Nov 9</x:v>
      </x:c>
    </x:row>
    <x:row r="26" ht="54" customHeight="1">
      <x:c r="A26" s="30" t="n">
        <x:v>46336</x:v>
      </x:c>
      <x:c r="B26" s="2" t="str">
        <x:v>Tuesday</x:v>
      </x:c>
      <x:c r="C26" s="26" t="str">
        <x:v>Execution</x:v>
      </x:c>
      <x:c r="D26" s="26" t="str">
        <x:v>Wave 2 and first trials</x:v>
      </x:c>
      <x:c r="E26" s="26" t="str">
        <x:v>Wave 2 and first trials</x:v>
      </x:c>
      <x:c r="F26" s="2" t="n">
        <x:f>COUNTIFS('Daily Tasks'!$B$7:$B$500,A26)</x:f>
        <x:v>13</x:v>
      </x:c>
      <x:c r="G26" s="2" t="n">
        <x:f>SUMIFS('Daily Tasks'!$Q$7:$Q$500,'Daily Tasks'!$B$7:$B$500,A26,'Daily Tasks'!$P$7:$P$500,"&lt;="&amp;'Dashboard'!$B$5)</x:f>
        <x:v>0</x:v>
      </x:c>
      <x:c r="H26" s="39" t="n">
        <x:f>IF(F26=0,"n.a.",G26/F26)</x:f>
        <x:v>0</x:v>
      </x:c>
      <x:c r="I26" s="2" t="n">
        <x:f>F26-G26</x:f>
        <x:v>13</x:v>
      </x:c>
      <x:c r="J26" s="2" t="n">
        <x:v>500</x:v>
      </x:c>
      <x:c r="K26" s="2" t="n">
        <x:v>6</x:v>
      </x:c>
      <x:c r="L26" s="2" t="n">
        <x:v>3</x:v>
      </x:c>
      <x:c r="M26" s="2" t="n">
        <x:v>1</x:v>
      </x:c>
      <x:c r="N26" s="2" t="n">
        <x:v>0</x:v>
      </x:c>
      <x:c r="O26" s="26" t="str">
        <x:v>verified: 0; booked: 1; held: 0; trials: 0; referralIntros: 0; referralBookings: 0; linkedinBookings: 0; referralAsks: 2; emailSendCeiling: 150; linkedinRequestCapacity: 25; dialsPerSetterCapacity: 50; officeConversationsPerSetterTarget: 8; replySlaTarget: 100; qualifiedInquiries: 1</x:v>
      </x:c>
      <x:c r="P26" s="2" t="n">
        <x:f>COUNTIFS('Daily Tasks'!$B$7:$B$500,"&lt;="&amp;A26)</x:f>
        <x:v>156</x:v>
      </x:c>
      <x:c r="Q26" s="2" t="str">
        <x:f>IF(A26&gt;'Dashboard'!$B$5,"",SUMIFS('Daily Tasks'!$Q$7:$Q$500,'Daily Tasks'!$P$7:$P$500,"&lt;="&amp;A26))</x:f>
      </x:c>
      <x:c r="R26" t="str">
        <x:v>Nov 10</x:v>
      </x:c>
    </x:row>
    <x:row r="27" ht="54" customHeight="1">
      <x:c r="A27" s="30" t="n">
        <x:v>46337</x:v>
      </x:c>
      <x:c r="B27" s="2" t="str">
        <x:v>Wednesday</x:v>
      </x:c>
      <x:c r="C27" s="26" t="str">
        <x:v>Execution</x:v>
      </x:c>
      <x:c r="D27" s="26" t="str">
        <x:v>Wave 2 and first trials</x:v>
      </x:c>
      <x:c r="E27" s="26" t="str">
        <x:v>Wave 2 and first trials</x:v>
      </x:c>
      <x:c r="F27" s="2" t="n">
        <x:f>COUNTIFS('Daily Tasks'!$B$7:$B$500,A27)</x:f>
        <x:v>13</x:v>
      </x:c>
      <x:c r="G27" s="2" t="n">
        <x:f>SUMIFS('Daily Tasks'!$Q$7:$Q$500,'Daily Tasks'!$B$7:$B$500,A27,'Daily Tasks'!$P$7:$P$500,"&lt;="&amp;'Dashboard'!$B$5)</x:f>
        <x:v>0</x:v>
      </x:c>
      <x:c r="H27" s="39" t="n">
        <x:f>IF(F27=0,"n.a.",G27/F27)</x:f>
        <x:v>0</x:v>
      </x:c>
      <x:c r="I27" s="2" t="n">
        <x:f>F27-G27</x:f>
        <x:v>13</x:v>
      </x:c>
      <x:c r="J27" s="2" t="n">
        <x:v>500</x:v>
      </x:c>
      <x:c r="K27" s="2" t="n">
        <x:v>7</x:v>
      </x:c>
      <x:c r="L27" s="2" t="n">
        <x:v>3</x:v>
      </x:c>
      <x:c r="M27" s="2" t="n">
        <x:v>2</x:v>
      </x:c>
      <x:c r="N27" s="2" t="n">
        <x:v>0</x:v>
      </x:c>
      <x:c r="O27" s="26" t="str">
        <x:v>verified: 0; booked: 0; held: 1; trials: 0; referralIntros: 1; referralBookings: 0; linkedinBookings: 0; referralAsks: 2; emailSendCeiling: 150; linkedinRequestCapacity: 25; dialsPerSetterCapacity: 50; officeConversationsPerSetterTarget: 8; replySlaTarget: 100; qualifiedInquiries: 1</x:v>
      </x:c>
      <x:c r="P27" s="2" t="n">
        <x:f>COUNTIFS('Daily Tasks'!$B$7:$B$500,"&lt;="&amp;A27)</x:f>
        <x:v>169</x:v>
      </x:c>
      <x:c r="Q27" s="2" t="str">
        <x:f>IF(A27&gt;'Dashboard'!$B$5,"",SUMIFS('Daily Tasks'!$Q$7:$Q$500,'Daily Tasks'!$P$7:$P$500,"&lt;="&amp;A27))</x:f>
      </x:c>
      <x:c r="R27" t="str">
        <x:v>Nov 11</x:v>
      </x:c>
    </x:row>
    <x:row r="28" ht="54" customHeight="1">
      <x:c r="A28" s="30" t="n">
        <x:v>46338</x:v>
      </x:c>
      <x:c r="B28" s="2" t="str">
        <x:v>Thursday</x:v>
      </x:c>
      <x:c r="C28" s="26" t="str">
        <x:v>Execution</x:v>
      </x:c>
      <x:c r="D28" s="26" t="str">
        <x:v>Wave 2 and first trials</x:v>
      </x:c>
      <x:c r="E28" s="26" t="str">
        <x:v>Scoreboard automation accepted</x:v>
      </x:c>
      <x:c r="F28" s="2" t="n">
        <x:f>COUNTIFS('Daily Tasks'!$B$7:$B$500,A28)</x:f>
        <x:v>13</x:v>
      </x:c>
      <x:c r="G28" s="2" t="n">
        <x:f>SUMIFS('Daily Tasks'!$Q$7:$Q$500,'Daily Tasks'!$B$7:$B$500,A28,'Daily Tasks'!$P$7:$P$500,"&lt;="&amp;'Dashboard'!$B$5)</x:f>
        <x:v>0</x:v>
      </x:c>
      <x:c r="H28" s="39" t="n">
        <x:f>IF(F28=0,"n.a.",G28/F28)</x:f>
        <x:v>0</x:v>
      </x:c>
      <x:c r="I28" s="2" t="n">
        <x:f>F28-G28</x:f>
        <x:v>13</x:v>
      </x:c>
      <x:c r="J28" s="2" t="n">
        <x:v>500</x:v>
      </x:c>
      <x:c r="K28" s="2" t="n">
        <x:v>8</x:v>
      </x:c>
      <x:c r="L28" s="2" t="n">
        <x:v>4</x:v>
      </x:c>
      <x:c r="M28" s="2" t="n">
        <x:v>2</x:v>
      </x:c>
      <x:c r="N28" s="2" t="n">
        <x:v>0</x:v>
      </x:c>
      <x:c r="O28" s="26" t="str">
        <x:v>verified: 0; booked: 1; held: 0; trials: 0; referralIntros: 0; referralBookings: 0; linkedinBookings: 0; referralAsks: 2; emailSendCeiling: 150; linkedinRequestCapacity: 25; dialsPerSetterCapacity: 50; officeConversationsPerSetterTarget: 8; replySlaTarget: 100; qualifiedInquiries: 1</x:v>
      </x:c>
      <x:c r="P28" s="2" t="n">
        <x:f>COUNTIFS('Daily Tasks'!$B$7:$B$500,"&lt;="&amp;A28)</x:f>
        <x:v>182</x:v>
      </x:c>
      <x:c r="Q28" s="2" t="str">
        <x:f>IF(A28&gt;'Dashboard'!$B$5,"",SUMIFS('Daily Tasks'!$Q$7:$Q$500,'Daily Tasks'!$P$7:$P$500,"&lt;="&amp;A28))</x:f>
      </x:c>
      <x:c r="R28" t="str">
        <x:v>Nov 12</x:v>
      </x:c>
    </x:row>
    <x:row r="29" ht="54" customHeight="1">
      <x:c r="A29" s="30" t="n">
        <x:v>46339</x:v>
      </x:c>
      <x:c r="B29" s="2" t="str">
        <x:v>Friday</x:v>
      </x:c>
      <x:c r="C29" s="26" t="str">
        <x:v>Execution</x:v>
      </x:c>
      <x:c r="D29" s="26" t="str">
        <x:v>Wave 2 and first trials</x:v>
      </x:c>
      <x:c r="E29" s="26" t="str">
        <x:v>A/B referral asks complete</x:v>
      </x:c>
      <x:c r="F29" s="2" t="n">
        <x:f>COUNTIFS('Daily Tasks'!$B$7:$B$500,A29)</x:f>
        <x:v>13</x:v>
      </x:c>
      <x:c r="G29" s="2" t="n">
        <x:f>SUMIFS('Daily Tasks'!$Q$7:$Q$500,'Daily Tasks'!$B$7:$B$500,A29,'Daily Tasks'!$P$7:$P$500,"&lt;="&amp;'Dashboard'!$B$5)</x:f>
        <x:v>0</x:v>
      </x:c>
      <x:c r="H29" s="39" t="n">
        <x:f>IF(F29=0,"n.a.",G29/F29)</x:f>
        <x:v>0</x:v>
      </x:c>
      <x:c r="I29" s="2" t="n">
        <x:f>F29-G29</x:f>
        <x:v>13</x:v>
      </x:c>
      <x:c r="J29" s="2" t="n">
        <x:v>500</x:v>
      </x:c>
      <x:c r="K29" s="2" t="n">
        <x:v>10</x:v>
      </x:c>
      <x:c r="L29" s="2" t="n">
        <x:v>5</x:v>
      </x:c>
      <x:c r="M29" s="2" t="n">
        <x:v>3</x:v>
      </x:c>
      <x:c r="N29" s="2" t="n">
        <x:v>1</x:v>
      </x:c>
      <x:c r="O29" s="26" t="str">
        <x:v>verified: 0; booked: 1; held: 1; trials: 1; referralIntros: 1; referralBookings: 1; linkedinBookings: 1; referralAsks: 2; emailSendCeiling: 150; linkedinRequestCapacity: 25; dialsPerSetterCapacity: 50; officeConversationsPerSetterTarget: 8; replySlaTarget: 100; qualifiedInquiries: 2</x:v>
      </x:c>
      <x:c r="P29" s="2" t="n">
        <x:f>COUNTIFS('Daily Tasks'!$B$7:$B$500,"&lt;="&amp;A29)</x:f>
        <x:v>195</x:v>
      </x:c>
      <x:c r="Q29" s="2" t="str">
        <x:f>IF(A29&gt;'Dashboard'!$B$5,"",SUMIFS('Daily Tasks'!$Q$7:$Q$500,'Daily Tasks'!$P$7:$P$500,"&lt;="&amp;A29))</x:f>
      </x:c>
      <x:c r="R29" t="str">
        <x:v>Nov 13</x:v>
      </x:c>
    </x:row>
    <x:row r="30" ht="54" customHeight="1">
      <x:c r="A30" s="30" t="n">
        <x:v>46340</x:v>
      </x:c>
      <x:c r="B30" s="2" t="str">
        <x:v>Saturday</x:v>
      </x:c>
      <x:c r="C30" s="26" t="str">
        <x:v>Weekend</x:v>
      </x:c>
      <x:c r="D30" s="26" t="str">
        <x:v>rest</x:v>
      </x:c>
      <x:c r="E30" s="26" t="str">
        <x:v>Rest; approved systems only</x:v>
      </x:c>
      <x:c r="F30" s="2" t="n">
        <x:f>COUNTIFS('Daily Tasks'!$B$7:$B$500,A30)</x:f>
        <x:v>0</x:v>
      </x:c>
      <x:c r="G30" s="2" t="n">
        <x:f>SUMIFS('Daily Tasks'!$Q$7:$Q$500,'Daily Tasks'!$B$7:$B$500,A30,'Daily Tasks'!$P$7:$P$500,"&lt;="&amp;'Dashboard'!$B$5)</x:f>
        <x:v>0</x:v>
      </x:c>
      <x:c r="H30" s="39" t="str">
        <x:f>IF(F30=0,"n.a.",G30/F30)</x:f>
        <x:v>n.a.</x:v>
      </x:c>
      <x:c r="I30" s="2" t="n">
        <x:f>F30-G30</x:f>
        <x:v>0</x:v>
      </x:c>
      <x:c r="J30" s="2" t="n">
        <x:v>500</x:v>
      </x:c>
      <x:c r="K30" s="2" t="n">
        <x:v>10</x:v>
      </x:c>
      <x:c r="L30" s="2" t="n">
        <x:v>5</x:v>
      </x:c>
      <x:c r="M30" s="2" t="n">
        <x:v>3</x:v>
      </x:c>
      <x:c r="N30" s="2" t="n">
        <x:v>1</x:v>
      </x:c>
      <x:c r="O30" s="26" t="str">
        <x:v>verified: 0; booked: 0; held: 0; trials: 0; referralIntros: 0; referralBookings: 0; linkedinBookings: 0; referralAsks: 0; emailSendCeiling: 0; linkedinRequestCapacity: 0; dialsPerSetterCapacity: 0; officeConversationsPerSetterTarget: 0; replySlaTarget: ; qualifiedInquiries: 0</x:v>
      </x:c>
      <x:c r="P30" s="2" t="n">
        <x:f>COUNTIFS('Daily Tasks'!$B$7:$B$500,"&lt;="&amp;A30)</x:f>
        <x:v>195</x:v>
      </x:c>
      <x:c r="Q30" s="2" t="str">
        <x:f>IF(A30&gt;'Dashboard'!$B$5,"",SUMIFS('Daily Tasks'!$Q$7:$Q$500,'Daily Tasks'!$P$7:$P$500,"&lt;="&amp;A30))</x:f>
      </x:c>
      <x:c r="R30" t="str">
        <x:v>Nov 14</x:v>
      </x:c>
    </x:row>
    <x:row r="31" ht="54" customHeight="1">
      <x:c r="A31" s="30" t="n">
        <x:v>46341</x:v>
      </x:c>
      <x:c r="B31" s="2" t="str">
        <x:v>Sunday</x:v>
      </x:c>
      <x:c r="C31" s="26" t="str">
        <x:v>Weekend</x:v>
      </x:c>
      <x:c r="D31" s="26" t="str">
        <x:v>rest</x:v>
      </x:c>
      <x:c r="E31" s="26" t="str">
        <x:v>Rest; approved systems only</x:v>
      </x:c>
      <x:c r="F31" s="2" t="n">
        <x:f>COUNTIFS('Daily Tasks'!$B$7:$B$500,A31)</x:f>
        <x:v>0</x:v>
      </x:c>
      <x:c r="G31" s="2" t="n">
        <x:f>SUMIFS('Daily Tasks'!$Q$7:$Q$500,'Daily Tasks'!$B$7:$B$500,A31,'Daily Tasks'!$P$7:$P$500,"&lt;="&amp;'Dashboard'!$B$5)</x:f>
        <x:v>0</x:v>
      </x:c>
      <x:c r="H31" s="39" t="str">
        <x:f>IF(F31=0,"n.a.",G31/F31)</x:f>
        <x:v>n.a.</x:v>
      </x:c>
      <x:c r="I31" s="2" t="n">
        <x:f>F31-G31</x:f>
        <x:v>0</x:v>
      </x:c>
      <x:c r="J31" s="2" t="n">
        <x:v>500</x:v>
      </x:c>
      <x:c r="K31" s="2" t="n">
        <x:v>10</x:v>
      </x:c>
      <x:c r="L31" s="2" t="n">
        <x:v>5</x:v>
      </x:c>
      <x:c r="M31" s="2" t="n">
        <x:v>3</x:v>
      </x:c>
      <x:c r="N31" s="2" t="n">
        <x:v>1</x:v>
      </x:c>
      <x:c r="O31" s="26" t="str">
        <x:v>verified: 0; booked: 0; held: 0; trials: 0; referralIntros: 0; referralBookings: 0; linkedinBookings: 0; referralAsks: 0; emailSendCeiling: 0; linkedinRequestCapacity: 0; dialsPerSetterCapacity: 0; officeConversationsPerSetterTarget: 0; replySlaTarget: ; qualifiedInquiries: 0</x:v>
      </x:c>
      <x:c r="P31" s="2" t="n">
        <x:f>COUNTIFS('Daily Tasks'!$B$7:$B$500,"&lt;="&amp;A31)</x:f>
        <x:v>195</x:v>
      </x:c>
      <x:c r="Q31" s="2" t="str">
        <x:f>IF(A31&gt;'Dashboard'!$B$5,"",SUMIFS('Daily Tasks'!$Q$7:$Q$500,'Daily Tasks'!$P$7:$P$500,"&lt;="&amp;A31))</x:f>
      </x:c>
      <x:c r="R31" t="str">
        <x:v>Nov 15</x:v>
      </x:c>
    </x:row>
    <x:row r="32" ht="54" customHeight="1">
      <x:c r="A32" s="30" t="n">
        <x:v>46342</x:v>
      </x:c>
      <x:c r="B32" s="2" t="str">
        <x:v>Monday</x:v>
      </x:c>
      <x:c r="C32" s="26" t="str">
        <x:v>Execution</x:v>
      </x:c>
      <x:c r="D32" s="26" t="str">
        <x:v>Proof and conversion checkpoint</x:v>
      </x:c>
      <x:c r="E32" s="26" t="str">
        <x:v>Proof and conversion checkpoint</x:v>
      </x:c>
      <x:c r="F32" s="2" t="n">
        <x:f>COUNTIFS('Daily Tasks'!$B$7:$B$500,A32)</x:f>
        <x:v>13</x:v>
      </x:c>
      <x:c r="G32" s="2" t="n">
        <x:f>SUMIFS('Daily Tasks'!$Q$7:$Q$500,'Daily Tasks'!$B$7:$B$500,A32,'Daily Tasks'!$P$7:$P$500,"&lt;="&amp;'Dashboard'!$B$5)</x:f>
        <x:v>0</x:v>
      </x:c>
      <x:c r="H32" s="39" t="n">
        <x:f>IF(F32=0,"n.a.",G32/F32)</x:f>
        <x:v>0</x:v>
      </x:c>
      <x:c r="I32" s="2" t="n">
        <x:f>F32-G32</x:f>
        <x:v>13</x:v>
      </x:c>
      <x:c r="J32" s="2" t="n">
        <x:v>500</x:v>
      </x:c>
      <x:c r="K32" s="2" t="n">
        <x:v>11</x:v>
      </x:c>
      <x:c r="L32" s="2" t="n">
        <x:v>5</x:v>
      </x:c>
      <x:c r="M32" s="2" t="n">
        <x:v>3</x:v>
      </x:c>
      <x:c r="N32" s="2" t="n">
        <x:v>1</x:v>
      </x:c>
      <x:c r="O32" s="26" t="str">
        <x:v>verified: 0; booked: 0; held: 0; trials: 0; referralIntros: 0; referralBookings: 0; linkedinBookings: 0; referralAsks: 2; emailSendCeiling: 150; linkedinRequestCapacity: 25; dialsPerSetterCapacity: 50; officeConversationsPerSetterTarget: 8; replySlaTarget: 100; qualifiedInquiries: 1</x:v>
      </x:c>
      <x:c r="P32" s="2" t="n">
        <x:f>COUNTIFS('Daily Tasks'!$B$7:$B$500,"&lt;="&amp;A32)</x:f>
        <x:v>208</x:v>
      </x:c>
      <x:c r="Q32" s="2" t="str">
        <x:f>IF(A32&gt;'Dashboard'!$B$5,"",SUMIFS('Daily Tasks'!$Q$7:$Q$500,'Daily Tasks'!$P$7:$P$500,"&lt;="&amp;A32))</x:f>
      </x:c>
      <x:c r="R32" t="str">
        <x:v>Nov 16</x:v>
      </x:c>
    </x:row>
    <x:row r="33" ht="54" customHeight="1">
      <x:c r="A33" s="30" t="n">
        <x:v>46343</x:v>
      </x:c>
      <x:c r="B33" s="2" t="str">
        <x:v>Tuesday</x:v>
      </x:c>
      <x:c r="C33" s="26" t="str">
        <x:v>Execution</x:v>
      </x:c>
      <x:c r="D33" s="26" t="str">
        <x:v>Proof and conversion checkpoint</x:v>
      </x:c>
      <x:c r="E33" s="26" t="str">
        <x:v>Proof and conversion checkpoint</x:v>
      </x:c>
      <x:c r="F33" s="2" t="n">
        <x:f>COUNTIFS('Daily Tasks'!$B$7:$B$500,A33)</x:f>
        <x:v>13</x:v>
      </x:c>
      <x:c r="G33" s="2" t="n">
        <x:f>SUMIFS('Daily Tasks'!$Q$7:$Q$500,'Daily Tasks'!$B$7:$B$500,A33,'Daily Tasks'!$P$7:$P$500,"&lt;="&amp;'Dashboard'!$B$5)</x:f>
        <x:v>0</x:v>
      </x:c>
      <x:c r="H33" s="39" t="n">
        <x:f>IF(F33=0,"n.a.",G33/F33)</x:f>
        <x:v>0</x:v>
      </x:c>
      <x:c r="I33" s="2" t="n">
        <x:f>F33-G33</x:f>
        <x:v>13</x:v>
      </x:c>
      <x:c r="J33" s="2" t="n">
        <x:v>500</x:v>
      </x:c>
      <x:c r="K33" s="2" t="n">
        <x:v>12</x:v>
      </x:c>
      <x:c r="L33" s="2" t="n">
        <x:v>6</x:v>
      </x:c>
      <x:c r="M33" s="2" t="n">
        <x:v>4</x:v>
      </x:c>
      <x:c r="N33" s="2" t="n">
        <x:v>1</x:v>
      </x:c>
      <x:c r="O33" s="26" t="str">
        <x:v>verified: 0; booked: 1; held: 1; trials: 0; referralIntros: 1; referralBookings: 0; linkedinBookings: 0; referralAsks: 2; emailSendCeiling: 150; linkedinRequestCapacity: 25; dialsPerSetterCapacity: 50; officeConversationsPerSetterTarget: 8; replySlaTarget: 100; qualifiedInquiries: 1</x:v>
      </x:c>
      <x:c r="P33" s="2" t="n">
        <x:f>COUNTIFS('Daily Tasks'!$B$7:$B$500,"&lt;="&amp;A33)</x:f>
        <x:v>221</x:v>
      </x:c>
      <x:c r="Q33" s="2" t="str">
        <x:f>IF(A33&gt;'Dashboard'!$B$5,"",SUMIFS('Daily Tasks'!$Q$7:$Q$500,'Daily Tasks'!$P$7:$P$500,"&lt;="&amp;A33))</x:f>
      </x:c>
      <x:c r="R33" t="str">
        <x:v>Nov 17</x:v>
      </x:c>
    </x:row>
    <x:row r="34" ht="54" customHeight="1">
      <x:c r="A34" s="30" t="n">
        <x:v>46344</x:v>
      </x:c>
      <x:c r="B34" s="2" t="str">
        <x:v>Wednesday</x:v>
      </x:c>
      <x:c r="C34" s="26" t="str">
        <x:v>Execution</x:v>
      </x:c>
      <x:c r="D34" s="26" t="str">
        <x:v>Proof and conversion checkpoint</x:v>
      </x:c>
      <x:c r="E34" s="26" t="str">
        <x:v>Proof and conversion checkpoint</x:v>
      </x:c>
      <x:c r="F34" s="2" t="n">
        <x:f>COUNTIFS('Daily Tasks'!$B$7:$B$500,A34)</x:f>
        <x:v>13</x:v>
      </x:c>
      <x:c r="G34" s="2" t="n">
        <x:f>SUMIFS('Daily Tasks'!$Q$7:$Q$500,'Daily Tasks'!$B$7:$B$500,A34,'Daily Tasks'!$P$7:$P$500,"&lt;="&amp;'Dashboard'!$B$5)</x:f>
        <x:v>0</x:v>
      </x:c>
      <x:c r="H34" s="39" t="n">
        <x:f>IF(F34=0,"n.a.",G34/F34)</x:f>
        <x:v>0</x:v>
      </x:c>
      <x:c r="I34" s="2" t="n">
        <x:f>F34-G34</x:f>
        <x:v>13</x:v>
      </x:c>
      <x:c r="J34" s="2" t="n">
        <x:v>500</x:v>
      </x:c>
      <x:c r="K34" s="2" t="n">
        <x:v>13</x:v>
      </x:c>
      <x:c r="L34" s="2" t="n">
        <x:v>6</x:v>
      </x:c>
      <x:c r="M34" s="2" t="n">
        <x:v>4</x:v>
      </x:c>
      <x:c r="N34" s="2" t="n">
        <x:v>1</x:v>
      </x:c>
      <x:c r="O34" s="26" t="str">
        <x:v>verified: 0; booked: 0; held: 0; trials: 0; referralIntros: 0; referralBookings: 1; linkedinBookings: 0; referralAsks: 2; emailSendCeiling: 150; linkedinRequestCapacity: 25; dialsPerSetterCapacity: 50; officeConversationsPerSetterTarget: 8; replySlaTarget: 100; qualifiedInquiries: 1</x:v>
      </x:c>
      <x:c r="P34" s="2" t="n">
        <x:f>COUNTIFS('Daily Tasks'!$B$7:$B$500,"&lt;="&amp;A34)</x:f>
        <x:v>234</x:v>
      </x:c>
      <x:c r="Q34" s="2" t="str">
        <x:f>IF(A34&gt;'Dashboard'!$B$5,"",SUMIFS('Daily Tasks'!$Q$7:$Q$500,'Daily Tasks'!$P$7:$P$500,"&lt;="&amp;A34))</x:f>
      </x:c>
      <x:c r="R34" t="str">
        <x:v>Nov 18</x:v>
      </x:c>
    </x:row>
    <x:row r="35" ht="54" customHeight="1">
      <x:c r="A35" s="30" t="n">
        <x:v>46345</x:v>
      </x:c>
      <x:c r="B35" s="2" t="str">
        <x:v>Thursday</x:v>
      </x:c>
      <x:c r="C35" s="26" t="str">
        <x:v>Execution</x:v>
      </x:c>
      <x:c r="D35" s="26" t="str">
        <x:v>Proof and conversion checkpoint</x:v>
      </x:c>
      <x:c r="E35" s="26" t="str">
        <x:v>Client Reporter accepted</x:v>
      </x:c>
      <x:c r="F35" s="2" t="n">
        <x:f>COUNTIFS('Daily Tasks'!$B$7:$B$500,A35)</x:f>
        <x:v>13</x:v>
      </x:c>
      <x:c r="G35" s="2" t="n">
        <x:f>SUMIFS('Daily Tasks'!$Q$7:$Q$500,'Daily Tasks'!$B$7:$B$500,A35,'Daily Tasks'!$P$7:$P$500,"&lt;="&amp;'Dashboard'!$B$5)</x:f>
        <x:v>0</x:v>
      </x:c>
      <x:c r="H35" s="39" t="n">
        <x:f>IF(F35=0,"n.a.",G35/F35)</x:f>
        <x:v>0</x:v>
      </x:c>
      <x:c r="I35" s="2" t="n">
        <x:f>F35-G35</x:f>
        <x:v>13</x:v>
      </x:c>
      <x:c r="J35" s="2" t="n">
        <x:v>500</x:v>
      </x:c>
      <x:c r="K35" s="2" t="n">
        <x:v>14</x:v>
      </x:c>
      <x:c r="L35" s="2" t="n">
        <x:v>7</x:v>
      </x:c>
      <x:c r="M35" s="2" t="n">
        <x:v>5</x:v>
      </x:c>
      <x:c r="N35" s="2" t="n">
        <x:v>1</x:v>
      </x:c>
      <x:c r="O35" s="26" t="str">
        <x:v>verified: 0; booked: 1; held: 1; trials: 0; referralIntros: 1; referralBookings: 0; linkedinBookings: 0; referralAsks: 2; emailSendCeiling: 150; linkedinRequestCapacity: 25; dialsPerSetterCapacity: 50; officeConversationsPerSetterTarget: 8; replySlaTarget: 100; qualifiedInquiries: 1</x:v>
      </x:c>
      <x:c r="P35" s="2" t="n">
        <x:f>COUNTIFS('Daily Tasks'!$B$7:$B$500,"&lt;="&amp;A35)</x:f>
        <x:v>247</x:v>
      </x:c>
      <x:c r="Q35" s="2" t="str">
        <x:f>IF(A35&gt;'Dashboard'!$B$5,"",SUMIFS('Daily Tasks'!$Q$7:$Q$500,'Daily Tasks'!$P$7:$P$500,"&lt;="&amp;A35))</x:f>
      </x:c>
      <x:c r="R35" t="str">
        <x:v>Nov 19</x:v>
      </x:c>
    </x:row>
    <x:row r="36" ht="54" customHeight="1">
      <x:c r="A36" s="30" t="n">
        <x:v>46346</x:v>
      </x:c>
      <x:c r="B36" s="2" t="str">
        <x:v>Friday</x:v>
      </x:c>
      <x:c r="C36" s="26" t="str">
        <x:v>Execution</x:v>
      </x:c>
      <x:c r="D36" s="26" t="str">
        <x:v>Proof and conversion checkpoint</x:v>
      </x:c>
      <x:c r="E36" s="26" t="str">
        <x:v>Midpoint funnel decision</x:v>
      </x:c>
      <x:c r="F36" s="2" t="n">
        <x:f>COUNTIFS('Daily Tasks'!$B$7:$B$500,A36)</x:f>
        <x:v>13</x:v>
      </x:c>
      <x:c r="G36" s="2" t="n">
        <x:f>SUMIFS('Daily Tasks'!$Q$7:$Q$500,'Daily Tasks'!$B$7:$B$500,A36,'Daily Tasks'!$P$7:$P$500,"&lt;="&amp;'Dashboard'!$B$5)</x:f>
        <x:v>0</x:v>
      </x:c>
      <x:c r="H36" s="39" t="n">
        <x:f>IF(F36=0,"n.a.",G36/F36)</x:f>
        <x:v>0</x:v>
      </x:c>
      <x:c r="I36" s="2" t="n">
        <x:f>F36-G36</x:f>
        <x:v>13</x:v>
      </x:c>
      <x:c r="J36" s="2" t="n">
        <x:v>500</x:v>
      </x:c>
      <x:c r="K36" s="2" t="n">
        <x:v>16</x:v>
      </x:c>
      <x:c r="L36" s="2" t="n">
        <x:v>8</x:v>
      </x:c>
      <x:c r="M36" s="2" t="n">
        <x:v>6</x:v>
      </x:c>
      <x:c r="N36" s="2" t="n">
        <x:v>2</x:v>
      </x:c>
      <x:c r="O36" s="26" t="str">
        <x:v>verified: 0; booked: 1; held: 1; trials: 1; referralIntros: 1; referralBookings: 1; linkedinBookings: 1; referralAsks: 2; emailSendCeiling: 150; linkedinRequestCapacity: 25; dialsPerSetterCapacity: 50; officeConversationsPerSetterTarget: 8; replySlaTarget: 100; qualifiedInquiries: 2</x:v>
      </x:c>
      <x:c r="P36" s="2" t="n">
        <x:f>COUNTIFS('Daily Tasks'!$B$7:$B$500,"&lt;="&amp;A36)</x:f>
        <x:v>260</x:v>
      </x:c>
      <x:c r="Q36" s="2" t="str">
        <x:f>IF(A36&gt;'Dashboard'!$B$5,"",SUMIFS('Daily Tasks'!$Q$7:$Q$500,'Daily Tasks'!$P$7:$P$500,"&lt;="&amp;A36))</x:f>
      </x:c>
      <x:c r="R36" t="str">
        <x:v>Nov 20</x:v>
      </x:c>
    </x:row>
    <x:row r="37" ht="54" customHeight="1">
      <x:c r="A37" s="30" t="n">
        <x:v>46347</x:v>
      </x:c>
      <x:c r="B37" s="2" t="str">
        <x:v>Saturday</x:v>
      </x:c>
      <x:c r="C37" s="26" t="str">
        <x:v>Weekend</x:v>
      </x:c>
      <x:c r="D37" s="26" t="str">
        <x:v>rest</x:v>
      </x:c>
      <x:c r="E37" s="26" t="str">
        <x:v>Rest; approved systems only</x:v>
      </x:c>
      <x:c r="F37" s="2" t="n">
        <x:f>COUNTIFS('Daily Tasks'!$B$7:$B$500,A37)</x:f>
        <x:v>0</x:v>
      </x:c>
      <x:c r="G37" s="2" t="n">
        <x:f>SUMIFS('Daily Tasks'!$Q$7:$Q$500,'Daily Tasks'!$B$7:$B$500,A37,'Daily Tasks'!$P$7:$P$500,"&lt;="&amp;'Dashboard'!$B$5)</x:f>
        <x:v>0</x:v>
      </x:c>
      <x:c r="H37" s="39" t="str">
        <x:f>IF(F37=0,"n.a.",G37/F37)</x:f>
        <x:v>n.a.</x:v>
      </x:c>
      <x:c r="I37" s="2" t="n">
        <x:f>F37-G37</x:f>
        <x:v>0</x:v>
      </x:c>
      <x:c r="J37" s="2" t="n">
        <x:v>500</x:v>
      </x:c>
      <x:c r="K37" s="2" t="n">
        <x:v>16</x:v>
      </x:c>
      <x:c r="L37" s="2" t="n">
        <x:v>8</x:v>
      </x:c>
      <x:c r="M37" s="2" t="n">
        <x:v>6</x:v>
      </x:c>
      <x:c r="N37" s="2" t="n">
        <x:v>2</x:v>
      </x:c>
      <x:c r="O37" s="26" t="str">
        <x:v>verified: 0; booked: 0; held: 0; trials: 0; referralIntros: 0; referralBookings: 0; linkedinBookings: 0; referralAsks: 0; emailSendCeiling: 0; linkedinRequestCapacity: 0; dialsPerSetterCapacity: 0; officeConversationsPerSetterTarget: 0; replySlaTarget: ; qualifiedInquiries: 0</x:v>
      </x:c>
      <x:c r="P37" s="2" t="n">
        <x:f>COUNTIFS('Daily Tasks'!$B$7:$B$500,"&lt;="&amp;A37)</x:f>
        <x:v>260</x:v>
      </x:c>
      <x:c r="Q37" s="2" t="str">
        <x:f>IF(A37&gt;'Dashboard'!$B$5,"",SUMIFS('Daily Tasks'!$Q$7:$Q$500,'Daily Tasks'!$P$7:$P$500,"&lt;="&amp;A37))</x:f>
      </x:c>
      <x:c r="R37" t="str">
        <x:v>Nov 21</x:v>
      </x:c>
    </x:row>
    <x:row r="38" ht="54" customHeight="1">
      <x:c r="A38" s="30" t="n">
        <x:v>46348</x:v>
      </x:c>
      <x:c r="B38" s="2" t="str">
        <x:v>Sunday</x:v>
      </x:c>
      <x:c r="C38" s="26" t="str">
        <x:v>Weekend</x:v>
      </x:c>
      <x:c r="D38" s="26" t="str">
        <x:v>rest</x:v>
      </x:c>
      <x:c r="E38" s="26" t="str">
        <x:v>Rest; approved systems only</x:v>
      </x:c>
      <x:c r="F38" s="2" t="n">
        <x:f>COUNTIFS('Daily Tasks'!$B$7:$B$500,A38)</x:f>
        <x:v>0</x:v>
      </x:c>
      <x:c r="G38" s="2" t="n">
        <x:f>SUMIFS('Daily Tasks'!$Q$7:$Q$500,'Daily Tasks'!$B$7:$B$500,A38,'Daily Tasks'!$P$7:$P$500,"&lt;="&amp;'Dashboard'!$B$5)</x:f>
        <x:v>0</x:v>
      </x:c>
      <x:c r="H38" s="39" t="str">
        <x:f>IF(F38=0,"n.a.",G38/F38)</x:f>
        <x:v>n.a.</x:v>
      </x:c>
      <x:c r="I38" s="2" t="n">
        <x:f>F38-G38</x:f>
        <x:v>0</x:v>
      </x:c>
      <x:c r="J38" s="2" t="n">
        <x:v>500</x:v>
      </x:c>
      <x:c r="K38" s="2" t="n">
        <x:v>16</x:v>
      </x:c>
      <x:c r="L38" s="2" t="n">
        <x:v>8</x:v>
      </x:c>
      <x:c r="M38" s="2" t="n">
        <x:v>6</x:v>
      </x:c>
      <x:c r="N38" s="2" t="n">
        <x:v>2</x:v>
      </x:c>
      <x:c r="O38" s="26" t="str">
        <x:v>verified: 0; booked: 0; held: 0; trials: 0; referralIntros: 0; referralBookings: 0; linkedinBookings: 0; referralAsks: 0; emailSendCeiling: 0; linkedinRequestCapacity: 0; dialsPerSetterCapacity: 0; officeConversationsPerSetterTarget: 0; replySlaTarget: ; qualifiedInquiries: 0</x:v>
      </x:c>
      <x:c r="P38" s="2" t="n">
        <x:f>COUNTIFS('Daily Tasks'!$B$7:$B$500,"&lt;="&amp;A38)</x:f>
        <x:v>260</x:v>
      </x:c>
      <x:c r="Q38" s="2" t="str">
        <x:f>IF(A38&gt;'Dashboard'!$B$5,"",SUMIFS('Daily Tasks'!$Q$7:$Q$500,'Daily Tasks'!$P$7:$P$500,"&lt;="&amp;A38))</x:f>
      </x:c>
      <x:c r="R38" t="str">
        <x:v>Nov 22</x:v>
      </x:c>
    </x:row>
    <x:row r="39" ht="54" customHeight="1">
      <x:c r="A39" s="30" t="n">
        <x:v>46349</x:v>
      </x:c>
      <x:c r="B39" s="2" t="str">
        <x:v>Monday</x:v>
      </x:c>
      <x:c r="C39" s="26" t="str">
        <x:v>Reduced activity</x:v>
      </x:c>
      <x:c r="D39" s="26" t="str">
        <x:v>Thanksgiving recovery and SOPs</x:v>
      </x:c>
      <x:c r="E39" s="26" t="str">
        <x:v>Thanksgiving recovery and SOPs</x:v>
      </x:c>
      <x:c r="F39" s="2" t="n">
        <x:f>COUNTIFS('Daily Tasks'!$B$7:$B$500,A39)</x:f>
        <x:v>13</x:v>
      </x:c>
      <x:c r="G39" s="2" t="n">
        <x:f>SUMIFS('Daily Tasks'!$Q$7:$Q$500,'Daily Tasks'!$B$7:$B$500,A39,'Daily Tasks'!$P$7:$P$500,"&lt;="&amp;'Dashboard'!$B$5)</x:f>
        <x:v>0</x:v>
      </x:c>
      <x:c r="H39" s="39" t="n">
        <x:f>IF(F39=0,"n.a.",G39/F39)</x:f>
        <x:v>0</x:v>
      </x:c>
      <x:c r="I39" s="2" t="n">
        <x:f>F39-G39</x:f>
        <x:v>13</x:v>
      </x:c>
      <x:c r="J39" s="2" t="n">
        <x:v>500</x:v>
      </x:c>
      <x:c r="K39" s="2" t="n">
        <x:v>16</x:v>
      </x:c>
      <x:c r="L39" s="2" t="n">
        <x:v>8</x:v>
      </x:c>
      <x:c r="M39" s="2" t="n">
        <x:v>6</x:v>
      </x:c>
      <x:c r="N39" s="2" t="n">
        <x:v>2</x:v>
      </x:c>
      <x:c r="O39" s="26" t="str">
        <x:v>verified: 0; booked: 0; held: 0; trials: 0; referralIntros: 0; referralBookings: 0; linkedinBookings: 0; referralAsks: 2; emailSendCeiling: 0; linkedinRequestCapacity: 0; dialsPerSetterCapacity: 0; officeConversationsPerSetterTarget: 0; replySlaTarget: 100; qualifiedInquiries: 0</x:v>
      </x:c>
      <x:c r="P39" s="2" t="n">
        <x:f>COUNTIFS('Daily Tasks'!$B$7:$B$500,"&lt;="&amp;A39)</x:f>
        <x:v>273</x:v>
      </x:c>
      <x:c r="Q39" s="2" t="str">
        <x:f>IF(A39&gt;'Dashboard'!$B$5,"",SUMIFS('Daily Tasks'!$Q$7:$Q$500,'Daily Tasks'!$P$7:$P$500,"&lt;="&amp;A39))</x:f>
      </x:c>
      <x:c r="R39" t="str">
        <x:v>Nov 23</x:v>
      </x:c>
    </x:row>
    <x:row r="40" ht="54" customHeight="1">
      <x:c r="A40" s="30" t="n">
        <x:v>46350</x:v>
      </x:c>
      <x:c r="B40" s="2" t="str">
        <x:v>Tuesday</x:v>
      </x:c>
      <x:c r="C40" s="26" t="str">
        <x:v>Reduced activity</x:v>
      </x:c>
      <x:c r="D40" s="26" t="str">
        <x:v>Thanksgiving recovery and SOPs</x:v>
      </x:c>
      <x:c r="E40" s="26" t="str">
        <x:v>Thanksgiving recovery and SOPs</x:v>
      </x:c>
      <x:c r="F40" s="2" t="n">
        <x:f>COUNTIFS('Daily Tasks'!$B$7:$B$500,A40)</x:f>
        <x:v>13</x:v>
      </x:c>
      <x:c r="G40" s="2" t="n">
        <x:f>SUMIFS('Daily Tasks'!$Q$7:$Q$500,'Daily Tasks'!$B$7:$B$500,A40,'Daily Tasks'!$P$7:$P$500,"&lt;="&amp;'Dashboard'!$B$5)</x:f>
        <x:v>0</x:v>
      </x:c>
      <x:c r="H40" s="39" t="n">
        <x:f>IF(F40=0,"n.a.",G40/F40)</x:f>
        <x:v>0</x:v>
      </x:c>
      <x:c r="I40" s="2" t="n">
        <x:f>F40-G40</x:f>
        <x:v>13</x:v>
      </x:c>
      <x:c r="J40" s="2" t="n">
        <x:v>500</x:v>
      </x:c>
      <x:c r="K40" s="2" t="n">
        <x:v>16</x:v>
      </x:c>
      <x:c r="L40" s="2" t="n">
        <x:v>8</x:v>
      </x:c>
      <x:c r="M40" s="2" t="n">
        <x:v>6</x:v>
      </x:c>
      <x:c r="N40" s="2" t="n">
        <x:v>2</x:v>
      </x:c>
      <x:c r="O40" s="26" t="str">
        <x:v>verified: 0; booked: 0; held: 0; trials: 0; referralIntros: 0; referralBookings: 0; linkedinBookings: 0; referralAsks: 2; emailSendCeiling: 0; linkedinRequestCapacity: 0; dialsPerSetterCapacity: 0; officeConversationsPerSetterTarget: 0; replySlaTarget: 100; qualifiedInquiries: 0</x:v>
      </x:c>
      <x:c r="P40" s="2" t="n">
        <x:f>COUNTIFS('Daily Tasks'!$B$7:$B$500,"&lt;="&amp;A40)</x:f>
        <x:v>286</x:v>
      </x:c>
      <x:c r="Q40" s="2" t="str">
        <x:f>IF(A40&gt;'Dashboard'!$B$5,"",SUMIFS('Daily Tasks'!$Q$7:$Q$500,'Daily Tasks'!$P$7:$P$500,"&lt;="&amp;A40))</x:f>
      </x:c>
      <x:c r="R40" t="str">
        <x:v>Nov 24</x:v>
      </x:c>
    </x:row>
    <x:row r="41" ht="54" customHeight="1">
      <x:c r="A41" s="30" t="n">
        <x:v>46351</x:v>
      </x:c>
      <x:c r="B41" s="2" t="str">
        <x:v>Wednesday</x:v>
      </x:c>
      <x:c r="C41" s="26" t="str">
        <x:v>Reduced activity</x:v>
      </x:c>
      <x:c r="D41" s="26" t="str">
        <x:v>Thanksgiving recovery and SOPs</x:v>
      </x:c>
      <x:c r="E41" s="26" t="str">
        <x:v>All 41 existing-account asks complete</x:v>
      </x:c>
      <x:c r="F41" s="2" t="n">
        <x:f>COUNTIFS('Daily Tasks'!$B$7:$B$500,A41)</x:f>
        <x:v>13</x:v>
      </x:c>
      <x:c r="G41" s="2" t="n">
        <x:f>SUMIFS('Daily Tasks'!$Q$7:$Q$500,'Daily Tasks'!$B$7:$B$500,A41,'Daily Tasks'!$P$7:$P$500,"&lt;="&amp;'Dashboard'!$B$5)</x:f>
        <x:v>0</x:v>
      </x:c>
      <x:c r="H41" s="39" t="n">
        <x:f>IF(F41=0,"n.a.",G41/F41)</x:f>
        <x:v>0</x:v>
      </x:c>
      <x:c r="I41" s="2" t="n">
        <x:f>F41-G41</x:f>
        <x:v>13</x:v>
      </x:c>
      <x:c r="J41" s="2" t="n">
        <x:v>500</x:v>
      </x:c>
      <x:c r="K41" s="2" t="n">
        <x:v>16</x:v>
      </x:c>
      <x:c r="L41" s="2" t="n">
        <x:v>8</x:v>
      </x:c>
      <x:c r="M41" s="2" t="n">
        <x:v>6</x:v>
      </x:c>
      <x:c r="N41" s="2" t="n">
        <x:v>2</x:v>
      </x:c>
      <x:c r="O41" s="26" t="str">
        <x:v>verified: 0; booked: 0; held: 0; trials: 0; referralIntros: 0; referralBookings: 0; linkedinBookings: 0; referralAsks: 2; emailSendCeiling: 0; linkedinRequestCapacity: 0; dialsPerSetterCapacity: 0; officeConversationsPerSetterTarget: 0; replySlaTarget: 100; qualifiedInquiries: 0</x:v>
      </x:c>
      <x:c r="P41" s="2" t="n">
        <x:f>COUNTIFS('Daily Tasks'!$B$7:$B$500,"&lt;="&amp;A41)</x:f>
        <x:v>299</x:v>
      </x:c>
      <x:c r="Q41" s="2" t="str">
        <x:f>IF(A41&gt;'Dashboard'!$B$5,"",SUMIFS('Daily Tasks'!$Q$7:$Q$500,'Daily Tasks'!$P$7:$P$500,"&lt;="&amp;A41))</x:f>
      </x:c>
      <x:c r="R41" t="str">
        <x:v>Nov 25</x:v>
      </x:c>
    </x:row>
    <x:row r="42" ht="54" customHeight="1">
      <x:c r="A42" s="30" t="n">
        <x:v>46352</x:v>
      </x:c>
      <x:c r="B42" s="2" t="str">
        <x:v>Thursday</x:v>
      </x:c>
      <x:c r="C42" s="26" t="str">
        <x:v>Holiday</x:v>
      </x:c>
      <x:c r="D42" s="26" t="str">
        <x:v>Thanksgiving recovery and SOPs</x:v>
      </x:c>
      <x:c r="E42" s="26" t="str">
        <x:v>Thanksgiving recovery and SOPs</x:v>
      </x:c>
      <x:c r="F42" s="2" t="n">
        <x:f>COUNTIFS('Daily Tasks'!$B$7:$B$500,A42)</x:f>
        <x:v>0</x:v>
      </x:c>
      <x:c r="G42" s="2" t="n">
        <x:f>SUMIFS('Daily Tasks'!$Q$7:$Q$500,'Daily Tasks'!$B$7:$B$500,A42,'Daily Tasks'!$P$7:$P$500,"&lt;="&amp;'Dashboard'!$B$5)</x:f>
        <x:v>0</x:v>
      </x:c>
      <x:c r="H42" s="39" t="str">
        <x:f>IF(F42=0,"n.a.",G42/F42)</x:f>
        <x:v>n.a.</x:v>
      </x:c>
      <x:c r="I42" s="2" t="n">
        <x:f>F42-G42</x:f>
        <x:v>0</x:v>
      </x:c>
      <x:c r="J42" s="2" t="n">
        <x:v>500</x:v>
      </x:c>
      <x:c r="K42" s="2" t="n">
        <x:v>16</x:v>
      </x:c>
      <x:c r="L42" s="2" t="n">
        <x:v>8</x:v>
      </x:c>
      <x:c r="M42" s="2" t="n">
        <x:v>6</x:v>
      </x:c>
      <x:c r="N42" s="2" t="n">
        <x:v>2</x:v>
      </x:c>
      <x:c r="O42" s="26" t="str">
        <x:v>verified: 0; booked: 0; held: 0; trials: 0; referralIntros: 0; referralBookings: 0; linkedinBookings: 0; referralAsks: 0; emailSendCeiling: 0; linkedinRequestCapacity: 0; dialsPerSetterCapacity: 0; officeConversationsPerSetterTarget: 0; replySlaTarget: ; qualifiedInquiries: 0</x:v>
      </x:c>
      <x:c r="P42" s="2" t="n">
        <x:f>COUNTIFS('Daily Tasks'!$B$7:$B$500,"&lt;="&amp;A42)</x:f>
        <x:v>299</x:v>
      </x:c>
      <x:c r="Q42" s="2" t="str">
        <x:f>IF(A42&gt;'Dashboard'!$B$5,"",SUMIFS('Daily Tasks'!$Q$7:$Q$500,'Daily Tasks'!$P$7:$P$500,"&lt;="&amp;A42))</x:f>
      </x:c>
      <x:c r="R42" t="str">
        <x:v>Nov 26</x:v>
      </x:c>
    </x:row>
    <x:row r="43" ht="54" customHeight="1">
      <x:c r="A43" s="30" t="n">
        <x:v>46353</x:v>
      </x:c>
      <x:c r="B43" s="2" t="str">
        <x:v>Friday</x:v>
      </x:c>
      <x:c r="C43" s="26" t="str">
        <x:v>Holiday</x:v>
      </x:c>
      <x:c r="D43" s="26" t="str">
        <x:v>Thanksgiving recovery and SOPs</x:v>
      </x:c>
      <x:c r="E43" s="26" t="str">
        <x:v>SOP and agent recovery ready</x:v>
      </x:c>
      <x:c r="F43" s="2" t="n">
        <x:f>COUNTIFS('Daily Tasks'!$B$7:$B$500,A43)</x:f>
        <x:v>0</x:v>
      </x:c>
      <x:c r="G43" s="2" t="n">
        <x:f>SUMIFS('Daily Tasks'!$Q$7:$Q$500,'Daily Tasks'!$B$7:$B$500,A43,'Daily Tasks'!$P$7:$P$500,"&lt;="&amp;'Dashboard'!$B$5)</x:f>
        <x:v>0</x:v>
      </x:c>
      <x:c r="H43" s="39" t="str">
        <x:f>IF(F43=0,"n.a.",G43/F43)</x:f>
        <x:v>n.a.</x:v>
      </x:c>
      <x:c r="I43" s="2" t="n">
        <x:f>F43-G43</x:f>
        <x:v>0</x:v>
      </x:c>
      <x:c r="J43" s="2" t="n">
        <x:v>500</x:v>
      </x:c>
      <x:c r="K43" s="2" t="n">
        <x:v>16</x:v>
      </x:c>
      <x:c r="L43" s="2" t="n">
        <x:v>8</x:v>
      </x:c>
      <x:c r="M43" s="2" t="n">
        <x:v>6</x:v>
      </x:c>
      <x:c r="N43" s="2" t="n">
        <x:v>2</x:v>
      </x:c>
      <x:c r="O43" s="26" t="str">
        <x:v>verified: 0; booked: 0; held: 0; trials: 0; referralIntros: 0; referralBookings: 0; linkedinBookings: 0; referralAsks: 0; emailSendCeiling: 0; linkedinRequestCapacity: 0; dialsPerSetterCapacity: 0; officeConversationsPerSetterTarget: 0; replySlaTarget: ; qualifiedInquiries: 0</x:v>
      </x:c>
      <x:c r="P43" s="2" t="n">
        <x:f>COUNTIFS('Daily Tasks'!$B$7:$B$500,"&lt;="&amp;A43)</x:f>
        <x:v>299</x:v>
      </x:c>
      <x:c r="Q43" s="2" t="str">
        <x:f>IF(A43&gt;'Dashboard'!$B$5,"",SUMIFS('Daily Tasks'!$Q$7:$Q$500,'Daily Tasks'!$P$7:$P$500,"&lt;="&amp;A43))</x:f>
      </x:c>
      <x:c r="R43" t="str">
        <x:v>Nov 27</x:v>
      </x:c>
    </x:row>
    <x:row r="44" ht="54" customHeight="1">
      <x:c r="A44" s="30" t="n">
        <x:v>46354</x:v>
      </x:c>
      <x:c r="B44" s="2" t="str">
        <x:v>Saturday</x:v>
      </x:c>
      <x:c r="C44" s="26" t="str">
        <x:v>Weekend</x:v>
      </x:c>
      <x:c r="D44" s="26" t="str">
        <x:v>rest</x:v>
      </x:c>
      <x:c r="E44" s="26" t="str">
        <x:v>Rest; approved systems only</x:v>
      </x:c>
      <x:c r="F44" s="2" t="n">
        <x:f>COUNTIFS('Daily Tasks'!$B$7:$B$500,A44)</x:f>
        <x:v>0</x:v>
      </x:c>
      <x:c r="G44" s="2" t="n">
        <x:f>SUMIFS('Daily Tasks'!$Q$7:$Q$500,'Daily Tasks'!$B$7:$B$500,A44,'Daily Tasks'!$P$7:$P$500,"&lt;="&amp;'Dashboard'!$B$5)</x:f>
        <x:v>0</x:v>
      </x:c>
      <x:c r="H44" s="39" t="str">
        <x:f>IF(F44=0,"n.a.",G44/F44)</x:f>
        <x:v>n.a.</x:v>
      </x:c>
      <x:c r="I44" s="2" t="n">
        <x:f>F44-G44</x:f>
        <x:v>0</x:v>
      </x:c>
      <x:c r="J44" s="2" t="n">
        <x:v>500</x:v>
      </x:c>
      <x:c r="K44" s="2" t="n">
        <x:v>16</x:v>
      </x:c>
      <x:c r="L44" s="2" t="n">
        <x:v>8</x:v>
      </x:c>
      <x:c r="M44" s="2" t="n">
        <x:v>6</x:v>
      </x:c>
      <x:c r="N44" s="2" t="n">
        <x:v>2</x:v>
      </x:c>
      <x:c r="O44" s="26" t="str">
        <x:v>verified: 0; booked: 0; held: 0; trials: 0; referralIntros: 0; referralBookings: 0; linkedinBookings: 0; referralAsks: 0; emailSendCeiling: 0; linkedinRequestCapacity: 0; dialsPerSetterCapacity: 0; officeConversationsPerSetterTarget: 0; replySlaTarget: ; qualifiedInquiries: 0</x:v>
      </x:c>
      <x:c r="P44" s="2" t="n">
        <x:f>COUNTIFS('Daily Tasks'!$B$7:$B$500,"&lt;="&amp;A44)</x:f>
        <x:v>299</x:v>
      </x:c>
      <x:c r="Q44" s="2" t="str">
        <x:f>IF(A44&gt;'Dashboard'!$B$5,"",SUMIFS('Daily Tasks'!$Q$7:$Q$500,'Daily Tasks'!$P$7:$P$500,"&lt;="&amp;A44))</x:f>
      </x:c>
      <x:c r="R44" t="str">
        <x:v>Nov 28</x:v>
      </x:c>
    </x:row>
    <x:row r="45" ht="54" customHeight="1">
      <x:c r="A45" s="30" t="n">
        <x:v>46355</x:v>
      </x:c>
      <x:c r="B45" s="2" t="str">
        <x:v>Sunday</x:v>
      </x:c>
      <x:c r="C45" s="26" t="str">
        <x:v>Weekend</x:v>
      </x:c>
      <x:c r="D45" s="26" t="str">
        <x:v>rest</x:v>
      </x:c>
      <x:c r="E45" s="26" t="str">
        <x:v>Rest; approved systems only</x:v>
      </x:c>
      <x:c r="F45" s="2" t="n">
        <x:f>COUNTIFS('Daily Tasks'!$B$7:$B$500,A45)</x:f>
        <x:v>0</x:v>
      </x:c>
      <x:c r="G45" s="2" t="n">
        <x:f>SUMIFS('Daily Tasks'!$Q$7:$Q$500,'Daily Tasks'!$B$7:$B$500,A45,'Daily Tasks'!$P$7:$P$500,"&lt;="&amp;'Dashboard'!$B$5)</x:f>
        <x:v>0</x:v>
      </x:c>
      <x:c r="H45" s="39" t="str">
        <x:f>IF(F45=0,"n.a.",G45/F45)</x:f>
        <x:v>n.a.</x:v>
      </x:c>
      <x:c r="I45" s="2" t="n">
        <x:f>F45-G45</x:f>
        <x:v>0</x:v>
      </x:c>
      <x:c r="J45" s="2" t="n">
        <x:v>500</x:v>
      </x:c>
      <x:c r="K45" s="2" t="n">
        <x:v>16</x:v>
      </x:c>
      <x:c r="L45" s="2" t="n">
        <x:v>8</x:v>
      </x:c>
      <x:c r="M45" s="2" t="n">
        <x:v>6</x:v>
      </x:c>
      <x:c r="N45" s="2" t="n">
        <x:v>2</x:v>
      </x:c>
      <x:c r="O45" s="26" t="str">
        <x:v>verified: 0; booked: 0; held: 0; trials: 0; referralIntros: 0; referralBookings: 0; linkedinBookings: 0; referralAsks: 0; emailSendCeiling: 0; linkedinRequestCapacity: 0; dialsPerSetterCapacity: 0; officeConversationsPerSetterTarget: 0; replySlaTarget: ; qualifiedInquiries: 0</x:v>
      </x:c>
      <x:c r="P45" s="2" t="n">
        <x:f>COUNTIFS('Daily Tasks'!$B$7:$B$500,"&lt;="&amp;A45)</x:f>
        <x:v>299</x:v>
      </x:c>
      <x:c r="Q45" s="2" t="str">
        <x:f>IF(A45&gt;'Dashboard'!$B$5,"",SUMIFS('Daily Tasks'!$Q$7:$Q$500,'Daily Tasks'!$P$7:$P$500,"&lt;="&amp;A45))</x:f>
      </x:c>
      <x:c r="R45" t="str">
        <x:v>Nov 29</x:v>
      </x:c>
    </x:row>
    <x:row r="46" ht="54" customHeight="1">
      <x:c r="A46" s="30" t="n">
        <x:v>46356</x:v>
      </x:c>
      <x:c r="B46" s="2" t="str">
        <x:v>Monday</x:v>
      </x:c>
      <x:c r="C46" s="26" t="str">
        <x:v>Execution</x:v>
      </x:c>
      <x:c r="D46" s="26" t="str">
        <x:v>Controlled recovery and scale</x:v>
      </x:c>
      <x:c r="E46" s="26" t="str">
        <x:v>Controlled recovery and scale</x:v>
      </x:c>
      <x:c r="F46" s="2" t="n">
        <x:f>COUNTIFS('Daily Tasks'!$B$7:$B$500,A46)</x:f>
        <x:v>13</x:v>
      </x:c>
      <x:c r="G46" s="2" t="n">
        <x:f>SUMIFS('Daily Tasks'!$Q$7:$Q$500,'Daily Tasks'!$B$7:$B$500,A46,'Daily Tasks'!$P$7:$P$500,"&lt;="&amp;'Dashboard'!$B$5)</x:f>
        <x:v>0</x:v>
      </x:c>
      <x:c r="H46" s="39" t="n">
        <x:f>IF(F46=0,"n.a.",G46/F46)</x:f>
        <x:v>0</x:v>
      </x:c>
      <x:c r="I46" s="2" t="n">
        <x:f>F46-G46</x:f>
        <x:v>13</x:v>
      </x:c>
      <x:c r="J46" s="2" t="n">
        <x:v>530</x:v>
      </x:c>
      <x:c r="K46" s="2" t="n">
        <x:v>18</x:v>
      </x:c>
      <x:c r="L46" s="2" t="n">
        <x:v>9</x:v>
      </x:c>
      <x:c r="M46" s="2" t="n">
        <x:v>6</x:v>
      </x:c>
      <x:c r="N46" s="2" t="n">
        <x:v>2</x:v>
      </x:c>
      <x:c r="O46" s="26" t="str">
        <x:v>verified: 30; booked: 1; held: 0; trials: 0; referralIntros: 0; referralBookings: 0; linkedinBookings: 0; referralAsks: 0; emailSendCeiling: 150; linkedinRequestCapacity: 25; dialsPerSetterCapacity: 50; officeConversationsPerSetterTarget: 8; replySlaTarget: 100; qualifiedInquiries: 2</x:v>
      </x:c>
      <x:c r="P46" s="2" t="n">
        <x:f>COUNTIFS('Daily Tasks'!$B$7:$B$500,"&lt;="&amp;A46)</x:f>
        <x:v>312</x:v>
      </x:c>
      <x:c r="Q46" s="2" t="str">
        <x:f>IF(A46&gt;'Dashboard'!$B$5,"",SUMIFS('Daily Tasks'!$Q$7:$Q$500,'Daily Tasks'!$P$7:$P$500,"&lt;="&amp;A46))</x:f>
      </x:c>
      <x:c r="R46" t="str">
        <x:v>Nov 30</x:v>
      </x:c>
    </x:row>
    <x:row r="47" ht="54" customHeight="1">
      <x:c r="A47" s="30" t="n">
        <x:v>46357</x:v>
      </x:c>
      <x:c r="B47" s="2" t="str">
        <x:v>Tuesday</x:v>
      </x:c>
      <x:c r="C47" s="26" t="str">
        <x:v>Execution</x:v>
      </x:c>
      <x:c r="D47" s="26" t="str">
        <x:v>Controlled recovery and scale</x:v>
      </x:c>
      <x:c r="E47" s="26" t="str">
        <x:v>Controlled recovery and scale</x:v>
      </x:c>
      <x:c r="F47" s="2" t="n">
        <x:f>COUNTIFS('Daily Tasks'!$B$7:$B$500,A47)</x:f>
        <x:v>13</x:v>
      </x:c>
      <x:c r="G47" s="2" t="n">
        <x:f>SUMIFS('Daily Tasks'!$Q$7:$Q$500,'Daily Tasks'!$B$7:$B$500,A47,'Daily Tasks'!$P$7:$P$500,"&lt;="&amp;'Dashboard'!$B$5)</x:f>
        <x:v>0</x:v>
      </x:c>
      <x:c r="H47" s="39" t="n">
        <x:f>IF(F47=0,"n.a.",G47/F47)</x:f>
        <x:v>0</x:v>
      </x:c>
      <x:c r="I47" s="2" t="n">
        <x:f>F47-G47</x:f>
        <x:v>13</x:v>
      </x:c>
      <x:c r="J47" s="2" t="n">
        <x:v>560</x:v>
      </x:c>
      <x:c r="K47" s="2" t="n">
        <x:v>20</x:v>
      </x:c>
      <x:c r="L47" s="2" t="n">
        <x:v>10</x:v>
      </x:c>
      <x:c r="M47" s="2" t="n">
        <x:v>7</x:v>
      </x:c>
      <x:c r="N47" s="2" t="n">
        <x:v>2</x:v>
      </x:c>
      <x:c r="O47" s="26" t="str">
        <x:v>verified: 30; booked: 1; held: 1; trials: 0; referralIntros: 1; referralBookings: 0; linkedinBookings: 0; referralAsks: 0; emailSendCeiling: 150; linkedinRequestCapacity: 25; dialsPerSetterCapacity: 50; officeConversationsPerSetterTarget: 8; replySlaTarget: 100; qualifiedInquiries: 2</x:v>
      </x:c>
      <x:c r="P47" s="2" t="n">
        <x:f>COUNTIFS('Daily Tasks'!$B$7:$B$500,"&lt;="&amp;A47)</x:f>
        <x:v>325</x:v>
      </x:c>
      <x:c r="Q47" s="2" t="str">
        <x:f>IF(A47&gt;'Dashboard'!$B$5,"",SUMIFS('Daily Tasks'!$Q$7:$Q$500,'Daily Tasks'!$P$7:$P$500,"&lt;="&amp;A47))</x:f>
      </x:c>
      <x:c r="R47" t="str">
        <x:v>Dec 1</x:v>
      </x:c>
    </x:row>
    <x:row r="48" ht="54" customHeight="1">
      <x:c r="A48" s="30" t="n">
        <x:v>46358</x:v>
      </x:c>
      <x:c r="B48" s="2" t="str">
        <x:v>Wednesday</x:v>
      </x:c>
      <x:c r="C48" s="26" t="str">
        <x:v>Execution</x:v>
      </x:c>
      <x:c r="D48" s="26" t="str">
        <x:v>Controlled recovery and scale</x:v>
      </x:c>
      <x:c r="E48" s="26" t="str">
        <x:v>Controlled recovery and scale</x:v>
      </x:c>
      <x:c r="F48" s="2" t="n">
        <x:f>COUNTIFS('Daily Tasks'!$B$7:$B$500,A48)</x:f>
        <x:v>13</x:v>
      </x:c>
      <x:c r="G48" s="2" t="n">
        <x:f>SUMIFS('Daily Tasks'!$Q$7:$Q$500,'Daily Tasks'!$B$7:$B$500,A48,'Daily Tasks'!$P$7:$P$500,"&lt;="&amp;'Dashboard'!$B$5)</x:f>
        <x:v>0</x:v>
      </x:c>
      <x:c r="H48" s="39" t="n">
        <x:f>IF(F48=0,"n.a.",G48/F48)</x:f>
        <x:v>0</x:v>
      </x:c>
      <x:c r="I48" s="2" t="n">
        <x:f>F48-G48</x:f>
        <x:v>13</x:v>
      </x:c>
      <x:c r="J48" s="2" t="n">
        <x:v>590</x:v>
      </x:c>
      <x:c r="K48" s="2" t="n">
        <x:v>23</x:v>
      </x:c>
      <x:c r="L48" s="2" t="n">
        <x:v>11</x:v>
      </x:c>
      <x:c r="M48" s="2" t="n">
        <x:v>8</x:v>
      </x:c>
      <x:c r="N48" s="2" t="n">
        <x:v>3</x:v>
      </x:c>
      <x:c r="O48" s="26" t="str">
        <x:v>verified: 30; booked: 1; held: 1; trials: 1; referralIntros: 1; referralBookings: 1; linkedinBookings: 1; referralAsks: 0; emailSendCeiling: 150; linkedinRequestCapacity: 25; dialsPerSetterCapacity: 50; officeConversationsPerSetterTarget: 8; replySlaTarget: 100; qualifiedInquiries: 3</x:v>
      </x:c>
      <x:c r="P48" s="2" t="n">
        <x:f>COUNTIFS('Daily Tasks'!$B$7:$B$500,"&lt;="&amp;A48)</x:f>
        <x:v>338</x:v>
      </x:c>
      <x:c r="Q48" s="2" t="str">
        <x:f>IF(A48&gt;'Dashboard'!$B$5,"",SUMIFS('Daily Tasks'!$Q$7:$Q$500,'Daily Tasks'!$P$7:$P$500,"&lt;="&amp;A48))</x:f>
      </x:c>
      <x:c r="R48" t="str">
        <x:v>Dec 2</x:v>
      </x:c>
    </x:row>
    <x:row r="49" ht="54" customHeight="1">
      <x:c r="A49" s="30" t="n">
        <x:v>46359</x:v>
      </x:c>
      <x:c r="B49" s="2" t="str">
        <x:v>Thursday</x:v>
      </x:c>
      <x:c r="C49" s="26" t="str">
        <x:v>Execution</x:v>
      </x:c>
      <x:c r="D49" s="26" t="str">
        <x:v>Controlled recovery and scale</x:v>
      </x:c>
      <x:c r="E49" s="26" t="str">
        <x:v>Controlled recovery and scale</x:v>
      </x:c>
      <x:c r="F49" s="2" t="n">
        <x:f>COUNTIFS('Daily Tasks'!$B$7:$B$500,A49)</x:f>
        <x:v>13</x:v>
      </x:c>
      <x:c r="G49" s="2" t="n">
        <x:f>SUMIFS('Daily Tasks'!$Q$7:$Q$500,'Daily Tasks'!$B$7:$B$500,A49,'Daily Tasks'!$P$7:$P$500,"&lt;="&amp;'Dashboard'!$B$5)</x:f>
        <x:v>0</x:v>
      </x:c>
      <x:c r="H49" s="39" t="n">
        <x:f>IF(F49=0,"n.a.",G49/F49)</x:f>
        <x:v>0</x:v>
      </x:c>
      <x:c r="I49" s="2" t="n">
        <x:f>F49-G49</x:f>
        <x:v>13</x:v>
      </x:c>
      <x:c r="J49" s="2" t="n">
        <x:v>620</x:v>
      </x:c>
      <x:c r="K49" s="2" t="n">
        <x:v>25</x:v>
      </x:c>
      <x:c r="L49" s="2" t="n">
        <x:v>12</x:v>
      </x:c>
      <x:c r="M49" s="2" t="n">
        <x:v>9</x:v>
      </x:c>
      <x:c r="N49" s="2" t="n">
        <x:v>3</x:v>
      </x:c>
      <x:c r="O49" s="26" t="str">
        <x:v>verified: 30; booked: 1; held: 1; trials: 0; referralIntros: 1; referralBookings: 0; linkedinBookings: 0; referralAsks: 0; emailSendCeiling: 150; linkedinRequestCapacity: 25; dialsPerSetterCapacity: 50; officeConversationsPerSetterTarget: 8; replySlaTarget: 100; qualifiedInquiries: 2</x:v>
      </x:c>
      <x:c r="P49" s="2" t="n">
        <x:f>COUNTIFS('Daily Tasks'!$B$7:$B$500,"&lt;="&amp;A49)</x:f>
        <x:v>351</x:v>
      </x:c>
      <x:c r="Q49" s="2" t="str">
        <x:f>IF(A49&gt;'Dashboard'!$B$5,"",SUMIFS('Daily Tasks'!$Q$7:$Q$500,'Daily Tasks'!$P$7:$P$500,"&lt;="&amp;A49))</x:f>
      </x:c>
      <x:c r="R49" t="str">
        <x:v>Dec 3</x:v>
      </x:c>
    </x:row>
    <x:row r="50" ht="54" customHeight="1">
      <x:c r="A50" s="30" t="n">
        <x:v>46360</x:v>
      </x:c>
      <x:c r="B50" s="2" t="str">
        <x:v>Friday</x:v>
      </x:c>
      <x:c r="C50" s="26" t="str">
        <x:v>Execution</x:v>
      </x:c>
      <x:c r="D50" s="26" t="str">
        <x:v>Controlled recovery and scale</x:v>
      </x:c>
      <x:c r="E50" s="26" t="str">
        <x:v>December recovery checkpoint</x:v>
      </x:c>
      <x:c r="F50" s="2" t="n">
        <x:f>COUNTIFS('Daily Tasks'!$B$7:$B$500,A50)</x:f>
        <x:v>13</x:v>
      </x:c>
      <x:c r="G50" s="2" t="n">
        <x:f>SUMIFS('Daily Tasks'!$Q$7:$Q$500,'Daily Tasks'!$B$7:$B$500,A50,'Daily Tasks'!$P$7:$P$500,"&lt;="&amp;'Dashboard'!$B$5)</x:f>
        <x:v>0</x:v>
      </x:c>
      <x:c r="H50" s="39" t="n">
        <x:f>IF(F50=0,"n.a.",G50/F50)</x:f>
        <x:v>0</x:v>
      </x:c>
      <x:c r="I50" s="2" t="n">
        <x:f>F50-G50</x:f>
        <x:v>13</x:v>
      </x:c>
      <x:c r="J50" s="2" t="n">
        <x:v>650</x:v>
      </x:c>
      <x:c r="K50" s="2" t="n">
        <x:v>28</x:v>
      </x:c>
      <x:c r="L50" s="2" t="n">
        <x:v>14</x:v>
      </x:c>
      <x:c r="M50" s="2" t="n">
        <x:v>10</x:v>
      </x:c>
      <x:c r="N50" s="2" t="n">
        <x:v>4</x:v>
      </x:c>
      <x:c r="O50" s="26" t="str">
        <x:v>verified: 30; booked: 2; held: 1; trials: 1; referralIntros: 1; referralBookings: 1; linkedinBookings: 1; referralAsks: 0; emailSendCeiling: 150; linkedinRequestCapacity: 25; dialsPerSetterCapacity: 50; officeConversationsPerSetterTarget: 8; replySlaTarget: 100; qualifiedInquiries: 3</x:v>
      </x:c>
      <x:c r="P50" s="2" t="n">
        <x:f>COUNTIFS('Daily Tasks'!$B$7:$B$500,"&lt;="&amp;A50)</x:f>
        <x:v>364</x:v>
      </x:c>
      <x:c r="Q50" s="2" t="str">
        <x:f>IF(A50&gt;'Dashboard'!$B$5,"",SUMIFS('Daily Tasks'!$Q$7:$Q$500,'Daily Tasks'!$P$7:$P$500,"&lt;="&amp;A50))</x:f>
      </x:c>
      <x:c r="R50" t="str">
        <x:v>Dec 4</x:v>
      </x:c>
    </x:row>
    <x:row r="51" ht="54" customHeight="1">
      <x:c r="A51" s="30" t="n">
        <x:v>46361</x:v>
      </x:c>
      <x:c r="B51" s="2" t="str">
        <x:v>Saturday</x:v>
      </x:c>
      <x:c r="C51" s="26" t="str">
        <x:v>Weekend</x:v>
      </x:c>
      <x:c r="D51" s="26" t="str">
        <x:v>Controlled recovery and scale</x:v>
      </x:c>
      <x:c r="E51" s="26" t="str">
        <x:v>Controlled recovery and scale</x:v>
      </x:c>
      <x:c r="F51" s="2" t="n">
        <x:f>COUNTIFS('Daily Tasks'!$B$7:$B$500,A51)</x:f>
        <x:v>0</x:v>
      </x:c>
      <x:c r="G51" s="2" t="n">
        <x:f>SUMIFS('Daily Tasks'!$Q$7:$Q$500,'Daily Tasks'!$B$7:$B$500,A51,'Daily Tasks'!$P$7:$P$500,"&lt;="&amp;'Dashboard'!$B$5)</x:f>
        <x:v>0</x:v>
      </x:c>
      <x:c r="H51" s="39" t="str">
        <x:f>IF(F51=0,"n.a.",G51/F51)</x:f>
        <x:v>n.a.</x:v>
      </x:c>
      <x:c r="I51" s="2" t="n">
        <x:f>F51-G51</x:f>
        <x:v>0</x:v>
      </x:c>
      <x:c r="J51" s="2" t="n">
        <x:v>650</x:v>
      </x:c>
      <x:c r="K51" s="2" t="n">
        <x:v>28</x:v>
      </x:c>
      <x:c r="L51" s="2" t="n">
        <x:v>14</x:v>
      </x:c>
      <x:c r="M51" s="2" t="n">
        <x:v>10</x:v>
      </x:c>
      <x:c r="N51" s="2" t="n">
        <x:v>4</x:v>
      </x:c>
      <x:c r="O51" s="26" t="str">
        <x:v>verified: 0; booked: 0; held: 0; trials: 0; referralIntros: 0; referralBookings: 0; linkedinBookings: 0; referralAsks: 0; emailSendCeiling: 0; linkedinRequestCapacity: 0; dialsPerSetterCapacity: 0; officeConversationsPerSetterTarget: 0; replySlaTarget: ; qualifiedInquiries: 0</x:v>
      </x:c>
      <x:c r="P51" s="2" t="n">
        <x:f>COUNTIFS('Daily Tasks'!$B$7:$B$500,"&lt;="&amp;A51)</x:f>
        <x:v>364</x:v>
      </x:c>
      <x:c r="Q51" s="2" t="str">
        <x:f>IF(A51&gt;'Dashboard'!$B$5,"",SUMIFS('Daily Tasks'!$Q$7:$Q$500,'Daily Tasks'!$P$7:$P$500,"&lt;="&amp;A51))</x:f>
      </x:c>
      <x:c r="R51" t="str">
        <x:v>Dec 5</x:v>
      </x:c>
    </x:row>
    <x:row r="52" ht="54" customHeight="1">
      <x:c r="A52" s="30" t="n">
        <x:v>46362</x:v>
      </x:c>
      <x:c r="B52" s="2" t="str">
        <x:v>Sunday</x:v>
      </x:c>
      <x:c r="C52" s="26" t="str">
        <x:v>Weekend</x:v>
      </x:c>
      <x:c r="D52" s="26" t="str">
        <x:v>Controlled recovery and scale</x:v>
      </x:c>
      <x:c r="E52" s="26" t="str">
        <x:v>Controlled recovery and scale</x:v>
      </x:c>
      <x:c r="F52" s="2" t="n">
        <x:f>COUNTIFS('Daily Tasks'!$B$7:$B$500,A52)</x:f>
        <x:v>0</x:v>
      </x:c>
      <x:c r="G52" s="2" t="n">
        <x:f>SUMIFS('Daily Tasks'!$Q$7:$Q$500,'Daily Tasks'!$B$7:$B$500,A52,'Daily Tasks'!$P$7:$P$500,"&lt;="&amp;'Dashboard'!$B$5)</x:f>
        <x:v>0</x:v>
      </x:c>
      <x:c r="H52" s="39" t="str">
        <x:f>IF(F52=0,"n.a.",G52/F52)</x:f>
        <x:v>n.a.</x:v>
      </x:c>
      <x:c r="I52" s="2" t="n">
        <x:f>F52-G52</x:f>
        <x:v>0</x:v>
      </x:c>
      <x:c r="J52" s="2" t="n">
        <x:v>650</x:v>
      </x:c>
      <x:c r="K52" s="2" t="n">
        <x:v>28</x:v>
      </x:c>
      <x:c r="L52" s="2" t="n">
        <x:v>14</x:v>
      </x:c>
      <x:c r="M52" s="2" t="n">
        <x:v>10</x:v>
      </x:c>
      <x:c r="N52" s="2" t="n">
        <x:v>4</x:v>
      </x:c>
      <x:c r="O52" s="26" t="str">
        <x:v>verified: 0; booked: 0; held: 0; trials: 0; referralIntros: 0; referralBookings: 0; linkedinBookings: 0; referralAsks: 0; emailSendCeiling: 0; linkedinRequestCapacity: 0; dialsPerSetterCapacity: 0; officeConversationsPerSetterTarget: 0; replySlaTarget: ; qualifiedInquiries: 0</x:v>
      </x:c>
      <x:c r="P52" s="2" t="n">
        <x:f>COUNTIFS('Daily Tasks'!$B$7:$B$500,"&lt;="&amp;A52)</x:f>
        <x:v>364</x:v>
      </x:c>
      <x:c r="Q52" s="2" t="str">
        <x:f>IF(A52&gt;'Dashboard'!$B$5,"",SUMIFS('Daily Tasks'!$Q$7:$Q$500,'Daily Tasks'!$P$7:$P$500,"&lt;="&amp;A52))</x:f>
      </x:c>
      <x:c r="R52" t="str">
        <x:v>Dec 6</x:v>
      </x:c>
    </x:row>
    <x:row r="53" ht="54" customHeight="1">
      <x:c r="A53" s="30" t="n">
        <x:v>46363</x:v>
      </x:c>
      <x:c r="B53" s="2" t="str">
        <x:v>Monday</x:v>
      </x:c>
      <x:c r="C53" s="26" t="str">
        <x:v>Execution</x:v>
      </x:c>
      <x:c r="D53" s="26" t="str">
        <x:v>Controlled recovery and scale</x:v>
      </x:c>
      <x:c r="E53" s="26" t="str">
        <x:v>Controlled recovery and scale</x:v>
      </x:c>
      <x:c r="F53" s="2" t="n">
        <x:f>COUNTIFS('Daily Tasks'!$B$7:$B$500,A53)</x:f>
        <x:v>13</x:v>
      </x:c>
      <x:c r="G53" s="2" t="n">
        <x:f>SUMIFS('Daily Tasks'!$Q$7:$Q$500,'Daily Tasks'!$B$7:$B$500,A53,'Daily Tasks'!$P$7:$P$500,"&lt;="&amp;'Dashboard'!$B$5)</x:f>
        <x:v>0</x:v>
      </x:c>
      <x:c r="H53" s="39" t="n">
        <x:f>IF(F53=0,"n.a.",G53/F53)</x:f>
        <x:v>0</x:v>
      </x:c>
      <x:c r="I53" s="2" t="n">
        <x:f>F53-G53</x:f>
        <x:v>13</x:v>
      </x:c>
      <x:c r="J53" s="2" t="n">
        <x:v>670</x:v>
      </x:c>
      <x:c r="K53" s="2" t="n">
        <x:v>30</x:v>
      </x:c>
      <x:c r="L53" s="2" t="n">
        <x:v>15</x:v>
      </x:c>
      <x:c r="M53" s="2" t="n">
        <x:v>11</x:v>
      </x:c>
      <x:c r="N53" s="2" t="n">
        <x:v>4</x:v>
      </x:c>
      <x:c r="O53" s="26" t="str">
        <x:v>verified: 20; booked: 1; held: 1; trials: 0; referralIntros: 0; referralBookings: 0; linkedinBookings: 0; referralAsks: 0; emailSendCeiling: 150; linkedinRequestCapacity: 25; dialsPerSetterCapacity: 50; officeConversationsPerSetterTarget: 8; replySlaTarget: 100; qualifiedInquiries: 2</x:v>
      </x:c>
      <x:c r="P53" s="2" t="n">
        <x:f>COUNTIFS('Daily Tasks'!$B$7:$B$500,"&lt;="&amp;A53)</x:f>
        <x:v>377</x:v>
      </x:c>
      <x:c r="Q53" s="2" t="str">
        <x:f>IF(A53&gt;'Dashboard'!$B$5,"",SUMIFS('Daily Tasks'!$Q$7:$Q$500,'Daily Tasks'!$P$7:$P$500,"&lt;="&amp;A53))</x:f>
      </x:c>
      <x:c r="R53" t="str">
        <x:v>Dec 7</x:v>
      </x:c>
    </x:row>
    <x:row r="54" ht="54" customHeight="1">
      <x:c r="A54" s="30" t="n">
        <x:v>46364</x:v>
      </x:c>
      <x:c r="B54" s="2" t="str">
        <x:v>Tuesday</x:v>
      </x:c>
      <x:c r="C54" s="26" t="str">
        <x:v>Execution</x:v>
      </x:c>
      <x:c r="D54" s="26" t="str">
        <x:v>Controlled recovery and scale</x:v>
      </x:c>
      <x:c r="E54" s="26" t="str">
        <x:v>Controlled recovery and scale</x:v>
      </x:c>
      <x:c r="F54" s="2" t="n">
        <x:f>COUNTIFS('Daily Tasks'!$B$7:$B$500,A54)</x:f>
        <x:v>13</x:v>
      </x:c>
      <x:c r="G54" s="2" t="n">
        <x:f>SUMIFS('Daily Tasks'!$Q$7:$Q$500,'Daily Tasks'!$B$7:$B$500,A54,'Daily Tasks'!$P$7:$P$500,"&lt;="&amp;'Dashboard'!$B$5)</x:f>
        <x:v>0</x:v>
      </x:c>
      <x:c r="H54" s="39" t="n">
        <x:f>IF(F54=0,"n.a.",G54/F54)</x:f>
        <x:v>0</x:v>
      </x:c>
      <x:c r="I54" s="2" t="n">
        <x:f>F54-G54</x:f>
        <x:v>13</x:v>
      </x:c>
      <x:c r="J54" s="2" t="n">
        <x:v>690</x:v>
      </x:c>
      <x:c r="K54" s="2" t="n">
        <x:v>32</x:v>
      </x:c>
      <x:c r="L54" s="2" t="n">
        <x:v>16</x:v>
      </x:c>
      <x:c r="M54" s="2" t="n">
        <x:v>12</x:v>
      </x:c>
      <x:c r="N54" s="2" t="n">
        <x:v>4</x:v>
      </x:c>
      <x:c r="O54" s="26" t="str">
        <x:v>verified: 20; booked: 1; held: 1; trials: 0; referralIntros: 1; referralBookings: 0; linkedinBookings: 1; referralAsks: 0; emailSendCeiling: 150; linkedinRequestCapacity: 25; dialsPerSetterCapacity: 50; officeConversationsPerSetterTarget: 8; replySlaTarget: 100; qualifiedInquiries: 2</x:v>
      </x:c>
      <x:c r="P54" s="2" t="n">
        <x:f>COUNTIFS('Daily Tasks'!$B$7:$B$500,"&lt;="&amp;A54)</x:f>
        <x:v>390</x:v>
      </x:c>
      <x:c r="Q54" s="2" t="str">
        <x:f>IF(A54&gt;'Dashboard'!$B$5,"",SUMIFS('Daily Tasks'!$Q$7:$Q$500,'Daily Tasks'!$P$7:$P$500,"&lt;="&amp;A54))</x:f>
      </x:c>
      <x:c r="R54" t="str">
        <x:v>Dec 8</x:v>
      </x:c>
    </x:row>
    <x:row r="55" ht="54" customHeight="1">
      <x:c r="A55" s="30" t="n">
        <x:v>46365</x:v>
      </x:c>
      <x:c r="B55" s="2" t="str">
        <x:v>Wednesday</x:v>
      </x:c>
      <x:c r="C55" s="26" t="str">
        <x:v>Execution</x:v>
      </x:c>
      <x:c r="D55" s="26" t="str">
        <x:v>Controlled recovery and scale</x:v>
      </x:c>
      <x:c r="E55" s="26" t="str">
        <x:v>Controlled recovery and scale</x:v>
      </x:c>
      <x:c r="F55" s="2" t="n">
        <x:f>COUNTIFS('Daily Tasks'!$B$7:$B$500,A55)</x:f>
        <x:v>13</x:v>
      </x:c>
      <x:c r="G55" s="2" t="n">
        <x:f>SUMIFS('Daily Tasks'!$Q$7:$Q$500,'Daily Tasks'!$B$7:$B$500,A55,'Daily Tasks'!$P$7:$P$500,"&lt;="&amp;'Dashboard'!$B$5)</x:f>
        <x:v>0</x:v>
      </x:c>
      <x:c r="H55" s="39" t="n">
        <x:f>IF(F55=0,"n.a.",G55/F55)</x:f>
        <x:v>0</x:v>
      </x:c>
      <x:c r="I55" s="2" t="n">
        <x:f>F55-G55</x:f>
        <x:v>13</x:v>
      </x:c>
      <x:c r="J55" s="2" t="n">
        <x:v>710</x:v>
      </x:c>
      <x:c r="K55" s="2" t="n">
        <x:v>35</x:v>
      </x:c>
      <x:c r="L55" s="2" t="n">
        <x:v>17</x:v>
      </x:c>
      <x:c r="M55" s="2" t="n">
        <x:v>13</x:v>
      </x:c>
      <x:c r="N55" s="2" t="n">
        <x:v>5</x:v>
      </x:c>
      <x:c r="O55" s="26" t="str">
        <x:v>verified: 20; booked: 1; held: 1; trials: 1; referralIntros: 0; referralBookings: 1; linkedinBookings: 0; referralAsks: 0; emailSendCeiling: 150; linkedinRequestCapacity: 25; dialsPerSetterCapacity: 50; officeConversationsPerSetterTarget: 8; replySlaTarget: 100; qualifiedInquiries: 3</x:v>
      </x:c>
      <x:c r="P55" s="2" t="n">
        <x:f>COUNTIFS('Daily Tasks'!$B$7:$B$500,"&lt;="&amp;A55)</x:f>
        <x:v>403</x:v>
      </x:c>
      <x:c r="Q55" s="2" t="str">
        <x:f>IF(A55&gt;'Dashboard'!$B$5,"",SUMIFS('Daily Tasks'!$Q$7:$Q$500,'Daily Tasks'!$P$7:$P$500,"&lt;="&amp;A55))</x:f>
      </x:c>
      <x:c r="R55" t="str">
        <x:v>Dec 9</x:v>
      </x:c>
    </x:row>
    <x:row r="56" ht="54" customHeight="1">
      <x:c r="A56" s="30" t="n">
        <x:v>46366</x:v>
      </x:c>
      <x:c r="B56" s="2" t="str">
        <x:v>Thursday</x:v>
      </x:c>
      <x:c r="C56" s="26" t="str">
        <x:v>Execution</x:v>
      </x:c>
      <x:c r="D56" s="26" t="str">
        <x:v>Controlled recovery and scale</x:v>
      </x:c>
      <x:c r="E56" s="26" t="str">
        <x:v>Controlled recovery and scale</x:v>
      </x:c>
      <x:c r="F56" s="2" t="n">
        <x:f>COUNTIFS('Daily Tasks'!$B$7:$B$500,A56)</x:f>
        <x:v>13</x:v>
      </x:c>
      <x:c r="G56" s="2" t="n">
        <x:f>SUMIFS('Daily Tasks'!$Q$7:$Q$500,'Daily Tasks'!$B$7:$B$500,A56,'Daily Tasks'!$P$7:$P$500,"&lt;="&amp;'Dashboard'!$B$5)</x:f>
        <x:v>0</x:v>
      </x:c>
      <x:c r="H56" s="39" t="n">
        <x:f>IF(F56=0,"n.a.",G56/F56)</x:f>
        <x:v>0</x:v>
      </x:c>
      <x:c r="I56" s="2" t="n">
        <x:f>F56-G56</x:f>
        <x:v>13</x:v>
      </x:c>
      <x:c r="J56" s="2" t="n">
        <x:v>730</x:v>
      </x:c>
      <x:c r="K56" s="2" t="n">
        <x:v>37</x:v>
      </x:c>
      <x:c r="L56" s="2" t="n">
        <x:v>18</x:v>
      </x:c>
      <x:c r="M56" s="2" t="n">
        <x:v>14</x:v>
      </x:c>
      <x:c r="N56" s="2" t="n">
        <x:v>5</x:v>
      </x:c>
      <x:c r="O56" s="26" t="str">
        <x:v>verified: 20; booked: 1; held: 1; trials: 0; referralIntros: 1; referralBookings: 0; linkedinBookings: 1; referralAsks: 0; emailSendCeiling: 150; linkedinRequestCapacity: 25; dialsPerSetterCapacity: 50; officeConversationsPerSetterTarget: 8; replySlaTarget: 100; qualifiedInquiries: 2</x:v>
      </x:c>
      <x:c r="P56" s="2" t="n">
        <x:f>COUNTIFS('Daily Tasks'!$B$7:$B$500,"&lt;="&amp;A56)</x:f>
        <x:v>416</x:v>
      </x:c>
      <x:c r="Q56" s="2" t="str">
        <x:f>IF(A56&gt;'Dashboard'!$B$5,"",SUMIFS('Daily Tasks'!$Q$7:$Q$500,'Daily Tasks'!$P$7:$P$500,"&lt;="&amp;A56))</x:f>
      </x:c>
      <x:c r="R56" t="str">
        <x:v>Dec 10</x:v>
      </x:c>
    </x:row>
    <x:row r="57" ht="54" customHeight="1">
      <x:c r="A57" s="30" t="n">
        <x:v>46367</x:v>
      </x:c>
      <x:c r="B57" s="2" t="str">
        <x:v>Friday</x:v>
      </x:c>
      <x:c r="C57" s="26" t="str">
        <x:v>Execution</x:v>
      </x:c>
      <x:c r="D57" s="26" t="str">
        <x:v>Controlled recovery and scale</x:v>
      </x:c>
      <x:c r="E57" s="26" t="str">
        <x:v>Full target checkpoint</x:v>
      </x:c>
      <x:c r="F57" s="2" t="n">
        <x:f>COUNTIFS('Daily Tasks'!$B$7:$B$500,A57)</x:f>
        <x:v>13</x:v>
      </x:c>
      <x:c r="G57" s="2" t="n">
        <x:f>SUMIFS('Daily Tasks'!$Q$7:$Q$500,'Daily Tasks'!$B$7:$B$500,A57,'Daily Tasks'!$P$7:$P$500,"&lt;="&amp;'Dashboard'!$B$5)</x:f>
        <x:v>0</x:v>
      </x:c>
      <x:c r="H57" s="39" t="n">
        <x:f>IF(F57=0,"n.a.",G57/F57)</x:f>
        <x:v>0</x:v>
      </x:c>
      <x:c r="I57" s="2" t="n">
        <x:f>F57-G57</x:f>
        <x:v>13</x:v>
      </x:c>
      <x:c r="J57" s="2" t="n">
        <x:v>750</x:v>
      </x:c>
      <x:c r="K57" s="2" t="n">
        <x:v>40</x:v>
      </x:c>
      <x:c r="L57" s="2" t="n">
        <x:v>20</x:v>
      </x:c>
      <x:c r="M57" s="2" t="n">
        <x:v>15</x:v>
      </x:c>
      <x:c r="N57" s="2" t="n">
        <x:v>6</x:v>
      </x:c>
      <x:c r="O57" s="26" t="str">
        <x:v>verified: 20; booked: 2; held: 1; trials: 1; referralIntros: 1; referralBookings: 1; linkedinBookings: 1; referralAsks: 0; emailSendCeiling: 150; linkedinRequestCapacity: 25; dialsPerSetterCapacity: 50; officeConversationsPerSetterTarget: 8; replySlaTarget: 100; qualifiedInquiries: 3</x:v>
      </x:c>
      <x:c r="P57" s="2" t="n">
        <x:f>COUNTIFS('Daily Tasks'!$B$7:$B$500,"&lt;="&amp;A57)</x:f>
        <x:v>429</x:v>
      </x:c>
      <x:c r="Q57" s="2" t="str">
        <x:f>IF(A57&gt;'Dashboard'!$B$5,"",SUMIFS('Daily Tasks'!$Q$7:$Q$500,'Daily Tasks'!$P$7:$P$500,"&lt;="&amp;A57))</x:f>
      </x:c>
      <x:c r="R57" t="str">
        <x:v>Dec 11</x:v>
      </x:c>
    </x:row>
    <x:row r="58" ht="54" customHeight="1">
      <x:c r="A58" s="30" t="n">
        <x:v>46368</x:v>
      </x:c>
      <x:c r="B58" s="2" t="str">
        <x:v>Saturday</x:v>
      </x:c>
      <x:c r="C58" s="26" t="str">
        <x:v>Weekend</x:v>
      </x:c>
      <x:c r="D58" s="26" t="str">
        <x:v>rest</x:v>
      </x:c>
      <x:c r="E58" s="26" t="str">
        <x:v>Rest; approved systems only</x:v>
      </x:c>
      <x:c r="F58" s="2" t="n">
        <x:f>COUNTIFS('Daily Tasks'!$B$7:$B$500,A58)</x:f>
        <x:v>0</x:v>
      </x:c>
      <x:c r="G58" s="2" t="n">
        <x:f>SUMIFS('Daily Tasks'!$Q$7:$Q$500,'Daily Tasks'!$B$7:$B$500,A58,'Daily Tasks'!$P$7:$P$500,"&lt;="&amp;'Dashboard'!$B$5)</x:f>
        <x:v>0</x:v>
      </x:c>
      <x:c r="H58" s="39" t="str">
        <x:f>IF(F58=0,"n.a.",G58/F58)</x:f>
        <x:v>n.a.</x:v>
      </x:c>
      <x:c r="I58" s="2" t="n">
        <x:f>F58-G58</x:f>
        <x:v>0</x:v>
      </x:c>
      <x:c r="J58" s="2" t="n">
        <x:v>750</x:v>
      </x:c>
      <x:c r="K58" s="2" t="n">
        <x:v>40</x:v>
      </x:c>
      <x:c r="L58" s="2" t="n">
        <x:v>20</x:v>
      </x:c>
      <x:c r="M58" s="2" t="n">
        <x:v>15</x:v>
      </x:c>
      <x:c r="N58" s="2" t="n">
        <x:v>6</x:v>
      </x:c>
      <x:c r="O58" s="26" t="str">
        <x:v>verified: 0; booked: 0; held: 0; trials: 0; referralIntros: 0; referralBookings: 0; linkedinBookings: 0; referralAsks: 0; emailSendCeiling: 0; linkedinRequestCapacity: 0; dialsPerSetterCapacity: 0; officeConversationsPerSetterTarget: 0; replySlaTarget: ; qualifiedInquiries: 0</x:v>
      </x:c>
      <x:c r="P58" s="2" t="n">
        <x:f>COUNTIFS('Daily Tasks'!$B$7:$B$500,"&lt;="&amp;A58)</x:f>
        <x:v>429</x:v>
      </x:c>
      <x:c r="Q58" s="2" t="str">
        <x:f>IF(A58&gt;'Dashboard'!$B$5,"",SUMIFS('Daily Tasks'!$Q$7:$Q$500,'Daily Tasks'!$P$7:$P$500,"&lt;="&amp;A58))</x:f>
      </x:c>
      <x:c r="R58" t="str">
        <x:v>Dec 12</x:v>
      </x:c>
    </x:row>
    <x:row r="59" ht="54" customHeight="1">
      <x:c r="A59" s="30" t="n">
        <x:v>46369</x:v>
      </x:c>
      <x:c r="B59" s="2" t="str">
        <x:v>Sunday</x:v>
      </x:c>
      <x:c r="C59" s="26" t="str">
        <x:v>Weekend</x:v>
      </x:c>
      <x:c r="D59" s="26" t="str">
        <x:v>rest</x:v>
      </x:c>
      <x:c r="E59" s="26" t="str">
        <x:v>Rest; approved systems only</x:v>
      </x:c>
      <x:c r="F59" s="2" t="n">
        <x:f>COUNTIFS('Daily Tasks'!$B$7:$B$500,A59)</x:f>
        <x:v>0</x:v>
      </x:c>
      <x:c r="G59" s="2" t="n">
        <x:f>SUMIFS('Daily Tasks'!$Q$7:$Q$500,'Daily Tasks'!$B$7:$B$500,A59,'Daily Tasks'!$P$7:$P$500,"&lt;="&amp;'Dashboard'!$B$5)</x:f>
        <x:v>0</x:v>
      </x:c>
      <x:c r="H59" s="39" t="str">
        <x:f>IF(F59=0,"n.a.",G59/F59)</x:f>
        <x:v>n.a.</x:v>
      </x:c>
      <x:c r="I59" s="2" t="n">
        <x:f>F59-G59</x:f>
        <x:v>0</x:v>
      </x:c>
      <x:c r="J59" s="2" t="n">
        <x:v>750</x:v>
      </x:c>
      <x:c r="K59" s="2" t="n">
        <x:v>40</x:v>
      </x:c>
      <x:c r="L59" s="2" t="n">
        <x:v>20</x:v>
      </x:c>
      <x:c r="M59" s="2" t="n">
        <x:v>15</x:v>
      </x:c>
      <x:c r="N59" s="2" t="n">
        <x:v>6</x:v>
      </x:c>
      <x:c r="O59" s="26" t="str">
        <x:v>verified: 0; booked: 0; held: 0; trials: 0; referralIntros: 0; referralBookings: 0; linkedinBookings: 0; referralAsks: 0; emailSendCeiling: 0; linkedinRequestCapacity: 0; dialsPerSetterCapacity: 0; officeConversationsPerSetterTarget: 0; replySlaTarget: ; qualifiedInquiries: 0</x:v>
      </x:c>
      <x:c r="P59" s="2" t="n">
        <x:f>COUNTIFS('Daily Tasks'!$B$7:$B$500,"&lt;="&amp;A59)</x:f>
        <x:v>429</x:v>
      </x:c>
      <x:c r="Q59" s="2" t="str">
        <x:f>IF(A59&gt;'Dashboard'!$B$5,"",SUMIFS('Daily Tasks'!$Q$7:$Q$500,'Daily Tasks'!$P$7:$P$500,"&lt;="&amp;A59))</x:f>
      </x:c>
      <x:c r="R59" t="str">
        <x:v>Dec 13</x:v>
      </x:c>
    </x:row>
    <x:row r="60" ht="54" customHeight="1">
      <x:c r="A60" s="30" t="n">
        <x:v>46370</x:v>
      </x:c>
      <x:c r="B60" s="2" t="str">
        <x:v>Monday</x:v>
      </x:c>
      <x:c r="C60" s="26" t="str">
        <x:v>Execution</x:v>
      </x:c>
      <x:c r="D60" s="26" t="str">
        <x:v>Close and complete</x:v>
      </x:c>
      <x:c r="E60" s="26" t="str">
        <x:v>Close and complete</x:v>
      </x:c>
      <x:c r="F60" s="2" t="n">
        <x:f>COUNTIFS('Daily Tasks'!$B$7:$B$500,A60)</x:f>
        <x:v>13</x:v>
      </x:c>
      <x:c r="G60" s="2" t="n">
        <x:f>SUMIFS('Daily Tasks'!$Q$7:$Q$500,'Daily Tasks'!$B$7:$B$500,A60,'Daily Tasks'!$P$7:$P$500,"&lt;="&amp;'Dashboard'!$B$5)</x:f>
        <x:v>0</x:v>
      </x:c>
      <x:c r="H60" s="39" t="n">
        <x:f>IF(F60=0,"n.a.",G60/F60)</x:f>
        <x:v>0</x:v>
      </x:c>
      <x:c r="I60" s="2" t="n">
        <x:f>F60-G60</x:f>
        <x:v>13</x:v>
      </x:c>
      <x:c r="J60" s="2" t="n">
        <x:v>750</x:v>
      </x:c>
      <x:c r="K60" s="2" t="n">
        <x:v>40</x:v>
      </x:c>
      <x:c r="L60" s="2" t="n">
        <x:v>20</x:v>
      </x:c>
      <x:c r="M60" s="2" t="n">
        <x:v>15</x:v>
      </x:c>
      <x:c r="N60" s="2" t="n">
        <x:v>6</x:v>
      </x:c>
      <x:c r="O60" s="26" t="str">
        <x:v>verified: 0; booked: 0; held: 0; trials: 0; referralIntros: 0; referralBookings: 0; linkedinBookings: 0; referralAsks: 0; emailSendCeiling: 150; linkedinRequestCapacity: 25; dialsPerSetterCapacity: 50; officeConversationsPerSetterTarget: 8; replySlaTarget: 100; qualifiedInquiries: 0</x:v>
      </x:c>
      <x:c r="P60" s="2" t="n">
        <x:f>COUNTIFS('Daily Tasks'!$B$7:$B$500,"&lt;="&amp;A60)</x:f>
        <x:v>442</x:v>
      </x:c>
      <x:c r="Q60" s="2" t="str">
        <x:f>IF(A60&gt;'Dashboard'!$B$5,"",SUMIFS('Daily Tasks'!$Q$7:$Q$500,'Daily Tasks'!$P$7:$P$500,"&lt;="&amp;A60))</x:f>
      </x:c>
      <x:c r="R60" t="str">
        <x:v>Dec 14</x:v>
      </x:c>
    </x:row>
    <x:row r="61" ht="54" customHeight="1">
      <x:c r="A61" s="30" t="n">
        <x:v>46371</x:v>
      </x:c>
      <x:c r="B61" s="2" t="str">
        <x:v>Tuesday</x:v>
      </x:c>
      <x:c r="C61" s="26" t="str">
        <x:v>Execution</x:v>
      </x:c>
      <x:c r="D61" s="26" t="str">
        <x:v>Close and complete</x:v>
      </x:c>
      <x:c r="E61" s="26" t="str">
        <x:v>Close and complete</x:v>
      </x:c>
      <x:c r="F61" s="2" t="n">
        <x:f>COUNTIFS('Daily Tasks'!$B$7:$B$500,A61)</x:f>
        <x:v>13</x:v>
      </x:c>
      <x:c r="G61" s="2" t="n">
        <x:f>SUMIFS('Daily Tasks'!$Q$7:$Q$500,'Daily Tasks'!$B$7:$B$500,A61,'Daily Tasks'!$P$7:$P$500,"&lt;="&amp;'Dashboard'!$B$5)</x:f>
        <x:v>0</x:v>
      </x:c>
      <x:c r="H61" s="39" t="n">
        <x:f>IF(F61=0,"n.a.",G61/F61)</x:f>
        <x:v>0</x:v>
      </x:c>
      <x:c r="I61" s="2" t="n">
        <x:f>F61-G61</x:f>
        <x:v>13</x:v>
      </x:c>
      <x:c r="J61" s="2" t="n">
        <x:v>750</x:v>
      </x:c>
      <x:c r="K61" s="2" t="n">
        <x:v>40</x:v>
      </x:c>
      <x:c r="L61" s="2" t="n">
        <x:v>20</x:v>
      </x:c>
      <x:c r="M61" s="2" t="n">
        <x:v>15</x:v>
      </x:c>
      <x:c r="N61" s="2" t="n">
        <x:v>6</x:v>
      </x:c>
      <x:c r="O61" s="26" t="str">
        <x:v>verified: 0; booked: 0; held: 0; trials: 0; referralIntros: 0; referralBookings: 0; linkedinBookings: 0; referralAsks: 0; emailSendCeiling: 150; linkedinRequestCapacity: 25; dialsPerSetterCapacity: 50; officeConversationsPerSetterTarget: 8; replySlaTarget: 100; qualifiedInquiries: 0</x:v>
      </x:c>
      <x:c r="P61" s="2" t="n">
        <x:f>COUNTIFS('Daily Tasks'!$B$7:$B$500,"&lt;="&amp;A61)</x:f>
        <x:v>455</x:v>
      </x:c>
      <x:c r="Q61" s="2" t="str">
        <x:f>IF(A61&gt;'Dashboard'!$B$5,"",SUMIFS('Daily Tasks'!$Q$7:$Q$500,'Daily Tasks'!$P$7:$P$500,"&lt;="&amp;A61))</x:f>
      </x:c>
      <x:c r="R61" t="str">
        <x:v>Dec 15</x:v>
      </x:c>
    </x:row>
    <x:row r="62" ht="54" customHeight="1">
      <x:c r="A62" s="30" t="n">
        <x:v>46372</x:v>
      </x:c>
      <x:c r="B62" s="2" t="str">
        <x:v>Wednesday</x:v>
      </x:c>
      <x:c r="C62" s="26" t="str">
        <x:v>Execution</x:v>
      </x:c>
      <x:c r="D62" s="26" t="str">
        <x:v>Close and complete</x:v>
      </x:c>
      <x:c r="E62" s="26" t="str">
        <x:v>Final execution deadline</x:v>
      </x:c>
      <x:c r="F62" s="2" t="n">
        <x:f>COUNTIFS('Daily Tasks'!$B$7:$B$500,A62)</x:f>
        <x:v>13</x:v>
      </x:c>
      <x:c r="G62" s="2" t="n">
        <x:f>SUMIFS('Daily Tasks'!$Q$7:$Q$500,'Daily Tasks'!$B$7:$B$500,A62,'Daily Tasks'!$P$7:$P$500,"&lt;="&amp;'Dashboard'!$B$5)</x:f>
        <x:v>0</x:v>
      </x:c>
      <x:c r="H62" s="39" t="n">
        <x:f>IF(F62=0,"n.a.",G62/F62)</x:f>
        <x:v>0</x:v>
      </x:c>
      <x:c r="I62" s="2" t="n">
        <x:f>F62-G62</x:f>
        <x:v>13</x:v>
      </x:c>
      <x:c r="J62" s="2" t="n">
        <x:v>750</x:v>
      </x:c>
      <x:c r="K62" s="2" t="n">
        <x:v>40</x:v>
      </x:c>
      <x:c r="L62" s="2" t="n">
        <x:v>20</x:v>
      </x:c>
      <x:c r="M62" s="2" t="n">
        <x:v>15</x:v>
      </x:c>
      <x:c r="N62" s="2" t="n">
        <x:v>6</x:v>
      </x:c>
      <x:c r="O62" s="26" t="str">
        <x:v>verified: 0; booked: 0; held: 0; trials: 0; referralIntros: 0; referralBookings: 0; linkedinBookings: 0; referralAsks: 0; emailSendCeiling: 150; linkedinRequestCapacity: 25; dialsPerSetterCapacity: 50; officeConversationsPerSetterTarget: 8; replySlaTarget: 100; qualifiedInquiries: 0</x:v>
      </x:c>
      <x:c r="P62" s="2" t="n">
        <x:f>COUNTIFS('Daily Tasks'!$B$7:$B$500,"&lt;="&amp;A62)</x:f>
        <x:v>468</x:v>
      </x:c>
      <x:c r="Q62" s="2" t="str">
        <x:f>IF(A62&gt;'Dashboard'!$B$5,"",SUMIFS('Daily Tasks'!$Q$7:$Q$500,'Daily Tasks'!$P$7:$P$500,"&lt;="&amp;A62))</x:f>
      </x:c>
      <x:c r="R62" t="str">
        <x:v>Dec 16</x:v>
      </x:c>
    </x:row>
    <x:row r="63" ht="54" customHeight="1">
      <x:c r="A63" s="30" t="n">
        <x:v>46373</x:v>
      </x:c>
      <x:c r="B63" s="2" t="str">
        <x:v>Thursday</x:v>
      </x:c>
      <x:c r="C63" s="26" t="str">
        <x:v>Review buffer</x:v>
      </x:c>
      <x:c r="D63" s="26" t="str">
        <x:v>Review and recovery buffer</x:v>
      </x:c>
      <x:c r="E63" s="26" t="str">
        <x:v>Review and recovery buffer</x:v>
      </x:c>
      <x:c r="F63" s="2" t="n">
        <x:f>COUNTIFS('Daily Tasks'!$B$7:$B$500,A63)</x:f>
        <x:v>13</x:v>
      </x:c>
      <x:c r="G63" s="2" t="n">
        <x:f>SUMIFS('Daily Tasks'!$Q$7:$Q$500,'Daily Tasks'!$B$7:$B$500,A63,'Daily Tasks'!$P$7:$P$500,"&lt;="&amp;'Dashboard'!$B$5)</x:f>
        <x:v>0</x:v>
      </x:c>
      <x:c r="H63" s="39" t="n">
        <x:f>IF(F63=0,"n.a.",G63/F63)</x:f>
        <x:v>0</x:v>
      </x:c>
      <x:c r="I63" s="2" t="n">
        <x:f>F63-G63</x:f>
        <x:v>13</x:v>
      </x:c>
      <x:c r="J63" s="2" t="n">
        <x:v>750</x:v>
      </x:c>
      <x:c r="K63" s="2" t="n">
        <x:v>40</x:v>
      </x:c>
      <x:c r="L63" s="2" t="n">
        <x:v>20</x:v>
      </x:c>
      <x:c r="M63" s="2" t="n">
        <x:v>15</x:v>
      </x:c>
      <x:c r="N63" s="2" t="n">
        <x:v>6</x:v>
      </x:c>
      <x:c r="O63" s="26" t="str">
        <x:v>verified: 0; booked: 0; held: 0; trials: 0; referralIntros: 0; referralBookings: 0; linkedinBookings: 0; referralAsks: 0; emailSendCeiling: 0; linkedinRequestCapacity: 0; dialsPerSetterCapacity: 0; officeConversationsPerSetterTarget: 0; replySlaTarget: ; qualifiedInquiries: 0</x:v>
      </x:c>
      <x:c r="P63" s="2" t="n">
        <x:f>COUNTIFS('Daily Tasks'!$B$7:$B$500,"&lt;="&amp;A63)</x:f>
        <x:v>481</x:v>
      </x:c>
      <x:c r="Q63" s="2" t="str">
        <x:f>IF(A63&gt;'Dashboard'!$B$5,"",SUMIFS('Daily Tasks'!$Q$7:$Q$500,'Daily Tasks'!$P$7:$P$500,"&lt;="&amp;A63))</x:f>
      </x:c>
      <x:c r="R63" t="str">
        <x:v>Dec 17</x:v>
      </x:c>
    </x:row>
    <x:row r="64" ht="54" customHeight="1">
      <x:c r="A64" s="30" t="n">
        <x:v>46374</x:v>
      </x:c>
      <x:c r="B64" s="2" t="str">
        <x:v>Friday</x:v>
      </x:c>
      <x:c r="C64" s="26" t="str">
        <x:v>Review buffer</x:v>
      </x:c>
      <x:c r="D64" s="26" t="str">
        <x:v>Review and recovery buffer</x:v>
      </x:c>
      <x:c r="E64" s="26" t="str">
        <x:v>Review and recovery closeout</x:v>
      </x:c>
      <x:c r="F64" s="2" t="n">
        <x:f>COUNTIFS('Daily Tasks'!$B$7:$B$500,A64)</x:f>
        <x:v>13</x:v>
      </x:c>
      <x:c r="G64" s="2" t="n">
        <x:f>SUMIFS('Daily Tasks'!$Q$7:$Q$500,'Daily Tasks'!$B$7:$B$500,A64,'Daily Tasks'!$P$7:$P$500,"&lt;="&amp;'Dashboard'!$B$5)</x:f>
        <x:v>0</x:v>
      </x:c>
      <x:c r="H64" s="39" t="n">
        <x:f>IF(F64=0,"n.a.",G64/F64)</x:f>
        <x:v>0</x:v>
      </x:c>
      <x:c r="I64" s="2" t="n">
        <x:f>F64-G64</x:f>
        <x:v>13</x:v>
      </x:c>
      <x:c r="J64" s="2" t="n">
        <x:v>750</x:v>
      </x:c>
      <x:c r="K64" s="2" t="n">
        <x:v>40</x:v>
      </x:c>
      <x:c r="L64" s="2" t="n">
        <x:v>20</x:v>
      </x:c>
      <x:c r="M64" s="2" t="n">
        <x:v>15</x:v>
      </x:c>
      <x:c r="N64" s="2" t="n">
        <x:v>6</x:v>
      </x:c>
      <x:c r="O64" s="26" t="str">
        <x:v>verified: 0; booked: 0; held: 0; trials: 0; referralIntros: 0; referralBookings: 0; linkedinBookings: 0; referralAsks: 0; emailSendCeiling: 0; linkedinRequestCapacity: 0; dialsPerSetterCapacity: 0; officeConversationsPerSetterTarget: 0; replySlaTarget: ; qualifiedInquiries: 0</x:v>
      </x:c>
      <x:c r="P64" s="2" t="n">
        <x:f>COUNTIFS('Daily Tasks'!$B$7:$B$500,"&lt;="&amp;A64)</x:f>
        <x:v>494</x:v>
      </x:c>
      <x:c r="Q64" s="2" t="str">
        <x:f>IF(A64&gt;'Dashboard'!$B$5,"",SUMIFS('Daily Tasks'!$Q$7:$Q$500,'Daily Tasks'!$P$7:$P$500,"&lt;="&amp;A64))</x:f>
      </x:c>
      <x:c r="R64" t="str">
        <x:v>Dec 18</x:v>
      </x:c>
    </x:row>
  </x:sheetData>
  <x:conditionalFormatting sqref="A7:Q64">
    <x:cfRule type="expression" dxfId="10" priority="1">
      <x:formula>OR($C7="Weekend",$C7="Holiday")</x:formula>
    </x:cfRule>
  </x:conditionalFormatting>
  <x:conditionalFormatting sqref="H7:H64">
    <x:cfRule type="dataBar" priority="2">
      <x:dataBar>
        <x:cfvo type="num" val="0"/>
        <x:cfvo type="num" val="1"/>
        <x:color rgb="FF107E72"/>
      </x:dataBar>
    </x:cfRule>
  </x:conditionalFormatting>
  <x:pageMargins left="0.7" right="0.7" top="0.75" bottom="0.75" header="0.3" footer="0.3"/>
  <x:tableParts count="1">
    <x:tablePart xmlns:r="http://schemas.openxmlformats.org/officeDocument/2006/relationships" r:id="R1027af85968f41aa"/>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32" hidden="0" customWidth="1"/>
    <x:col min="3" max="3" width="15" hidden="0" customWidth="1"/>
    <x:col min="4" max="4" width="16" hidden="0" customWidth="1"/>
    <x:col min="5" max="5" width="18" hidden="0" customWidth="1"/>
    <x:col min="6" max="6" width="17" hidden="0" customWidth="1"/>
    <x:col min="7" max="7" width="17" hidden="0" customWidth="1"/>
    <x:col min="8" max="8" width="17" hidden="0" customWidth="1"/>
    <x:col min="9" max="9" width="17" hidden="0" customWidth="1"/>
    <x:col min="10" max="10" width="16" hidden="0" customWidth="1"/>
    <x:col min="11" max="11" width="17" hidden="0" customWidth="1"/>
    <x:col min="12" max="12" width="50" hidden="0" customWidth="1"/>
    <x:col min="13" max="13" width="18" hidden="0" customWidth="1"/>
    <x:col min="14" max="14" width="16" hidden="0" customWidth="1"/>
    <x:col min="15" max="15" width="88" hidden="0" customWidth="1"/>
    <x:col min="16" max="16" width="66" hidden="0" customWidth="1"/>
    <x:col min="17" max="17" width="18"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Daily KPI snapshots</x:v>
      </x:c>
      <x:c r="B2" s="2"/>
      <x:c r="C2" s="2"/>
      <x:c r="D2" s="2"/>
      <x:c r="E2" s="2"/>
      <x:c r="F2" s="2"/>
      <x:c r="G2" s="2"/>
      <x:c r="H2" s="2"/>
      <x:c r="I2" s="2"/>
      <x:c r="J2" s="2"/>
      <x:c r="K2" s="2"/>
      <x:c r="L2" s="2"/>
      <x:c r="M2" s="2"/>
      <x:c r="N2" s="2"/>
      <x:c r="O2" s="2"/>
      <x:c r="P2" s="2"/>
      <x:c r="Q2" s="2"/>
    </x:row>
    <x:row r="3" ht="22" customHeight="1">
      <x:c r="A3" s="4" t="str">
        <x:v>Enter cumulative reset-period totals for the selected date. Rates use matching numerators and denominators. Blank means not reported.</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5"/>
      <x:c r="K4" s="5"/>
      <x:c r="L4" s="5"/>
      <x:c r="M4" s="5"/>
      <x:c r="N4" s="5"/>
      <x:c r="O4" s="5"/>
      <x:c r="P4" s="5"/>
      <x:c r="Q4" s="5"/>
    </x:row>
    <x:row r="5" ht="22" customHeight="1">
      <x:c r="A5" s="2"/>
      <x:c r="B5" s="2"/>
      <x:c r="C5" s="2"/>
      <x:c r="D5" s="2"/>
      <x:c r="E5" s="2"/>
      <x:c r="F5" s="2"/>
      <x:c r="G5" s="2"/>
      <x:c r="H5" s="2"/>
      <x:c r="I5" s="2"/>
      <x:c r="J5" s="2"/>
      <x:c r="K5" s="2"/>
      <x:c r="L5" s="2"/>
      <x:c r="M5" s="2"/>
      <x:c r="N5" s="2"/>
      <x:c r="O5" s="2"/>
      <x:c r="P5" s="2"/>
      <x:c r="Q5" s="2"/>
    </x:row>
    <x:row r="6" ht="32" customHeight="1">
      <x:c r="A6" s="14" t="str">
        <x:v>Date</x:v>
      </x:c>
      <x:c r="B6" s="15" t="str">
        <x:v>Metric</x:v>
      </x:c>
      <x:c r="C6" s="15" t="str">
        <x:v>Target</x:v>
      </x:c>
      <x:c r="D6" s="15" t="str">
        <x:v>Input type</x:v>
      </x:c>
      <x:c r="E6" s="15" t="str">
        <x:v>Count / cost actual</x:v>
      </x:c>
      <x:c r="F6" s="15" t="str">
        <x:v>Numerator</x:v>
      </x:c>
      <x:c r="G6" s="15" t="str">
        <x:v>Denominator</x:v>
      </x:c>
      <x:c r="H6" s="15" t="str">
        <x:v>Reported result</x:v>
      </x:c>
      <x:c r="I6" s="15" t="str">
        <x:v>Gap to target</x:v>
      </x:c>
      <x:c r="J6" s="15" t="str">
        <x:v>Unit</x:v>
      </x:c>
      <x:c r="K6" s="15" t="str">
        <x:v>Owner</x:v>
      </x:c>
      <x:c r="L6" s="15" t="str">
        <x:v>Evidence / CQL report</x:v>
      </x:c>
      <x:c r="M6" s="15" t="str">
        <x:v>Updated by</x:v>
      </x:c>
      <x:c r="N6" s="15" t="str">
        <x:v>Updated on</x:v>
      </x:c>
      <x:c r="O6" s="15" t="str">
        <x:v>Definition / denominator</x:v>
      </x:c>
      <x:c r="P6" s="15" t="str">
        <x:v>Source / target basis</x:v>
      </x:c>
      <x:c r="Q6" s="16" t="str">
        <x:v>Numeric result reported</x:v>
      </x:c>
    </x:row>
    <x:row r="7" ht="46" customHeight="1">
      <x:c r="A7" s="17" t="n">
        <x:v>46317</x:v>
      </x:c>
      <x:c r="B7" s="2" t="str">
        <x:v>Qualified inquiries</x:v>
      </x:c>
      <x:c r="C7" s="2" t="n">
        <x:v>0</x:v>
      </x:c>
      <x:c r="D7" s="2" t="str">
        <x:v>Cumulative total</x:v>
      </x:c>
      <x:c r="E7" s="20"/>
      <x:c r="F7" s="20"/>
      <x:c r="G7" s="20"/>
      <x:c r="H7" s="2" t="str">
        <x:f>IF(D7="Rate",IF(COUNT(F7:G7)&lt;2,"",IF(G7=0,"n.a.",F7/G7)),IF(COUNT(E7)=0,"",E7))</x:f>
      </x:c>
      <x:c r="I7" s="2" t="str">
        <x:f>IF(AND(ISNUMBER(H7),ISNUMBER(C7)),H7-C7,"")</x:f>
      </x:c>
      <x:c r="J7" s="2" t="str">
        <x:v>inquiries</x:v>
      </x:c>
      <x:c r="K7" s="2" t="str">
        <x:v>Nova</x:v>
      </x:c>
      <x:c r="L7" s="28" t="str"/>
      <x:c r="M7" s="20"/>
      <x:c r="N7" s="21"/>
      <x:c r="O7" s="26" t="str">
        <x:v>Unique ICP-matched practices that express relevant interest, need or timing; Nova records practice type, decision-maker access, case volume, service need and readiness within 30–60 days. Raw records, opens and connection accepts do not qualify.</x:v>
      </x:c>
      <x:c r="P7" s="26" t="str">
        <x:v>Original proposal pages 2 and 4 define qualification; 40 by Dec 16 and intermediate pace are newly proposed recovery targets.</x:v>
      </x:c>
      <x:c r="Q7" s="2" t="n">
        <x:f>IF(ISNUMBER(H7),1,0)</x:f>
        <x:v>0</x:v>
      </x:c>
    </x:row>
    <x:row r="8" ht="46" customHeight="1">
      <x:c r="A8" s="17" t="n">
        <x:v>46317</x:v>
      </x:c>
      <x:c r="B8" s="2" t="str">
        <x:v>Qualified conversations booked</x:v>
      </x:c>
      <x:c r="C8" s="2" t="n">
        <x:v>0</x:v>
      </x:c>
      <x:c r="D8" s="2" t="str">
        <x:v>Cumulative total</x:v>
      </x:c>
      <x:c r="E8" s="20"/>
      <x:c r="F8" s="20"/>
      <x:c r="G8" s="20"/>
      <x:c r="H8" s="2" t="str">
        <x:f>IF(D8="Rate",IF(COUNT(F8:G8)&lt;2,"",IF(G8=0,"n.a.",F8/G8)),IF(COUNT(E8)=0,"",E8))</x:f>
      </x:c>
      <x:c r="I8" s="2" t="str">
        <x:f>IF(AND(ISNUMBER(H8),ISNUMBER(C8)),H8-C8,"")</x:f>
      </x:c>
      <x:c r="J8" s="2" t="str">
        <x:v>bookings</x:v>
      </x:c>
      <x:c r="K8" s="2" t="str">
        <x:v>Nova</x:v>
      </x:c>
      <x:c r="L8" s="28" t="str"/>
      <x:c r="M8" s="20"/>
      <x:c r="N8" s="21"/>
      <x:c r="O8" s="26" t="str">
        <x:v>Unique qualified calls/visits booked with Nic; rebooking same opportunity is not a new booking.</x:v>
      </x:c>
      <x:c r="P8" s="26" t="str">
        <x:v>PDF §10; final deadline advanced to user Dec 16</x:v>
      </x:c>
      <x:c r="Q8" s="2" t="n">
        <x:f>IF(ISNUMBER(H8),1,0)</x:f>
        <x:v>0</x:v>
      </x:c>
    </x:row>
    <x:row r="9" ht="46" customHeight="1">
      <x:c r="A9" s="17" t="n">
        <x:v>46317</x:v>
      </x:c>
      <x:c r="B9" s="2" t="str">
        <x:v>Qualified conversations held</x:v>
      </x:c>
      <x:c r="C9" s="2" t="n">
        <x:v>0</x:v>
      </x:c>
      <x:c r="D9" s="2" t="str">
        <x:v>Cumulative total</x:v>
      </x:c>
      <x:c r="E9" s="20"/>
      <x:c r="F9" s="20"/>
      <x:c r="G9" s="20"/>
      <x:c r="H9" s="2" t="str">
        <x:f>IF(D9="Rate",IF(COUNT(F9:G9)&lt;2,"",IF(G9=0,"n.a.",F9/G9)),IF(COUNT(E9)=0,"",E9))</x:f>
      </x:c>
      <x:c r="I9" s="2" t="str">
        <x:f>IF(AND(ISNUMBER(H9),ISNUMBER(C9)),H9-C9,"")</x:f>
      </x:c>
      <x:c r="J9" s="2" t="str">
        <x:v>held</x:v>
      </x:c>
      <x:c r="K9" s="2" t="str">
        <x:v>Nova</x:v>
      </x:c>
      <x:c r="L9" s="28" t="str"/>
      <x:c r="M9" s="20"/>
      <x:c r="N9" s="21"/>
      <x:c r="O9" s="26" t="str">
        <x:v>Completed qualified calls/visits; 6 and 15 are integer planning proxies for 70% of 8 and 75% of 20.</x:v>
      </x:c>
      <x:c r="P9" s="26" t="str">
        <x:v>Derived from source held-rate targets</x:v>
      </x:c>
      <x:c r="Q9" s="2" t="n">
        <x:f>IF(ISNUMBER(H9),1,0)</x:f>
        <x:v>0</x:v>
      </x:c>
    </x:row>
    <x:row r="10" ht="46" customHeight="1">
      <x:c r="A10" s="17" t="n">
        <x:v>46317</x:v>
      </x:c>
      <x:c r="B10" s="2" t="str">
        <x:v>Trial cases received by DSI</x:v>
      </x:c>
      <x:c r="C10" s="2" t="n">
        <x:v>0</x:v>
      </x:c>
      <x:c r="D10" s="2" t="str">
        <x:v>Cumulative total</x:v>
      </x:c>
      <x:c r="E10" s="20"/>
      <x:c r="F10" s="20"/>
      <x:c r="G10" s="20"/>
      <x:c r="H10" s="2" t="str">
        <x:f>IF(D10="Rate",IF(COUNT(F10:G10)&lt;2,"",IF(G10=0,"n.a.",F10/G10)),IF(COUNT(E10)=0,"",E10))</x:f>
      </x:c>
      <x:c r="I10" s="2" t="str">
        <x:f>IF(AND(ISNUMBER(H10),ISNUMBER(C10)),H10-C10,"")</x:f>
      </x:c>
      <x:c r="J10" s="2" t="str">
        <x:v>trials</x:v>
      </x:c>
      <x:c r="K10" s="2" t="str">
        <x:v>Maseeha</x:v>
      </x:c>
      <x:c r="L10" s="28" t="str"/>
      <x:c r="M10" s="20"/>
      <x:c r="N10" s="21"/>
      <x:c r="O10" s="26" t="str">
        <x:v>Practice’s first trial case received by DSI, not merely promised or shipped; subject to Maseeha capacity.</x:v>
      </x:c>
      <x:c r="P10" s="26" t="str">
        <x:v>PDF §10; final deadline advanced to user Dec 16</x:v>
      </x:c>
      <x:c r="Q10" s="2" t="n">
        <x:f>IF(ISNUMBER(H10),1,0)</x:f>
        <x:v>0</x:v>
      </x:c>
    </x:row>
    <x:row r="11" ht="46" customHeight="1">
      <x:c r="A11" s="17" t="n">
        <x:v>46317</x:v>
      </x:c>
      <x:c r="B11" s="2" t="str">
        <x:v>Recurring accounts signed</x:v>
      </x:c>
      <x:c r="C11" s="2"/>
      <x:c r="D11" s="2" t="str">
        <x:v>Cumulative total</x:v>
      </x:c>
      <x:c r="E11" s="20"/>
      <x:c r="F11" s="20"/>
      <x:c r="G11" s="20"/>
      <x:c r="H11" s="2" t="str">
        <x:f>IF(D11="Rate",IF(COUNT(F11:G11)&lt;2,"",IF(G11=0,"n.a.",F11/G11)),IF(COUNT(E11)=0,"",E11))</x:f>
      </x:c>
      <x:c r="I11" s="2" t="str">
        <x:f>IF(AND(ISNUMBER(H11),ISNUMBER(C11)),H11-C11,"")</x:f>
      </x:c>
      <x:c r="J11" s="2" t="str">
        <x:v>accounts</x:v>
      </x:c>
      <x:c r="K11" s="2" t="str">
        <x:v>Nic</x:v>
      </x:c>
      <x:c r="L11" s="28" t="str"/>
      <x:c r="M11" s="20"/>
      <x:c r="N11" s="21"/>
      <x:c r="O11" s="26" t="str">
        <x:v>Plan signed following Day-30 review; only mature trial cohorts eligible. 1–3 is a conditional range.</x:v>
      </x:c>
      <x:c r="P11" s="26" t="str">
        <x:v>PDF §10</x:v>
      </x:c>
      <x:c r="Q11" s="2" t="n">
        <x:f>IF(ISNUMBER(H11),1,0)</x:f>
        <x:v>0</x:v>
      </x:c>
    </x:row>
    <x:row r="12" ht="46" customHeight="1">
      <x:c r="A12" s="17" t="n">
        <x:v>46317</x:v>
      </x:c>
      <x:c r="B12" s="2" t="str">
        <x:v>Referral-sourced bookings</x:v>
      </x:c>
      <x:c r="C12" s="2" t="n">
        <x:v>0</x:v>
      </x:c>
      <x:c r="D12" s="2" t="str">
        <x:v>Cumulative total</x:v>
      </x:c>
      <x:c r="E12" s="20"/>
      <x:c r="F12" s="20"/>
      <x:c r="G12" s="20"/>
      <x:c r="H12" s="2" t="str">
        <x:f>IF(D12="Rate",IF(COUNT(F12:G12)&lt;2,"",IF(G12=0,"n.a.",F12/G12)),IF(COUNT(E12)=0,"",E12))</x:f>
      </x:c>
      <x:c r="I12" s="2" t="str">
        <x:f>IF(AND(ISNUMBER(H12),ISNUMBER(C12)),H12-C12,"")</x:f>
      </x:c>
      <x:c r="J12" s="2" t="str">
        <x:v>bookings</x:v>
      </x:c>
      <x:c r="K12" s="2" t="str">
        <x:v>Nova</x:v>
      </x:c>
      <x:c r="L12" s="28" t="str"/>
      <x:c r="M12" s="20"/>
      <x:c r="N12" s="21"/>
      <x:c r="O12" s="26" t="str">
        <x:v>Subset of booked total with primary Source=Referral; never added on top of all-channel bookings.</x:v>
      </x:c>
      <x:c r="P12" s="26" t="str">
        <x:v>PDF §§10, 16</x:v>
      </x:c>
      <x:c r="Q12" s="2" t="n">
        <x:f>IF(ISNUMBER(H12),1,0)</x:f>
        <x:v>0</x:v>
      </x:c>
    </x:row>
    <x:row r="13" ht="46" customHeight="1">
      <x:c r="A13" s="17" t="n">
        <x:v>46317</x:v>
      </x:c>
      <x:c r="B13" s="2" t="str">
        <x:v>LinkedIn DM-sourced bookings</x:v>
      </x:c>
      <x:c r="C13" s="2" t="n">
        <x:v>0</x:v>
      </x:c>
      <x:c r="D13" s="2" t="str">
        <x:v>Cumulative total</x:v>
      </x:c>
      <x:c r="E13" s="20"/>
      <x:c r="F13" s="20"/>
      <x:c r="G13" s="20"/>
      <x:c r="H13" s="2" t="str">
        <x:f>IF(D13="Rate",IF(COUNT(F13:G13)&lt;2,"",IF(G13=0,"n.a.",F13/G13)),IF(COUNT(E13)=0,"",E13))</x:f>
      </x:c>
      <x:c r="I13" s="2" t="str">
        <x:f>IF(AND(ISNUMBER(H13),ISNUMBER(C13)),H13-C13,"")</x:f>
      </x:c>
      <x:c r="J13" s="2" t="str">
        <x:v>bookings</x:v>
      </x:c>
      <x:c r="K13" s="2" t="str">
        <x:v>Dexter</x:v>
      </x:c>
      <x:c r="L13" s="28" t="str"/>
      <x:c r="M13" s="20"/>
      <x:c r="N13" s="21"/>
      <x:c r="O13" s="26" t="str">
        <x:v>Subset of booked total with primary Source=LinkedIn DM; assists tracked separately.</x:v>
      </x:c>
      <x:c r="P13" s="26" t="str">
        <x:v>PDF §§10, 17 a</x:v>
      </x:c>
      <x:c r="Q13" s="2" t="n">
        <x:f>IF(ISNUMBER(H13),1,0)</x:f>
        <x:v>0</x:v>
      </x:c>
    </x:row>
    <x:row r="14" ht="46" customHeight="1">
      <x:c r="A14" s="17" t="n">
        <x:v>46317</x:v>
      </x:c>
      <x:c r="B14" s="2" t="str">
        <x:v>Verified contacts ready</x:v>
      </x:c>
      <x:c r="C14" s="2" t="n">
        <x:v>0</x:v>
      </x:c>
      <x:c r="D14" s="2" t="str">
        <x:v>Cumulative total</x:v>
      </x:c>
      <x:c r="E14" s="20"/>
      <x:c r="F14" s="20"/>
      <x:c r="G14" s="20"/>
      <x:c r="H14" s="2" t="str">
        <x:f>IF(D14="Rate",IF(COUNT(F14:G14)&lt;2,"",IF(G14=0,"n.a.",F14/G14)),IF(COUNT(E14)=0,"",E14))</x:f>
      </x:c>
      <x:c r="I14" s="2" t="str">
        <x:f>IF(AND(ISNUMBER(H14),ISNUMBER(C14)),H14-C14,"")</x:f>
      </x:c>
      <x:c r="J14" s="2" t="str">
        <x:v>contacts</x:v>
      </x:c>
      <x:c r="K14" s="2" t="str">
        <x:v>Joey</x:v>
      </x:c>
      <x:c r="L14" s="28" t="str"/>
      <x:c r="M14" s="20"/>
      <x:c r="N14" s="21"/>
      <x:c r="O14" s="26" t="str">
        <x:v>Unique contacts passing Scout and loaded in CQL; count once per contact.</x:v>
      </x:c>
      <x:c r="P14" s="26" t="str">
        <x:v>PDF §§10, 14; 750 due Dec 12 moved to Fri Dec 11</x:v>
      </x:c>
      <x:c r="Q14" s="2" t="n">
        <x:f>IF(ISNUMBER(H14),1,0)</x:f>
        <x:v>0</x:v>
      </x:c>
    </x:row>
    <x:row r="15" ht="46" customHeight="1">
      <x:c r="A15" s="17" t="n">
        <x:v>46317</x:v>
      </x:c>
      <x:c r="B15" s="2" t="str">
        <x:v>Permission-based referral introductions</x:v>
      </x:c>
      <x:c r="C15" s="2" t="n">
        <x:v>0</x:v>
      </x:c>
      <x:c r="D15" s="2" t="str">
        <x:v>Cumulative total</x:v>
      </x:c>
      <x:c r="E15" s="20"/>
      <x:c r="F15" s="20"/>
      <x:c r="G15" s="20"/>
      <x:c r="H15" s="2" t="str">
        <x:f>IF(D15="Rate",IF(COUNT(F15:G15)&lt;2,"",IF(G15=0,"n.a.",F15/G15)),IF(COUNT(E15)=0,"",E15))</x:f>
      </x:c>
      <x:c r="I15" s="2" t="str">
        <x:f>IF(AND(ISNUMBER(H15),ISNUMBER(C15)),H15-C15,"")</x:f>
      </x:c>
      <x:c r="J15" s="2" t="str">
        <x:v>introductions</x:v>
      </x:c>
      <x:c r="K15" s="2" t="str">
        <x:v>Maseeha</x:v>
      </x:c>
      <x:c r="L15" s="28" t="str"/>
      <x:c r="M15" s="20"/>
      <x:c r="N15" s="21"/>
      <x:c r="O15" s="26" t="str">
        <x:v>Unique introductions with consent and referrer recorded, verified by Maseeha within 2 business days.</x:v>
      </x:c>
      <x:c r="P15" s="26" t="str">
        <x:v>PDF §§10, 16</x:v>
      </x:c>
      <x:c r="Q15" s="2" t="n">
        <x:f>IF(ISNUMBER(H15),1,0)</x:f>
        <x:v>0</x:v>
      </x:c>
    </x:row>
    <x:row r="16" ht="46" customHeight="1">
      <x:c r="A16" s="17" t="n">
        <x:v>46317</x:v>
      </x:c>
      <x:c r="B16" s="2" t="str">
        <x:v>Human reply rate</x:v>
      </x:c>
      <x:c r="C16" s="40" t="n">
        <x:v>0.02</x:v>
      </x:c>
      <x:c r="D16" s="2" t="str">
        <x:v>Rate</x:v>
      </x:c>
      <x:c r="E16" s="20"/>
      <x:c r="F16" s="20"/>
      <x:c r="G16" s="20"/>
      <x:c r="H16" s="40" t="str">
        <x:f>IF(D16="Rate",IF(COUNT(F16:G16)&lt;2,"",IF(G16=0,"n.a.",F16/G16)),IF(COUNT(E16)=0,"",E16))</x:f>
      </x:c>
      <x:c r="I16" s="40" t="str">
        <x:f>IF(AND(ISNUMBER(H16),ISNUMBER(C16)),H16-C16,"")</x:f>
      </x:c>
      <x:c r="J16" s="2" t="str">
        <x:v>%</x:v>
      </x:c>
      <x:c r="K16" s="2" t="str">
        <x:v>Kenneth</x:v>
      </x:c>
      <x:c r="L16" s="28" t="str"/>
      <x:c r="M16" s="20"/>
      <x:c r="N16" s="21"/>
      <x:c r="O16" s="26" t="str">
        <x:v>Unique emailed contacts that give a qualifying human reply / unique contacts emailed in the same send cohort. Exclude OOO, auto-replies, bounces and unsubscribe-only replies. Deduplicate contacts across sequence steps; zero denominator is N/A.</x:v>
      </x:c>
      <x:c r="P16" s="26" t="str">
        <x:v>PDF §10</x:v>
      </x:c>
      <x:c r="Q16" s="2" t="n">
        <x:f>IF(ISNUMBER(H16),1,0)</x:f>
        <x:v>0</x:v>
      </x:c>
    </x:row>
    <x:row r="17" ht="46" customHeight="1">
      <x:c r="A17" s="17" t="n">
        <x:v>46317</x:v>
      </x:c>
      <x:c r="B17" s="2" t="str">
        <x:v>Positive reply rate</x:v>
      </x:c>
      <x:c r="C17" s="40" t="n">
        <x:v>0.01</x:v>
      </x:c>
      <x:c r="D17" s="2" t="str">
        <x:v>Rate</x:v>
      </x:c>
      <x:c r="E17" s="20"/>
      <x:c r="F17" s="20"/>
      <x:c r="G17" s="20"/>
      <x:c r="H17" s="40" t="str">
        <x:f>IF(D17="Rate",IF(COUNT(F17:G17)&lt;2,"",IF(G17=0,"n.a.",F17/G17)),IF(COUNT(E17)=0,"",E17))</x:f>
      </x:c>
      <x:c r="I17" s="40" t="str">
        <x:f>IF(AND(ISNUMBER(H17),ISNUMBER(C17)),H17-C17,"")</x:f>
      </x:c>
      <x:c r="J17" s="2" t="str">
        <x:v>%</x:v>
      </x:c>
      <x:c r="K17" s="2" t="str">
        <x:v>Kenneth</x:v>
      </x:c>
      <x:c r="L17" s="28" t="str"/>
      <x:c r="M17" s="20"/>
      <x:c r="N17" s="21"/>
      <x:c r="O17" s="26" t="str">
        <x:v>Unique emailed contacts classified interested or relevant question / unique contacts emailed in the same send cohort. Deduplicate across sequence steps; zero denominator is N/A. Keep this email rate separate from all-channel qualified inquiries.</x:v>
      </x:c>
      <x:c r="P17" s="26" t="str">
        <x:v>PDF §10</x:v>
      </x:c>
      <x:c r="Q17" s="2" t="n">
        <x:f>IF(ISNUMBER(H17),1,0)</x:f>
        <x:v>0</x:v>
      </x:c>
    </x:row>
    <x:row r="18" ht="46" customHeight="1">
      <x:c r="A18" s="17" t="n">
        <x:v>46317</x:v>
      </x:c>
      <x:c r="B18" s="2" t="str">
        <x:v>Replies answered within 15 minutes</x:v>
      </x:c>
      <x:c r="C18" s="40" t="n">
        <x:v>1</x:v>
      </x:c>
      <x:c r="D18" s="2" t="str">
        <x:v>Rate</x:v>
      </x:c>
      <x:c r="E18" s="20"/>
      <x:c r="F18" s="20"/>
      <x:c r="G18" s="20"/>
      <x:c r="H18" s="40" t="str">
        <x:f>IF(D18="Rate",IF(COUNT(F18:G18)&lt;2,"",IF(G18=0,"n.a.",F18/G18)),IF(COUNT(E18)=0,"",E18))</x:f>
      </x:c>
      <x:c r="I18" s="40" t="str">
        <x:f>IF(AND(ISNUMBER(H18),ISNUMBER(C18)),H18-C18,"")</x:f>
      </x:c>
      <x:c r="J18" s="2" t="str">
        <x:v>%</x:v>
      </x:c>
      <x:c r="K18" s="2" t="str">
        <x:v>Nova</x:v>
      </x:c>
      <x:c r="L18" s="28" t="str"/>
      <x:c r="M18" s="20"/>
      <x:c r="N18" s="21"/>
      <x:c r="O18"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8" s="26" t="str">
        <x:v>PDF §9; clock convention clarified for tracker</x:v>
      </x:c>
      <x:c r="Q18" s="2" t="n">
        <x:f>IF(ISNUMBER(H18),1,0)</x:f>
        <x:v>0</x:v>
      </x:c>
    </x:row>
    <x:row r="19" ht="46" customHeight="1">
      <x:c r="A19" s="17" t="n">
        <x:v>46317</x:v>
      </x:c>
      <x:c r="B19" s="2" t="str">
        <x:v>Held rate</x:v>
      </x:c>
      <x:c r="C19" s="40" t="n">
        <x:v>0.7</x:v>
      </x:c>
      <x:c r="D19" s="2" t="str">
        <x:v>Rate</x:v>
      </x:c>
      <x:c r="E19" s="20"/>
      <x:c r="F19" s="20"/>
      <x:c r="G19" s="20"/>
      <x:c r="H19" s="40" t="str">
        <x:f>IF(D19="Rate",IF(COUNT(F19:G19)&lt;2,"",IF(G19=0,"n.a.",F19/G19)),IF(COUNT(E19)=0,"",E19))</x:f>
      </x:c>
      <x:c r="I19" s="40" t="str">
        <x:f>IF(AND(ISNUMBER(H19),ISNUMBER(C19)),H19-C19,"")</x:f>
      </x:c>
      <x:c r="J19" s="2" t="str">
        <x:v>%</x:v>
      </x:c>
      <x:c r="K19" s="2" t="str">
        <x:v>Nova</x:v>
      </x:c>
      <x:c r="L19" s="28" t="str"/>
      <x:c r="M19" s="20"/>
      <x:c r="N19" s="21"/>
      <x:c r="O19" s="26" t="str">
        <x:v>Qualified conversations actually held / unique booked conversations whose scheduled time has passed. Exclude upcoming appointments. Rebooking the same opportunity is not a second booking. A zero denominator is N/A.</x:v>
      </x:c>
      <x:c r="P19" s="26" t="str">
        <x:v>PDF §10; due-cohort denominator clarified</x:v>
      </x:c>
      <x:c r="Q19" s="2" t="n">
        <x:f>IF(ISNUMBER(H19),1,0)</x:f>
        <x:v>0</x:v>
      </x:c>
    </x:row>
    <x:row r="20" ht="46" customHeight="1">
      <x:c r="A20" s="17" t="n">
        <x:v>46317</x:v>
      </x:c>
      <x:c r="B20" s="2" t="str">
        <x:v>Positive-to-booked conversion</x:v>
      </x:c>
      <x:c r="C20" s="40" t="n">
        <x:v>0.5</x:v>
      </x:c>
      <x:c r="D20" s="2" t="str">
        <x:v>Rate</x:v>
      </x:c>
      <x:c r="E20" s="20"/>
      <x:c r="F20" s="20"/>
      <x:c r="G20" s="20"/>
      <x:c r="H20" s="40" t="str">
        <x:f>IF(D20="Rate",IF(COUNT(F20:G20)&lt;2,"",IF(G20=0,"n.a.",F20/G20)),IF(COUNT(E20)=0,"",E20))</x:f>
      </x:c>
      <x:c r="I20" s="40" t="str">
        <x:f>IF(AND(ISNUMBER(H20),ISNUMBER(C20)),H20-C20,"")</x:f>
      </x:c>
      <x:c r="J20" s="2" t="str">
        <x:v>%</x:v>
      </x:c>
      <x:c r="K20" s="2" t="str">
        <x:v>Nova</x:v>
      </x:c>
      <x:c r="L20" s="28" t="str"/>
      <x:c r="M20" s="20"/>
      <x:c r="N20" s="21"/>
      <x:c r="O20" s="26" t="str">
        <x:v>Unique email-positive opportunities booked / unique email-positive opportunities in the same reviewed cohort. Use a documented follow-up window. This differs from the all-channel 40-inquiry/20-booking planning assumption. A zero denominator is N/A.</x:v>
      </x:c>
      <x:c r="P20" s="26" t="str">
        <x:v>PDF §9</x:v>
      </x:c>
      <x:c r="Q20" s="2" t="n">
        <x:f>IF(ISNUMBER(H20),1,0)</x:f>
        <x:v>0</x:v>
      </x:c>
    </x:row>
    <x:row r="21" ht="46" customHeight="1">
      <x:c r="A21" s="17" t="n">
        <x:v>46317</x:v>
      </x:c>
      <x:c r="B21" s="2" t="str">
        <x:v>Existing-account referral asks</x:v>
      </x:c>
      <x:c r="C21" s="2" t="n">
        <x:v>0</x:v>
      </x:c>
      <x:c r="D21" s="2" t="str">
        <x:v>Cumulative total</x:v>
      </x:c>
      <x:c r="E21" s="20"/>
      <x:c r="F21" s="20"/>
      <x:c r="G21" s="20"/>
      <x:c r="H21" s="2" t="str">
        <x:f>IF(D21="Rate",IF(COUNT(F21:G21)&lt;2,"",IF(G21=0,"n.a.",F21/G21)),IF(COUNT(E21)=0,"",E21))</x:f>
      </x:c>
      <x:c r="I21" s="2" t="str">
        <x:f>IF(AND(ISNUMBER(H21),ISNUMBER(C21)),H21-C21,"")</x:f>
      </x:c>
      <x:c r="J21" s="2" t="str">
        <x:v>accounts asked</x:v>
      </x:c>
      <x:c r="K21" s="2" t="str">
        <x:v>Maseeha</x:v>
      </x:c>
      <x:c r="L21" s="28" t="str"/>
      <x:c r="M21" s="20"/>
      <x:c r="N21" s="21"/>
      <x:c r="O21" s="26" t="str">
        <x:v>Ask 25 unique A/B accounts (5 A and 20 B) by November 13; proposed pace 35 total by November 20; complete the remaining C accounts to reach 41 total by November 25. One introduction is the ask; asks and received intros are separate counts.</x:v>
      </x:c>
      <x:c r="P21" s="26" t="str">
        <x:v>PDF §16 supplies 25 A/B byNov 14 and 16 C byNov 25; Friday deadline and 35-byNov 20 pace are proposed scheduling allocations.</x:v>
      </x:c>
      <x:c r="Q21" s="2" t="n">
        <x:f>IF(ISNUMBER(H21),1,0)</x:f>
        <x:v>0</x:v>
      </x:c>
    </x:row>
    <x:row r="22" ht="46" customHeight="1">
      <x:c r="A22" s="17" t="n">
        <x:v>46317</x:v>
      </x:c>
      <x:c r="B22" s="2" t="str">
        <x:v>Approved SOPs</x:v>
      </x:c>
      <x:c r="C22" s="2"/>
      <x:c r="D22" s="2" t="str">
        <x:v>Cumulative total</x:v>
      </x:c>
      <x:c r="E22" s="20"/>
      <x:c r="F22" s="20"/>
      <x:c r="G22" s="20"/>
      <x:c r="H22" s="2" t="str">
        <x:f>IF(D22="Rate",IF(COUNT(F22:G22)&lt;2,"",IF(G22=0,"n.a.",F22/G22)),IF(COUNT(E22)=0,"",E22))</x:f>
      </x:c>
      <x:c r="I22" s="2" t="str">
        <x:f>IF(AND(ISNUMBER(H22),ISNUMBER(C22)),H22-C22,"")</x:f>
      </x:c>
      <x:c r="J22" s="2" t="str">
        <x:v>SOPs</x:v>
      </x:c>
      <x:c r="K22" s="2" t="str">
        <x:v>Wyline</x:v>
      </x:c>
      <x:c r="L22" s="28" t="str"/>
      <x:c r="M22" s="20"/>
      <x:c r="N22" s="21"/>
      <x:c r="O22" s="26" t="str">
        <x:v>10 core SOPs plus ADS-01 and SOC-01 additions; approved version and independent-run evidence required.</x:v>
      </x:c>
      <x:c r="P22" s="26" t="str">
        <x:v>PDF §8 with §§17 b–d additions</x:v>
      </x:c>
      <x:c r="Q22" s="2" t="n">
        <x:f>IF(ISNUMBER(H22),1,0)</x:f>
        <x:v>0</x:v>
      </x:c>
    </x:row>
    <x:row r="23" ht="46" customHeight="1">
      <x:c r="A23" s="17" t="n">
        <x:v>46317</x:v>
      </x:c>
      <x:c r="B23" s="2" t="str">
        <x:v>Accepted AI agents</x:v>
      </x:c>
      <x:c r="C23" s="2"/>
      <x:c r="D23" s="2" t="str">
        <x:v>Cumulative total</x:v>
      </x:c>
      <x:c r="E23" s="20"/>
      <x:c r="F23" s="20"/>
      <x:c r="G23" s="20"/>
      <x:c r="H23" s="2" t="str">
        <x:f>IF(D23="Rate",IF(COUNT(F23:G23)&lt;2,"",IF(G23=0,"n.a.",F23/G23)),IF(COUNT(E23)=0,"",E23))</x:f>
      </x:c>
      <x:c r="I23" s="2" t="str">
        <x:f>IF(AND(ISNUMBER(H23),ISNUMBER(C23)),H23-C23,"")</x:f>
      </x:c>
      <x:c r="J23" s="2" t="str">
        <x:v>agents</x:v>
      </x:c>
      <x:c r="K23" s="2" t="str">
        <x:v>Emman</x:v>
      </x:c>
      <x:c r="L23" s="28" t="str"/>
      <x:c r="M23" s="20"/>
      <x:c r="N23" s="21"/>
      <x:c r="O23" s="26" t="str">
        <x:v>Scout, Writer, Inbox, Phone Assist, LinkedIn Assist, Follow-up, Scoreboard and Client Reporter; acceptance evidence required.</x:v>
      </x:c>
      <x:c r="P23" s="26" t="str">
        <x:v>PDF §7</x:v>
      </x:c>
      <x:c r="Q23" s="2" t="n">
        <x:f>IF(ISNUMBER(H23),1,0)</x:f>
        <x:v>0</x:v>
      </x:c>
    </x:row>
    <x:row r="24" ht="46" customHeight="1">
      <x:c r="A24" s="17" t="n">
        <x:v>46318</x:v>
      </x:c>
      <x:c r="B24" s="2" t="str">
        <x:v>Qualified inquiries</x:v>
      </x:c>
      <x:c r="C24" s="2" t="n">
        <x:v>0</x:v>
      </x:c>
      <x:c r="D24" s="2" t="str">
        <x:v>Cumulative total</x:v>
      </x:c>
      <x:c r="E24" s="20"/>
      <x:c r="F24" s="20"/>
      <x:c r="G24" s="20"/>
      <x:c r="H24" s="2" t="str">
        <x:f>IF(D24="Rate",IF(COUNT(F24:G24)&lt;2,"",IF(G24=0,"n.a.",F24/G24)),IF(COUNT(E24)=0,"",E24))</x:f>
      </x:c>
      <x:c r="I24" s="2" t="str">
        <x:f>IF(AND(ISNUMBER(H24),ISNUMBER(C24)),H24-C24,"")</x:f>
      </x:c>
      <x:c r="J24" s="2" t="str">
        <x:v>inquiries</x:v>
      </x:c>
      <x:c r="K24" s="2" t="str">
        <x:v>Nova</x:v>
      </x:c>
      <x:c r="L24" s="28" t="str"/>
      <x:c r="M24" s="20"/>
      <x:c r="N24" s="21"/>
      <x:c r="O24" s="26" t="str">
        <x:v>Unique ICP-matched practices that express relevant interest, need or timing; Nova records practice type, decision-maker access, case volume, service need and readiness within 30–60 days. Raw records, opens and connection accepts do not qualify.</x:v>
      </x:c>
      <x:c r="P24" s="26" t="str">
        <x:v>Original proposal pages 2 and 4 define qualification; 40 by Dec 16 and intermediate pace are newly proposed recovery targets.</x:v>
      </x:c>
      <x:c r="Q24" s="2" t="n">
        <x:f>IF(ISNUMBER(H24),1,0)</x:f>
        <x:v>0</x:v>
      </x:c>
    </x:row>
    <x:row r="25" ht="46" customHeight="1">
      <x:c r="A25" s="17" t="n">
        <x:v>46318</x:v>
      </x:c>
      <x:c r="B25" s="2" t="str">
        <x:v>Qualified conversations booked</x:v>
      </x:c>
      <x:c r="C25" s="2" t="n">
        <x:v>0</x:v>
      </x:c>
      <x:c r="D25" s="2" t="str">
        <x:v>Cumulative total</x:v>
      </x:c>
      <x:c r="E25" s="20"/>
      <x:c r="F25" s="20"/>
      <x:c r="G25" s="20"/>
      <x:c r="H25" s="2" t="str">
        <x:f>IF(D25="Rate",IF(COUNT(F25:G25)&lt;2,"",IF(G25=0,"n.a.",F25/G25)),IF(COUNT(E25)=0,"",E25))</x:f>
      </x:c>
      <x:c r="I25" s="2" t="str">
        <x:f>IF(AND(ISNUMBER(H25),ISNUMBER(C25)),H25-C25,"")</x:f>
      </x:c>
      <x:c r="J25" s="2" t="str">
        <x:v>bookings</x:v>
      </x:c>
      <x:c r="K25" s="2" t="str">
        <x:v>Nova</x:v>
      </x:c>
      <x:c r="L25" s="28" t="str"/>
      <x:c r="M25" s="20"/>
      <x:c r="N25" s="21"/>
      <x:c r="O25" s="26" t="str">
        <x:v>Unique qualified calls/visits booked with Nic; rebooking same opportunity is not a new booking.</x:v>
      </x:c>
      <x:c r="P25" s="26" t="str">
        <x:v>PDF §10; final deadline advanced to user Dec 16</x:v>
      </x:c>
      <x:c r="Q25" s="2" t="n">
        <x:f>IF(ISNUMBER(H25),1,0)</x:f>
        <x:v>0</x:v>
      </x:c>
    </x:row>
    <x:row r="26" ht="46" customHeight="1">
      <x:c r="A26" s="17" t="n">
        <x:v>46318</x:v>
      </x:c>
      <x:c r="B26" s="2" t="str">
        <x:v>Qualified conversations held</x:v>
      </x:c>
      <x:c r="C26" s="2" t="n">
        <x:v>0</x:v>
      </x:c>
      <x:c r="D26" s="2" t="str">
        <x:v>Cumulative total</x:v>
      </x:c>
      <x:c r="E26" s="20"/>
      <x:c r="F26" s="20"/>
      <x:c r="G26" s="20"/>
      <x:c r="H26" s="2" t="str">
        <x:f>IF(D26="Rate",IF(COUNT(F26:G26)&lt;2,"",IF(G26=0,"n.a.",F26/G26)),IF(COUNT(E26)=0,"",E26))</x:f>
      </x:c>
      <x:c r="I26" s="2" t="str">
        <x:f>IF(AND(ISNUMBER(H26),ISNUMBER(C26)),H26-C26,"")</x:f>
      </x:c>
      <x:c r="J26" s="2" t="str">
        <x:v>held</x:v>
      </x:c>
      <x:c r="K26" s="2" t="str">
        <x:v>Nova</x:v>
      </x:c>
      <x:c r="L26" s="28" t="str"/>
      <x:c r="M26" s="20"/>
      <x:c r="N26" s="21"/>
      <x:c r="O26" s="26" t="str">
        <x:v>Completed qualified calls/visits; 6 and 15 are integer planning proxies for 70% of 8 and 75% of 20.</x:v>
      </x:c>
      <x:c r="P26" s="26" t="str">
        <x:v>Derived from source held-rate targets</x:v>
      </x:c>
      <x:c r="Q26" s="2" t="n">
        <x:f>IF(ISNUMBER(H26),1,0)</x:f>
        <x:v>0</x:v>
      </x:c>
    </x:row>
    <x:row r="27" ht="46" customHeight="1">
      <x:c r="A27" s="17" t="n">
        <x:v>46318</x:v>
      </x:c>
      <x:c r="B27" s="2" t="str">
        <x:v>Trial cases received by DSI</x:v>
      </x:c>
      <x:c r="C27" s="2" t="n">
        <x:v>0</x:v>
      </x:c>
      <x:c r="D27" s="2" t="str">
        <x:v>Cumulative total</x:v>
      </x:c>
      <x:c r="E27" s="20"/>
      <x:c r="F27" s="20"/>
      <x:c r="G27" s="20"/>
      <x:c r="H27" s="2" t="str">
        <x:f>IF(D27="Rate",IF(COUNT(F27:G27)&lt;2,"",IF(G27=0,"n.a.",F27/G27)),IF(COUNT(E27)=0,"",E27))</x:f>
      </x:c>
      <x:c r="I27" s="2" t="str">
        <x:f>IF(AND(ISNUMBER(H27),ISNUMBER(C27)),H27-C27,"")</x:f>
      </x:c>
      <x:c r="J27" s="2" t="str">
        <x:v>trials</x:v>
      </x:c>
      <x:c r="K27" s="2" t="str">
        <x:v>Maseeha</x:v>
      </x:c>
      <x:c r="L27" s="28" t="str"/>
      <x:c r="M27" s="20"/>
      <x:c r="N27" s="21"/>
      <x:c r="O27" s="26" t="str">
        <x:v>Practice’s first trial case received by DSI, not merely promised or shipped; subject to Maseeha capacity.</x:v>
      </x:c>
      <x:c r="P27" s="26" t="str">
        <x:v>PDF §10; final deadline advanced to user Dec 16</x:v>
      </x:c>
      <x:c r="Q27" s="2" t="n">
        <x:f>IF(ISNUMBER(H27),1,0)</x:f>
        <x:v>0</x:v>
      </x:c>
    </x:row>
    <x:row r="28" ht="46" customHeight="1">
      <x:c r="A28" s="17" t="n">
        <x:v>46318</x:v>
      </x:c>
      <x:c r="B28" s="2" t="str">
        <x:v>Recurring accounts signed</x:v>
      </x:c>
      <x:c r="C28" s="2"/>
      <x:c r="D28" s="2" t="str">
        <x:v>Cumulative total</x:v>
      </x:c>
      <x:c r="E28" s="20"/>
      <x:c r="F28" s="20"/>
      <x:c r="G28" s="20"/>
      <x:c r="H28" s="2" t="str">
        <x:f>IF(D28="Rate",IF(COUNT(F28:G28)&lt;2,"",IF(G28=0,"n.a.",F28/G28)),IF(COUNT(E28)=0,"",E28))</x:f>
      </x:c>
      <x:c r="I28" s="2" t="str">
        <x:f>IF(AND(ISNUMBER(H28),ISNUMBER(C28)),H28-C28,"")</x:f>
      </x:c>
      <x:c r="J28" s="2" t="str">
        <x:v>accounts</x:v>
      </x:c>
      <x:c r="K28" s="2" t="str">
        <x:v>Nic</x:v>
      </x:c>
      <x:c r="L28" s="28" t="str"/>
      <x:c r="M28" s="20"/>
      <x:c r="N28" s="21"/>
      <x:c r="O28" s="26" t="str">
        <x:v>Plan signed following Day-30 review; only mature trial cohorts eligible. 1–3 is a conditional range.</x:v>
      </x:c>
      <x:c r="P28" s="26" t="str">
        <x:v>PDF §10</x:v>
      </x:c>
      <x:c r="Q28" s="2" t="n">
        <x:f>IF(ISNUMBER(H28),1,0)</x:f>
        <x:v>0</x:v>
      </x:c>
    </x:row>
    <x:row r="29" ht="46" customHeight="1">
      <x:c r="A29" s="17" t="n">
        <x:v>46318</x:v>
      </x:c>
      <x:c r="B29" s="2" t="str">
        <x:v>Referral-sourced bookings</x:v>
      </x:c>
      <x:c r="C29" s="2" t="n">
        <x:v>0</x:v>
      </x:c>
      <x:c r="D29" s="2" t="str">
        <x:v>Cumulative total</x:v>
      </x:c>
      <x:c r="E29" s="20"/>
      <x:c r="F29" s="20"/>
      <x:c r="G29" s="20"/>
      <x:c r="H29" s="2" t="str">
        <x:f>IF(D29="Rate",IF(COUNT(F29:G29)&lt;2,"",IF(G29=0,"n.a.",F29/G29)),IF(COUNT(E29)=0,"",E29))</x:f>
      </x:c>
      <x:c r="I29" s="2" t="str">
        <x:f>IF(AND(ISNUMBER(H29),ISNUMBER(C29)),H29-C29,"")</x:f>
      </x:c>
      <x:c r="J29" s="2" t="str">
        <x:v>bookings</x:v>
      </x:c>
      <x:c r="K29" s="2" t="str">
        <x:v>Nova</x:v>
      </x:c>
      <x:c r="L29" s="28" t="str"/>
      <x:c r="M29" s="20"/>
      <x:c r="N29" s="21"/>
      <x:c r="O29" s="26" t="str">
        <x:v>Subset of booked total with primary Source=Referral; never added on top of all-channel bookings.</x:v>
      </x:c>
      <x:c r="P29" s="26" t="str">
        <x:v>PDF §§10, 16</x:v>
      </x:c>
      <x:c r="Q29" s="2" t="n">
        <x:f>IF(ISNUMBER(H29),1,0)</x:f>
        <x:v>0</x:v>
      </x:c>
    </x:row>
    <x:row r="30" ht="46" customHeight="1">
      <x:c r="A30" s="17" t="n">
        <x:v>46318</x:v>
      </x:c>
      <x:c r="B30" s="2" t="str">
        <x:v>LinkedIn DM-sourced bookings</x:v>
      </x:c>
      <x:c r="C30" s="2" t="n">
        <x:v>0</x:v>
      </x:c>
      <x:c r="D30" s="2" t="str">
        <x:v>Cumulative total</x:v>
      </x:c>
      <x:c r="E30" s="20"/>
      <x:c r="F30" s="20"/>
      <x:c r="G30" s="20"/>
      <x:c r="H30" s="2" t="str">
        <x:f>IF(D30="Rate",IF(COUNT(F30:G30)&lt;2,"",IF(G30=0,"n.a.",F30/G30)),IF(COUNT(E30)=0,"",E30))</x:f>
      </x:c>
      <x:c r="I30" s="2" t="str">
        <x:f>IF(AND(ISNUMBER(H30),ISNUMBER(C30)),H30-C30,"")</x:f>
      </x:c>
      <x:c r="J30" s="2" t="str">
        <x:v>bookings</x:v>
      </x:c>
      <x:c r="K30" s="2" t="str">
        <x:v>Dexter</x:v>
      </x:c>
      <x:c r="L30" s="28" t="str"/>
      <x:c r="M30" s="20"/>
      <x:c r="N30" s="21"/>
      <x:c r="O30" s="26" t="str">
        <x:v>Subset of booked total with primary Source=LinkedIn DM; assists tracked separately.</x:v>
      </x:c>
      <x:c r="P30" s="26" t="str">
        <x:v>PDF §§10, 17 a</x:v>
      </x:c>
      <x:c r="Q30" s="2" t="n">
        <x:f>IF(ISNUMBER(H30),1,0)</x:f>
        <x:v>0</x:v>
      </x:c>
    </x:row>
    <x:row r="31" ht="46" customHeight="1">
      <x:c r="A31" s="17" t="n">
        <x:v>46318</x:v>
      </x:c>
      <x:c r="B31" s="2" t="str">
        <x:v>Verified contacts ready</x:v>
      </x:c>
      <x:c r="C31" s="2" t="n">
        <x:v>0</x:v>
      </x:c>
      <x:c r="D31" s="2" t="str">
        <x:v>Cumulative total</x:v>
      </x:c>
      <x:c r="E31" s="20"/>
      <x:c r="F31" s="20"/>
      <x:c r="G31" s="20"/>
      <x:c r="H31" s="2" t="str">
        <x:f>IF(D31="Rate",IF(COUNT(F31:G31)&lt;2,"",IF(G31=0,"n.a.",F31/G31)),IF(COUNT(E31)=0,"",E31))</x:f>
      </x:c>
      <x:c r="I31" s="2" t="str">
        <x:f>IF(AND(ISNUMBER(H31),ISNUMBER(C31)),H31-C31,"")</x:f>
      </x:c>
      <x:c r="J31" s="2" t="str">
        <x:v>contacts</x:v>
      </x:c>
      <x:c r="K31" s="2" t="str">
        <x:v>Joey</x:v>
      </x:c>
      <x:c r="L31" s="28" t="str"/>
      <x:c r="M31" s="20"/>
      <x:c r="N31" s="21"/>
      <x:c r="O31" s="26" t="str">
        <x:v>Unique contacts passing Scout and loaded in CQL; count once per contact.</x:v>
      </x:c>
      <x:c r="P31" s="26" t="str">
        <x:v>PDF §§10, 14; 750 due Dec 12 moved to Fri Dec 11</x:v>
      </x:c>
      <x:c r="Q31" s="2" t="n">
        <x:f>IF(ISNUMBER(H31),1,0)</x:f>
        <x:v>0</x:v>
      </x:c>
    </x:row>
    <x:row r="32" ht="46" customHeight="1">
      <x:c r="A32" s="17" t="n">
        <x:v>46318</x:v>
      </x:c>
      <x:c r="B32" s="2" t="str">
        <x:v>Permission-based referral introductions</x:v>
      </x:c>
      <x:c r="C32" s="2" t="n">
        <x:v>0</x:v>
      </x:c>
      <x:c r="D32" s="2" t="str">
        <x:v>Cumulative total</x:v>
      </x:c>
      <x:c r="E32" s="20"/>
      <x:c r="F32" s="20"/>
      <x:c r="G32" s="20"/>
      <x:c r="H32" s="2" t="str">
        <x:f>IF(D32="Rate",IF(COUNT(F32:G32)&lt;2,"",IF(G32=0,"n.a.",F32/G32)),IF(COUNT(E32)=0,"",E32))</x:f>
      </x:c>
      <x:c r="I32" s="2" t="str">
        <x:f>IF(AND(ISNUMBER(H32),ISNUMBER(C32)),H32-C32,"")</x:f>
      </x:c>
      <x:c r="J32" s="2" t="str">
        <x:v>introductions</x:v>
      </x:c>
      <x:c r="K32" s="2" t="str">
        <x:v>Maseeha</x:v>
      </x:c>
      <x:c r="L32" s="28" t="str"/>
      <x:c r="M32" s="20"/>
      <x:c r="N32" s="21"/>
      <x:c r="O32" s="26" t="str">
        <x:v>Unique introductions with consent and referrer recorded, verified by Maseeha within 2 business days.</x:v>
      </x:c>
      <x:c r="P32" s="26" t="str">
        <x:v>PDF §§10, 16</x:v>
      </x:c>
      <x:c r="Q32" s="2" t="n">
        <x:f>IF(ISNUMBER(H32),1,0)</x:f>
        <x:v>0</x:v>
      </x:c>
    </x:row>
    <x:row r="33" ht="46" customHeight="1">
      <x:c r="A33" s="17" t="n">
        <x:v>46318</x:v>
      </x:c>
      <x:c r="B33" s="2" t="str">
        <x:v>Human reply rate</x:v>
      </x:c>
      <x:c r="C33" s="40" t="n">
        <x:v>0.02</x:v>
      </x:c>
      <x:c r="D33" s="2" t="str">
        <x:v>Rate</x:v>
      </x:c>
      <x:c r="E33" s="20"/>
      <x:c r="F33" s="20"/>
      <x:c r="G33" s="20"/>
      <x:c r="H33" s="40" t="str">
        <x:f>IF(D33="Rate",IF(COUNT(F33:G33)&lt;2,"",IF(G33=0,"n.a.",F33/G33)),IF(COUNT(E33)=0,"",E33))</x:f>
      </x:c>
      <x:c r="I33" s="40" t="str">
        <x:f>IF(AND(ISNUMBER(H33),ISNUMBER(C33)),H33-C33,"")</x:f>
      </x:c>
      <x:c r="J33" s="2" t="str">
        <x:v>%</x:v>
      </x:c>
      <x:c r="K33" s="2" t="str">
        <x:v>Kenneth</x:v>
      </x:c>
      <x:c r="L33" s="28" t="str"/>
      <x:c r="M33" s="20"/>
      <x:c r="N33" s="21"/>
      <x:c r="O33" s="26" t="str">
        <x:v>Unique emailed contacts that give a qualifying human reply / unique contacts emailed in the same send cohort. Exclude OOO, auto-replies, bounces and unsubscribe-only replies. Deduplicate contacts across sequence steps; zero denominator is N/A.</x:v>
      </x:c>
      <x:c r="P33" s="26" t="str">
        <x:v>PDF §10</x:v>
      </x:c>
      <x:c r="Q33" s="2" t="n">
        <x:f>IF(ISNUMBER(H33),1,0)</x:f>
        <x:v>0</x:v>
      </x:c>
    </x:row>
    <x:row r="34" ht="46" customHeight="1">
      <x:c r="A34" s="17" t="n">
        <x:v>46318</x:v>
      </x:c>
      <x:c r="B34" s="2" t="str">
        <x:v>Positive reply rate</x:v>
      </x:c>
      <x:c r="C34" s="40" t="n">
        <x:v>0.01</x:v>
      </x:c>
      <x:c r="D34" s="2" t="str">
        <x:v>Rate</x:v>
      </x:c>
      <x:c r="E34" s="20"/>
      <x:c r="F34" s="20"/>
      <x:c r="G34" s="20"/>
      <x:c r="H34" s="40" t="str">
        <x:f>IF(D34="Rate",IF(COUNT(F34:G34)&lt;2,"",IF(G34=0,"n.a.",F34/G34)),IF(COUNT(E34)=0,"",E34))</x:f>
      </x:c>
      <x:c r="I34" s="40" t="str">
        <x:f>IF(AND(ISNUMBER(H34),ISNUMBER(C34)),H34-C34,"")</x:f>
      </x:c>
      <x:c r="J34" s="2" t="str">
        <x:v>%</x:v>
      </x:c>
      <x:c r="K34" s="2" t="str">
        <x:v>Kenneth</x:v>
      </x:c>
      <x:c r="L34" s="28" t="str"/>
      <x:c r="M34" s="20"/>
      <x:c r="N34" s="21"/>
      <x:c r="O34" s="26" t="str">
        <x:v>Unique emailed contacts classified interested or relevant question / unique contacts emailed in the same send cohort. Deduplicate across sequence steps; zero denominator is N/A. Keep this email rate separate from all-channel qualified inquiries.</x:v>
      </x:c>
      <x:c r="P34" s="26" t="str">
        <x:v>PDF §10</x:v>
      </x:c>
      <x:c r="Q34" s="2" t="n">
        <x:f>IF(ISNUMBER(H34),1,0)</x:f>
        <x:v>0</x:v>
      </x:c>
    </x:row>
    <x:row r="35" ht="46" customHeight="1">
      <x:c r="A35" s="17" t="n">
        <x:v>46318</x:v>
      </x:c>
      <x:c r="B35" s="2" t="str">
        <x:v>Replies answered within 15 minutes</x:v>
      </x:c>
      <x:c r="C35" s="40" t="n">
        <x:v>1</x:v>
      </x:c>
      <x:c r="D35" s="2" t="str">
        <x:v>Rate</x:v>
      </x:c>
      <x:c r="E35" s="20"/>
      <x:c r="F35" s="20"/>
      <x:c r="G35" s="20"/>
      <x:c r="H35" s="40" t="str">
        <x:f>IF(D35="Rate",IF(COUNT(F35:G35)&lt;2,"",IF(G35=0,"n.a.",F35/G35)),IF(COUNT(E35)=0,"",E35))</x:f>
      </x:c>
      <x:c r="I35" s="40" t="str">
        <x:f>IF(AND(ISNUMBER(H35),ISNUMBER(C35)),H35-C35,"")</x:f>
      </x:c>
      <x:c r="J35" s="2" t="str">
        <x:v>%</x:v>
      </x:c>
      <x:c r="K35" s="2" t="str">
        <x:v>Nova</x:v>
      </x:c>
      <x:c r="L35" s="28" t="str"/>
      <x:c r="M35" s="20"/>
      <x:c r="N35" s="21"/>
      <x:c r="O35"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5" s="26" t="str">
        <x:v>PDF §9; clock convention clarified for tracker</x:v>
      </x:c>
      <x:c r="Q35" s="2" t="n">
        <x:f>IF(ISNUMBER(H35),1,0)</x:f>
        <x:v>0</x:v>
      </x:c>
    </x:row>
    <x:row r="36" ht="46" customHeight="1">
      <x:c r="A36" s="17" t="n">
        <x:v>46318</x:v>
      </x:c>
      <x:c r="B36" s="2" t="str">
        <x:v>Held rate</x:v>
      </x:c>
      <x:c r="C36" s="40" t="n">
        <x:v>0.7</x:v>
      </x:c>
      <x:c r="D36" s="2" t="str">
        <x:v>Rate</x:v>
      </x:c>
      <x:c r="E36" s="20"/>
      <x:c r="F36" s="20"/>
      <x:c r="G36" s="20"/>
      <x:c r="H36" s="40" t="str">
        <x:f>IF(D36="Rate",IF(COUNT(F36:G36)&lt;2,"",IF(G36=0,"n.a.",F36/G36)),IF(COUNT(E36)=0,"",E36))</x:f>
      </x:c>
      <x:c r="I36" s="40" t="str">
        <x:f>IF(AND(ISNUMBER(H36),ISNUMBER(C36)),H36-C36,"")</x:f>
      </x:c>
      <x:c r="J36" s="2" t="str">
        <x:v>%</x:v>
      </x:c>
      <x:c r="K36" s="2" t="str">
        <x:v>Nova</x:v>
      </x:c>
      <x:c r="L36" s="28" t="str"/>
      <x:c r="M36" s="20"/>
      <x:c r="N36" s="21"/>
      <x:c r="O36" s="26" t="str">
        <x:v>Qualified conversations actually held / unique booked conversations whose scheduled time has passed. Exclude upcoming appointments. Rebooking the same opportunity is not a second booking. A zero denominator is N/A.</x:v>
      </x:c>
      <x:c r="P36" s="26" t="str">
        <x:v>PDF §10; due-cohort denominator clarified</x:v>
      </x:c>
      <x:c r="Q36" s="2" t="n">
        <x:f>IF(ISNUMBER(H36),1,0)</x:f>
        <x:v>0</x:v>
      </x:c>
    </x:row>
    <x:row r="37" ht="46" customHeight="1">
      <x:c r="A37" s="17" t="n">
        <x:v>46318</x:v>
      </x:c>
      <x:c r="B37" s="2" t="str">
        <x:v>Positive-to-booked conversion</x:v>
      </x:c>
      <x:c r="C37" s="40" t="n">
        <x:v>0.5</x:v>
      </x:c>
      <x:c r="D37" s="2" t="str">
        <x:v>Rate</x:v>
      </x:c>
      <x:c r="E37" s="20"/>
      <x:c r="F37" s="20"/>
      <x:c r="G37" s="20"/>
      <x:c r="H37" s="40" t="str">
        <x:f>IF(D37="Rate",IF(COUNT(F37:G37)&lt;2,"",IF(G37=0,"n.a.",F37/G37)),IF(COUNT(E37)=0,"",E37))</x:f>
      </x:c>
      <x:c r="I37" s="40" t="str">
        <x:f>IF(AND(ISNUMBER(H37),ISNUMBER(C37)),H37-C37,"")</x:f>
      </x:c>
      <x:c r="J37" s="2" t="str">
        <x:v>%</x:v>
      </x:c>
      <x:c r="K37" s="2" t="str">
        <x:v>Nova</x:v>
      </x:c>
      <x:c r="L37" s="28" t="str"/>
      <x:c r="M37" s="20"/>
      <x:c r="N37" s="21"/>
      <x:c r="O37" s="26" t="str">
        <x:v>Unique email-positive opportunities booked / unique email-positive opportunities in the same reviewed cohort. Use a documented follow-up window. This differs from the all-channel 40-inquiry/20-booking planning assumption. A zero denominator is N/A.</x:v>
      </x:c>
      <x:c r="P37" s="26" t="str">
        <x:v>PDF §9</x:v>
      </x:c>
      <x:c r="Q37" s="2" t="n">
        <x:f>IF(ISNUMBER(H37),1,0)</x:f>
        <x:v>0</x:v>
      </x:c>
    </x:row>
    <x:row r="38" ht="46" customHeight="1">
      <x:c r="A38" s="17" t="n">
        <x:v>46318</x:v>
      </x:c>
      <x:c r="B38" s="2" t="str">
        <x:v>Existing-account referral asks</x:v>
      </x:c>
      <x:c r="C38" s="2" t="n">
        <x:v>0</x:v>
      </x:c>
      <x:c r="D38" s="2" t="str">
        <x:v>Cumulative total</x:v>
      </x:c>
      <x:c r="E38" s="20"/>
      <x:c r="F38" s="20"/>
      <x:c r="G38" s="20"/>
      <x:c r="H38" s="2" t="str">
        <x:f>IF(D38="Rate",IF(COUNT(F38:G38)&lt;2,"",IF(G38=0,"n.a.",F38/G38)),IF(COUNT(E38)=0,"",E38))</x:f>
      </x:c>
      <x:c r="I38" s="2" t="str">
        <x:f>IF(AND(ISNUMBER(H38),ISNUMBER(C38)),H38-C38,"")</x:f>
      </x:c>
      <x:c r="J38" s="2" t="str">
        <x:v>accounts asked</x:v>
      </x:c>
      <x:c r="K38" s="2" t="str">
        <x:v>Maseeha</x:v>
      </x:c>
      <x:c r="L38" s="28" t="str"/>
      <x:c r="M38" s="20"/>
      <x:c r="N38" s="21"/>
      <x:c r="O38" s="26" t="str">
        <x:v>Ask 25 unique A/B accounts (5 A and 20 B) by November 13; proposed pace 35 total by November 20; complete the remaining C accounts to reach 41 total by November 25. One introduction is the ask; asks and received intros are separate counts.</x:v>
      </x:c>
      <x:c r="P38" s="26" t="str">
        <x:v>PDF §16 supplies 25 A/B byNov 14 and 16 C byNov 25; Friday deadline and 35-byNov 20 pace are proposed scheduling allocations.</x:v>
      </x:c>
      <x:c r="Q38" s="2" t="n">
        <x:f>IF(ISNUMBER(H38),1,0)</x:f>
        <x:v>0</x:v>
      </x:c>
    </x:row>
    <x:row r="39" ht="46" customHeight="1">
      <x:c r="A39" s="17" t="n">
        <x:v>46318</x:v>
      </x:c>
      <x:c r="B39" s="2" t="str">
        <x:v>Approved SOPs</x:v>
      </x:c>
      <x:c r="C39" s="2"/>
      <x:c r="D39" s="2" t="str">
        <x:v>Cumulative total</x:v>
      </x:c>
      <x:c r="E39" s="20"/>
      <x:c r="F39" s="20"/>
      <x:c r="G39" s="20"/>
      <x:c r="H39" s="2" t="str">
        <x:f>IF(D39="Rate",IF(COUNT(F39:G39)&lt;2,"",IF(G39=0,"n.a.",F39/G39)),IF(COUNT(E39)=0,"",E39))</x:f>
      </x:c>
      <x:c r="I39" s="2" t="str">
        <x:f>IF(AND(ISNUMBER(H39),ISNUMBER(C39)),H39-C39,"")</x:f>
      </x:c>
      <x:c r="J39" s="2" t="str">
        <x:v>SOPs</x:v>
      </x:c>
      <x:c r="K39" s="2" t="str">
        <x:v>Wyline</x:v>
      </x:c>
      <x:c r="L39" s="28" t="str"/>
      <x:c r="M39" s="20"/>
      <x:c r="N39" s="21"/>
      <x:c r="O39" s="26" t="str">
        <x:v>10 core SOPs plus ADS-01 and SOC-01 additions; approved version and independent-run evidence required.</x:v>
      </x:c>
      <x:c r="P39" s="26" t="str">
        <x:v>PDF §8 with §§17 b–d additions</x:v>
      </x:c>
      <x:c r="Q39" s="2" t="n">
        <x:f>IF(ISNUMBER(H39),1,0)</x:f>
        <x:v>0</x:v>
      </x:c>
    </x:row>
    <x:row r="40" ht="46" customHeight="1">
      <x:c r="A40" s="17" t="n">
        <x:v>46318</x:v>
      </x:c>
      <x:c r="B40" s="2" t="str">
        <x:v>Accepted AI agents</x:v>
      </x:c>
      <x:c r="C40" s="2"/>
      <x:c r="D40" s="2" t="str">
        <x:v>Cumulative total</x:v>
      </x:c>
      <x:c r="E40" s="20"/>
      <x:c r="F40" s="20"/>
      <x:c r="G40" s="20"/>
      <x:c r="H40" s="2" t="str">
        <x:f>IF(D40="Rate",IF(COUNT(F40:G40)&lt;2,"",IF(G40=0,"n.a.",F40/G40)),IF(COUNT(E40)=0,"",E40))</x:f>
      </x:c>
      <x:c r="I40" s="2" t="str">
        <x:f>IF(AND(ISNUMBER(H40),ISNUMBER(C40)),H40-C40,"")</x:f>
      </x:c>
      <x:c r="J40" s="2" t="str">
        <x:v>agents</x:v>
      </x:c>
      <x:c r="K40" s="2" t="str">
        <x:v>Emman</x:v>
      </x:c>
      <x:c r="L40" s="28" t="str"/>
      <x:c r="M40" s="20"/>
      <x:c r="N40" s="21"/>
      <x:c r="O40" s="26" t="str">
        <x:v>Scout, Writer, Inbox, Phone Assist, LinkedIn Assist, Follow-up, Scoreboard and Client Reporter; acceptance evidence required.</x:v>
      </x:c>
      <x:c r="P40" s="26" t="str">
        <x:v>PDF §7</x:v>
      </x:c>
      <x:c r="Q40" s="2" t="n">
        <x:f>IF(ISNUMBER(H40),1,0)</x:f>
        <x:v>0</x:v>
      </x:c>
    </x:row>
    <x:row r="41" ht="46" customHeight="1">
      <x:c r="A41" s="17" t="n">
        <x:v>46319</x:v>
      </x:c>
      <x:c r="B41" s="2" t="str">
        <x:v>Qualified inquiries</x:v>
      </x:c>
      <x:c r="C41" s="2" t="n">
        <x:v>0</x:v>
      </x:c>
      <x:c r="D41" s="2" t="str">
        <x:v>Cumulative total</x:v>
      </x:c>
      <x:c r="E41" s="20"/>
      <x:c r="F41" s="20"/>
      <x:c r="G41" s="20"/>
      <x:c r="H41" s="2" t="str">
        <x:f>IF(D41="Rate",IF(COUNT(F41:G41)&lt;2,"",IF(G41=0,"n.a.",F41/G41)),IF(COUNT(E41)=0,"",E41))</x:f>
      </x:c>
      <x:c r="I41" s="2" t="str">
        <x:f>IF(AND(ISNUMBER(H41),ISNUMBER(C41)),H41-C41,"")</x:f>
      </x:c>
      <x:c r="J41" s="2" t="str">
        <x:v>inquiries</x:v>
      </x:c>
      <x:c r="K41" s="2" t="str">
        <x:v>Nova</x:v>
      </x:c>
      <x:c r="L41" s="28" t="str"/>
      <x:c r="M41" s="20"/>
      <x:c r="N41" s="21"/>
      <x:c r="O41" s="26" t="str">
        <x:v>Unique ICP-matched practices that express relevant interest, need or timing; Nova records practice type, decision-maker access, case volume, service need and readiness within 30–60 days. Raw records, opens and connection accepts do not qualify.</x:v>
      </x:c>
      <x:c r="P41" s="26" t="str">
        <x:v>Original proposal pages 2 and 4 define qualification; 40 by Dec 16 and intermediate pace are newly proposed recovery targets.</x:v>
      </x:c>
      <x:c r="Q41" s="2" t="n">
        <x:f>IF(ISNUMBER(H41),1,0)</x:f>
        <x:v>0</x:v>
      </x:c>
    </x:row>
    <x:row r="42" ht="46" customHeight="1">
      <x:c r="A42" s="17" t="n">
        <x:v>46319</x:v>
      </x:c>
      <x:c r="B42" s="2" t="str">
        <x:v>Qualified conversations booked</x:v>
      </x:c>
      <x:c r="C42" s="2" t="n">
        <x:v>0</x:v>
      </x:c>
      <x:c r="D42" s="2" t="str">
        <x:v>Cumulative total</x:v>
      </x:c>
      <x:c r="E42" s="20"/>
      <x:c r="F42" s="20"/>
      <x:c r="G42" s="20"/>
      <x:c r="H42" s="2" t="str">
        <x:f>IF(D42="Rate",IF(COUNT(F42:G42)&lt;2,"",IF(G42=0,"n.a.",F42/G42)),IF(COUNT(E42)=0,"",E42))</x:f>
      </x:c>
      <x:c r="I42" s="2" t="str">
        <x:f>IF(AND(ISNUMBER(H42),ISNUMBER(C42)),H42-C42,"")</x:f>
      </x:c>
      <x:c r="J42" s="2" t="str">
        <x:v>bookings</x:v>
      </x:c>
      <x:c r="K42" s="2" t="str">
        <x:v>Nova</x:v>
      </x:c>
      <x:c r="L42" s="28" t="str"/>
      <x:c r="M42" s="20"/>
      <x:c r="N42" s="21"/>
      <x:c r="O42" s="26" t="str">
        <x:v>Unique qualified calls/visits booked with Nic; rebooking same opportunity is not a new booking.</x:v>
      </x:c>
      <x:c r="P42" s="26" t="str">
        <x:v>PDF §10; final deadline advanced to user Dec 16</x:v>
      </x:c>
      <x:c r="Q42" s="2" t="n">
        <x:f>IF(ISNUMBER(H42),1,0)</x:f>
        <x:v>0</x:v>
      </x:c>
    </x:row>
    <x:row r="43" ht="46" customHeight="1">
      <x:c r="A43" s="17" t="n">
        <x:v>46319</x:v>
      </x:c>
      <x:c r="B43" s="2" t="str">
        <x:v>Qualified conversations held</x:v>
      </x:c>
      <x:c r="C43" s="2" t="n">
        <x:v>0</x:v>
      </x:c>
      <x:c r="D43" s="2" t="str">
        <x:v>Cumulative total</x:v>
      </x:c>
      <x:c r="E43" s="20"/>
      <x:c r="F43" s="20"/>
      <x:c r="G43" s="20"/>
      <x:c r="H43" s="2" t="str">
        <x:f>IF(D43="Rate",IF(COUNT(F43:G43)&lt;2,"",IF(G43=0,"n.a.",F43/G43)),IF(COUNT(E43)=0,"",E43))</x:f>
      </x:c>
      <x:c r="I43" s="2" t="str">
        <x:f>IF(AND(ISNUMBER(H43),ISNUMBER(C43)),H43-C43,"")</x:f>
      </x:c>
      <x:c r="J43" s="2" t="str">
        <x:v>held</x:v>
      </x:c>
      <x:c r="K43" s="2" t="str">
        <x:v>Nova</x:v>
      </x:c>
      <x:c r="L43" s="28" t="str"/>
      <x:c r="M43" s="20"/>
      <x:c r="N43" s="21"/>
      <x:c r="O43" s="26" t="str">
        <x:v>Completed qualified calls/visits; 6 and 15 are integer planning proxies for 70% of 8 and 75% of 20.</x:v>
      </x:c>
      <x:c r="P43" s="26" t="str">
        <x:v>Derived from source held-rate targets</x:v>
      </x:c>
      <x:c r="Q43" s="2" t="n">
        <x:f>IF(ISNUMBER(H43),1,0)</x:f>
        <x:v>0</x:v>
      </x:c>
    </x:row>
    <x:row r="44" ht="46" customHeight="1">
      <x:c r="A44" s="17" t="n">
        <x:v>46319</x:v>
      </x:c>
      <x:c r="B44" s="2" t="str">
        <x:v>Trial cases received by DSI</x:v>
      </x:c>
      <x:c r="C44" s="2" t="n">
        <x:v>0</x:v>
      </x:c>
      <x:c r="D44" s="2" t="str">
        <x:v>Cumulative total</x:v>
      </x:c>
      <x:c r="E44" s="20"/>
      <x:c r="F44" s="20"/>
      <x:c r="G44" s="20"/>
      <x:c r="H44" s="2" t="str">
        <x:f>IF(D44="Rate",IF(COUNT(F44:G44)&lt;2,"",IF(G44=0,"n.a.",F44/G44)),IF(COUNT(E44)=0,"",E44))</x:f>
      </x:c>
      <x:c r="I44" s="2" t="str">
        <x:f>IF(AND(ISNUMBER(H44),ISNUMBER(C44)),H44-C44,"")</x:f>
      </x:c>
      <x:c r="J44" s="2" t="str">
        <x:v>trials</x:v>
      </x:c>
      <x:c r="K44" s="2" t="str">
        <x:v>Maseeha</x:v>
      </x:c>
      <x:c r="L44" s="28" t="str"/>
      <x:c r="M44" s="20"/>
      <x:c r="N44" s="21"/>
      <x:c r="O44" s="26" t="str">
        <x:v>Practice’s first trial case received by DSI, not merely promised or shipped; subject to Maseeha capacity.</x:v>
      </x:c>
      <x:c r="P44" s="26" t="str">
        <x:v>PDF §10; final deadline advanced to user Dec 16</x:v>
      </x:c>
      <x:c r="Q44" s="2" t="n">
        <x:f>IF(ISNUMBER(H44),1,0)</x:f>
        <x:v>0</x:v>
      </x:c>
    </x:row>
    <x:row r="45" ht="46" customHeight="1">
      <x:c r="A45" s="17" t="n">
        <x:v>46319</x:v>
      </x:c>
      <x:c r="B45" s="2" t="str">
        <x:v>Recurring accounts signed</x:v>
      </x:c>
      <x:c r="C45" s="2"/>
      <x:c r="D45" s="2" t="str">
        <x:v>Cumulative total</x:v>
      </x:c>
      <x:c r="E45" s="20"/>
      <x:c r="F45" s="20"/>
      <x:c r="G45" s="20"/>
      <x:c r="H45" s="2" t="str">
        <x:f>IF(D45="Rate",IF(COUNT(F45:G45)&lt;2,"",IF(G45=0,"n.a.",F45/G45)),IF(COUNT(E45)=0,"",E45))</x:f>
      </x:c>
      <x:c r="I45" s="2" t="str">
        <x:f>IF(AND(ISNUMBER(H45),ISNUMBER(C45)),H45-C45,"")</x:f>
      </x:c>
      <x:c r="J45" s="2" t="str">
        <x:v>accounts</x:v>
      </x:c>
      <x:c r="K45" s="2" t="str">
        <x:v>Nic</x:v>
      </x:c>
      <x:c r="L45" s="28" t="str"/>
      <x:c r="M45" s="20"/>
      <x:c r="N45" s="21"/>
      <x:c r="O45" s="26" t="str">
        <x:v>Plan signed following Day-30 review; only mature trial cohorts eligible. 1–3 is a conditional range.</x:v>
      </x:c>
      <x:c r="P45" s="26" t="str">
        <x:v>PDF §10</x:v>
      </x:c>
      <x:c r="Q45" s="2" t="n">
        <x:f>IF(ISNUMBER(H45),1,0)</x:f>
        <x:v>0</x:v>
      </x:c>
    </x:row>
    <x:row r="46" ht="46" customHeight="1">
      <x:c r="A46" s="17" t="n">
        <x:v>46319</x:v>
      </x:c>
      <x:c r="B46" s="2" t="str">
        <x:v>Referral-sourced bookings</x:v>
      </x:c>
      <x:c r="C46" s="2" t="n">
        <x:v>0</x:v>
      </x:c>
      <x:c r="D46" s="2" t="str">
        <x:v>Cumulative total</x:v>
      </x:c>
      <x:c r="E46" s="20"/>
      <x:c r="F46" s="20"/>
      <x:c r="G46" s="20"/>
      <x:c r="H46" s="2" t="str">
        <x:f>IF(D46="Rate",IF(COUNT(F46:G46)&lt;2,"",IF(G46=0,"n.a.",F46/G46)),IF(COUNT(E46)=0,"",E46))</x:f>
      </x:c>
      <x:c r="I46" s="2" t="str">
        <x:f>IF(AND(ISNUMBER(H46),ISNUMBER(C46)),H46-C46,"")</x:f>
      </x:c>
      <x:c r="J46" s="2" t="str">
        <x:v>bookings</x:v>
      </x:c>
      <x:c r="K46" s="2" t="str">
        <x:v>Nova</x:v>
      </x:c>
      <x:c r="L46" s="28" t="str"/>
      <x:c r="M46" s="20"/>
      <x:c r="N46" s="21"/>
      <x:c r="O46" s="26" t="str">
        <x:v>Subset of booked total with primary Source=Referral; never added on top of all-channel bookings.</x:v>
      </x:c>
      <x:c r="P46" s="26" t="str">
        <x:v>PDF §§10, 16</x:v>
      </x:c>
      <x:c r="Q46" s="2" t="n">
        <x:f>IF(ISNUMBER(H46),1,0)</x:f>
        <x:v>0</x:v>
      </x:c>
    </x:row>
    <x:row r="47" ht="46" customHeight="1">
      <x:c r="A47" s="17" t="n">
        <x:v>46319</x:v>
      </x:c>
      <x:c r="B47" s="2" t="str">
        <x:v>LinkedIn DM-sourced bookings</x:v>
      </x:c>
      <x:c r="C47" s="2" t="n">
        <x:v>0</x:v>
      </x:c>
      <x:c r="D47" s="2" t="str">
        <x:v>Cumulative total</x:v>
      </x:c>
      <x:c r="E47" s="20"/>
      <x:c r="F47" s="20"/>
      <x:c r="G47" s="20"/>
      <x:c r="H47" s="2" t="str">
        <x:f>IF(D47="Rate",IF(COUNT(F47:G47)&lt;2,"",IF(G47=0,"n.a.",F47/G47)),IF(COUNT(E47)=0,"",E47))</x:f>
      </x:c>
      <x:c r="I47" s="2" t="str">
        <x:f>IF(AND(ISNUMBER(H47),ISNUMBER(C47)),H47-C47,"")</x:f>
      </x:c>
      <x:c r="J47" s="2" t="str">
        <x:v>bookings</x:v>
      </x:c>
      <x:c r="K47" s="2" t="str">
        <x:v>Dexter</x:v>
      </x:c>
      <x:c r="L47" s="28" t="str"/>
      <x:c r="M47" s="20"/>
      <x:c r="N47" s="21"/>
      <x:c r="O47" s="26" t="str">
        <x:v>Subset of booked total with primary Source=LinkedIn DM; assists tracked separately.</x:v>
      </x:c>
      <x:c r="P47" s="26" t="str">
        <x:v>PDF §§10, 17 a</x:v>
      </x:c>
      <x:c r="Q47" s="2" t="n">
        <x:f>IF(ISNUMBER(H47),1,0)</x:f>
        <x:v>0</x:v>
      </x:c>
    </x:row>
    <x:row r="48" ht="46" customHeight="1">
      <x:c r="A48" s="17" t="n">
        <x:v>46319</x:v>
      </x:c>
      <x:c r="B48" s="2" t="str">
        <x:v>Verified contacts ready</x:v>
      </x:c>
      <x:c r="C48" s="2" t="n">
        <x:v>0</x:v>
      </x:c>
      <x:c r="D48" s="2" t="str">
        <x:v>Cumulative total</x:v>
      </x:c>
      <x:c r="E48" s="20"/>
      <x:c r="F48" s="20"/>
      <x:c r="G48" s="20"/>
      <x:c r="H48" s="2" t="str">
        <x:f>IF(D48="Rate",IF(COUNT(F48:G48)&lt;2,"",IF(G48=0,"n.a.",F48/G48)),IF(COUNT(E48)=0,"",E48))</x:f>
      </x:c>
      <x:c r="I48" s="2" t="str">
        <x:f>IF(AND(ISNUMBER(H48),ISNUMBER(C48)),H48-C48,"")</x:f>
      </x:c>
      <x:c r="J48" s="2" t="str">
        <x:v>contacts</x:v>
      </x:c>
      <x:c r="K48" s="2" t="str">
        <x:v>Joey</x:v>
      </x:c>
      <x:c r="L48" s="28" t="str"/>
      <x:c r="M48" s="20"/>
      <x:c r="N48" s="21"/>
      <x:c r="O48" s="26" t="str">
        <x:v>Unique contacts passing Scout and loaded in CQL; count once per contact.</x:v>
      </x:c>
      <x:c r="P48" s="26" t="str">
        <x:v>PDF §§10, 14; 750 due Dec 12 moved to Fri Dec 11</x:v>
      </x:c>
      <x:c r="Q48" s="2" t="n">
        <x:f>IF(ISNUMBER(H48),1,0)</x:f>
        <x:v>0</x:v>
      </x:c>
    </x:row>
    <x:row r="49" ht="46" customHeight="1">
      <x:c r="A49" s="17" t="n">
        <x:v>46319</x:v>
      </x:c>
      <x:c r="B49" s="2" t="str">
        <x:v>Permission-based referral introductions</x:v>
      </x:c>
      <x:c r="C49" s="2" t="n">
        <x:v>0</x:v>
      </x:c>
      <x:c r="D49" s="2" t="str">
        <x:v>Cumulative total</x:v>
      </x:c>
      <x:c r="E49" s="20"/>
      <x:c r="F49" s="20"/>
      <x:c r="G49" s="20"/>
      <x:c r="H49" s="2" t="str">
        <x:f>IF(D49="Rate",IF(COUNT(F49:G49)&lt;2,"",IF(G49=0,"n.a.",F49/G49)),IF(COUNT(E49)=0,"",E49))</x:f>
      </x:c>
      <x:c r="I49" s="2" t="str">
        <x:f>IF(AND(ISNUMBER(H49),ISNUMBER(C49)),H49-C49,"")</x:f>
      </x:c>
      <x:c r="J49" s="2" t="str">
        <x:v>introductions</x:v>
      </x:c>
      <x:c r="K49" s="2" t="str">
        <x:v>Maseeha</x:v>
      </x:c>
      <x:c r="L49" s="28" t="str"/>
      <x:c r="M49" s="20"/>
      <x:c r="N49" s="21"/>
      <x:c r="O49" s="26" t="str">
        <x:v>Unique introductions with consent and referrer recorded, verified by Maseeha within 2 business days.</x:v>
      </x:c>
      <x:c r="P49" s="26" t="str">
        <x:v>PDF §§10, 16</x:v>
      </x:c>
      <x:c r="Q49" s="2" t="n">
        <x:f>IF(ISNUMBER(H49),1,0)</x:f>
        <x:v>0</x:v>
      </x:c>
    </x:row>
    <x:row r="50" ht="46" customHeight="1">
      <x:c r="A50" s="17" t="n">
        <x:v>46319</x:v>
      </x:c>
      <x:c r="B50" s="2" t="str">
        <x:v>Human reply rate</x:v>
      </x:c>
      <x:c r="C50" s="40" t="n">
        <x:v>0.02</x:v>
      </x:c>
      <x:c r="D50" s="2" t="str">
        <x:v>Rate</x:v>
      </x:c>
      <x:c r="E50" s="20"/>
      <x:c r="F50" s="20"/>
      <x:c r="G50" s="20"/>
      <x:c r="H50" s="40" t="str">
        <x:f>IF(D50="Rate",IF(COUNT(F50:G50)&lt;2,"",IF(G50=0,"n.a.",F50/G50)),IF(COUNT(E50)=0,"",E50))</x:f>
      </x:c>
      <x:c r="I50" s="40" t="str">
        <x:f>IF(AND(ISNUMBER(H50),ISNUMBER(C50)),H50-C50,"")</x:f>
      </x:c>
      <x:c r="J50" s="2" t="str">
        <x:v>%</x:v>
      </x:c>
      <x:c r="K50" s="2" t="str">
        <x:v>Kenneth</x:v>
      </x:c>
      <x:c r="L50" s="28" t="str"/>
      <x:c r="M50" s="20"/>
      <x:c r="N50" s="21"/>
      <x:c r="O50" s="26" t="str">
        <x:v>Unique emailed contacts that give a qualifying human reply / unique contacts emailed in the same send cohort. Exclude OOO, auto-replies, bounces and unsubscribe-only replies. Deduplicate contacts across sequence steps; zero denominator is N/A.</x:v>
      </x:c>
      <x:c r="P50" s="26" t="str">
        <x:v>PDF §10</x:v>
      </x:c>
      <x:c r="Q50" s="2" t="n">
        <x:f>IF(ISNUMBER(H50),1,0)</x:f>
        <x:v>0</x:v>
      </x:c>
    </x:row>
    <x:row r="51" ht="46" customHeight="1">
      <x:c r="A51" s="17" t="n">
        <x:v>46319</x:v>
      </x:c>
      <x:c r="B51" s="2" t="str">
        <x:v>Positive reply rate</x:v>
      </x:c>
      <x:c r="C51" s="40" t="n">
        <x:v>0.01</x:v>
      </x:c>
      <x:c r="D51" s="2" t="str">
        <x:v>Rate</x:v>
      </x:c>
      <x:c r="E51" s="20"/>
      <x:c r="F51" s="20"/>
      <x:c r="G51" s="20"/>
      <x:c r="H51" s="40" t="str">
        <x:f>IF(D51="Rate",IF(COUNT(F51:G51)&lt;2,"",IF(G51=0,"n.a.",F51/G51)),IF(COUNT(E51)=0,"",E51))</x:f>
      </x:c>
      <x:c r="I51" s="40" t="str">
        <x:f>IF(AND(ISNUMBER(H51),ISNUMBER(C51)),H51-C51,"")</x:f>
      </x:c>
      <x:c r="J51" s="2" t="str">
        <x:v>%</x:v>
      </x:c>
      <x:c r="K51" s="2" t="str">
        <x:v>Kenneth</x:v>
      </x:c>
      <x:c r="L51" s="28" t="str"/>
      <x:c r="M51" s="20"/>
      <x:c r="N51" s="21"/>
      <x:c r="O51" s="26" t="str">
        <x:v>Unique emailed contacts classified interested or relevant question / unique contacts emailed in the same send cohort. Deduplicate across sequence steps; zero denominator is N/A. Keep this email rate separate from all-channel qualified inquiries.</x:v>
      </x:c>
      <x:c r="P51" s="26" t="str">
        <x:v>PDF §10</x:v>
      </x:c>
      <x:c r="Q51" s="2" t="n">
        <x:f>IF(ISNUMBER(H51),1,0)</x:f>
        <x:v>0</x:v>
      </x:c>
    </x:row>
    <x:row r="52" ht="46" customHeight="1">
      <x:c r="A52" s="17" t="n">
        <x:v>46319</x:v>
      </x:c>
      <x:c r="B52" s="2" t="str">
        <x:v>Replies answered within 15 minutes</x:v>
      </x:c>
      <x:c r="C52" s="40" t="n">
        <x:v>1</x:v>
      </x:c>
      <x:c r="D52" s="2" t="str">
        <x:v>Rate</x:v>
      </x:c>
      <x:c r="E52" s="20"/>
      <x:c r="F52" s="20"/>
      <x:c r="G52" s="20"/>
      <x:c r="H52" s="40" t="str">
        <x:f>IF(D52="Rate",IF(COUNT(F52:G52)&lt;2,"",IF(G52=0,"n.a.",F52/G52)),IF(COUNT(E52)=0,"",E52))</x:f>
      </x:c>
      <x:c r="I52" s="40" t="str">
        <x:f>IF(AND(ISNUMBER(H52),ISNUMBER(C52)),H52-C52,"")</x:f>
      </x:c>
      <x:c r="J52" s="2" t="str">
        <x:v>%</x:v>
      </x:c>
      <x:c r="K52" s="2" t="str">
        <x:v>Nova</x:v>
      </x:c>
      <x:c r="L52" s="28" t="str"/>
      <x:c r="M52" s="20"/>
      <x:c r="N52" s="21"/>
      <x:c r="O52"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2" s="26" t="str">
        <x:v>PDF §9; clock convention clarified for tracker</x:v>
      </x:c>
      <x:c r="Q52" s="2" t="n">
        <x:f>IF(ISNUMBER(H52),1,0)</x:f>
        <x:v>0</x:v>
      </x:c>
    </x:row>
    <x:row r="53" ht="46" customHeight="1">
      <x:c r="A53" s="17" t="n">
        <x:v>46319</x:v>
      </x:c>
      <x:c r="B53" s="2" t="str">
        <x:v>Held rate</x:v>
      </x:c>
      <x:c r="C53" s="40" t="n">
        <x:v>0.7</x:v>
      </x:c>
      <x:c r="D53" s="2" t="str">
        <x:v>Rate</x:v>
      </x:c>
      <x:c r="E53" s="20"/>
      <x:c r="F53" s="20"/>
      <x:c r="G53" s="20"/>
      <x:c r="H53" s="40" t="str">
        <x:f>IF(D53="Rate",IF(COUNT(F53:G53)&lt;2,"",IF(G53=0,"n.a.",F53/G53)),IF(COUNT(E53)=0,"",E53))</x:f>
      </x:c>
      <x:c r="I53" s="40" t="str">
        <x:f>IF(AND(ISNUMBER(H53),ISNUMBER(C53)),H53-C53,"")</x:f>
      </x:c>
      <x:c r="J53" s="2" t="str">
        <x:v>%</x:v>
      </x:c>
      <x:c r="K53" s="2" t="str">
        <x:v>Nova</x:v>
      </x:c>
      <x:c r="L53" s="28" t="str"/>
      <x:c r="M53" s="20"/>
      <x:c r="N53" s="21"/>
      <x:c r="O53" s="26" t="str">
        <x:v>Qualified conversations actually held / unique booked conversations whose scheduled time has passed. Exclude upcoming appointments. Rebooking the same opportunity is not a second booking. A zero denominator is N/A.</x:v>
      </x:c>
      <x:c r="P53" s="26" t="str">
        <x:v>PDF §10; due-cohort denominator clarified</x:v>
      </x:c>
      <x:c r="Q53" s="2" t="n">
        <x:f>IF(ISNUMBER(H53),1,0)</x:f>
        <x:v>0</x:v>
      </x:c>
    </x:row>
    <x:row r="54" ht="46" customHeight="1">
      <x:c r="A54" s="17" t="n">
        <x:v>46319</x:v>
      </x:c>
      <x:c r="B54" s="2" t="str">
        <x:v>Positive-to-booked conversion</x:v>
      </x:c>
      <x:c r="C54" s="40" t="n">
        <x:v>0.5</x:v>
      </x:c>
      <x:c r="D54" s="2" t="str">
        <x:v>Rate</x:v>
      </x:c>
      <x:c r="E54" s="20"/>
      <x:c r="F54" s="20"/>
      <x:c r="G54" s="20"/>
      <x:c r="H54" s="40" t="str">
        <x:f>IF(D54="Rate",IF(COUNT(F54:G54)&lt;2,"",IF(G54=0,"n.a.",F54/G54)),IF(COUNT(E54)=0,"",E54))</x:f>
      </x:c>
      <x:c r="I54" s="40" t="str">
        <x:f>IF(AND(ISNUMBER(H54),ISNUMBER(C54)),H54-C54,"")</x:f>
      </x:c>
      <x:c r="J54" s="2" t="str">
        <x:v>%</x:v>
      </x:c>
      <x:c r="K54" s="2" t="str">
        <x:v>Nova</x:v>
      </x:c>
      <x:c r="L54" s="28" t="str"/>
      <x:c r="M54" s="20"/>
      <x:c r="N54" s="21"/>
      <x:c r="O54" s="26" t="str">
        <x:v>Unique email-positive opportunities booked / unique email-positive opportunities in the same reviewed cohort. Use a documented follow-up window. This differs from the all-channel 40-inquiry/20-booking planning assumption. A zero denominator is N/A.</x:v>
      </x:c>
      <x:c r="P54" s="26" t="str">
        <x:v>PDF §9</x:v>
      </x:c>
      <x:c r="Q54" s="2" t="n">
        <x:f>IF(ISNUMBER(H54),1,0)</x:f>
        <x:v>0</x:v>
      </x:c>
    </x:row>
    <x:row r="55" ht="46" customHeight="1">
      <x:c r="A55" s="17" t="n">
        <x:v>46319</x:v>
      </x:c>
      <x:c r="B55" s="2" t="str">
        <x:v>Existing-account referral asks</x:v>
      </x:c>
      <x:c r="C55" s="2" t="n">
        <x:v>0</x:v>
      </x:c>
      <x:c r="D55" s="2" t="str">
        <x:v>Cumulative total</x:v>
      </x:c>
      <x:c r="E55" s="20"/>
      <x:c r="F55" s="20"/>
      <x:c r="G55" s="20"/>
      <x:c r="H55" s="2" t="str">
        <x:f>IF(D55="Rate",IF(COUNT(F55:G55)&lt;2,"",IF(G55=0,"n.a.",F55/G55)),IF(COUNT(E55)=0,"",E55))</x:f>
      </x:c>
      <x:c r="I55" s="2" t="str">
        <x:f>IF(AND(ISNUMBER(H55),ISNUMBER(C55)),H55-C55,"")</x:f>
      </x:c>
      <x:c r="J55" s="2" t="str">
        <x:v>accounts asked</x:v>
      </x:c>
      <x:c r="K55" s="2" t="str">
        <x:v>Maseeha</x:v>
      </x:c>
      <x:c r="L55" s="28" t="str"/>
      <x:c r="M55" s="20"/>
      <x:c r="N55" s="21"/>
      <x:c r="O55" s="26" t="str">
        <x:v>Ask 25 unique A/B accounts (5 A and 20 B) by November 13; proposed pace 35 total by November 20; complete the remaining C accounts to reach 41 total by November 25. One introduction is the ask; asks and received intros are separate counts.</x:v>
      </x:c>
      <x:c r="P55" s="26" t="str">
        <x:v>PDF §16 supplies 25 A/B byNov 14 and 16 C byNov 25; Friday deadline and 35-byNov 20 pace are proposed scheduling allocations.</x:v>
      </x:c>
      <x:c r="Q55" s="2" t="n">
        <x:f>IF(ISNUMBER(H55),1,0)</x:f>
        <x:v>0</x:v>
      </x:c>
    </x:row>
    <x:row r="56" ht="46" customHeight="1">
      <x:c r="A56" s="17" t="n">
        <x:v>46319</x:v>
      </x:c>
      <x:c r="B56" s="2" t="str">
        <x:v>Approved SOPs</x:v>
      </x:c>
      <x:c r="C56" s="2"/>
      <x:c r="D56" s="2" t="str">
        <x:v>Cumulative total</x:v>
      </x:c>
      <x:c r="E56" s="20"/>
      <x:c r="F56" s="20"/>
      <x:c r="G56" s="20"/>
      <x:c r="H56" s="2" t="str">
        <x:f>IF(D56="Rate",IF(COUNT(F56:G56)&lt;2,"",IF(G56=0,"n.a.",F56/G56)),IF(COUNT(E56)=0,"",E56))</x:f>
      </x:c>
      <x:c r="I56" s="2" t="str">
        <x:f>IF(AND(ISNUMBER(H56),ISNUMBER(C56)),H56-C56,"")</x:f>
      </x:c>
      <x:c r="J56" s="2" t="str">
        <x:v>SOPs</x:v>
      </x:c>
      <x:c r="K56" s="2" t="str">
        <x:v>Wyline</x:v>
      </x:c>
      <x:c r="L56" s="28" t="str"/>
      <x:c r="M56" s="20"/>
      <x:c r="N56" s="21"/>
      <x:c r="O56" s="26" t="str">
        <x:v>10 core SOPs plus ADS-01 and SOC-01 additions; approved version and independent-run evidence required.</x:v>
      </x:c>
      <x:c r="P56" s="26" t="str">
        <x:v>PDF §8 with §§17 b–d additions</x:v>
      </x:c>
      <x:c r="Q56" s="2" t="n">
        <x:f>IF(ISNUMBER(H56),1,0)</x:f>
        <x:v>0</x:v>
      </x:c>
    </x:row>
    <x:row r="57" ht="46" customHeight="1">
      <x:c r="A57" s="17" t="n">
        <x:v>46319</x:v>
      </x:c>
      <x:c r="B57" s="2" t="str">
        <x:v>Accepted AI agents</x:v>
      </x:c>
      <x:c r="C57" s="2"/>
      <x:c r="D57" s="2" t="str">
        <x:v>Cumulative total</x:v>
      </x:c>
      <x:c r="E57" s="20"/>
      <x:c r="F57" s="20"/>
      <x:c r="G57" s="20"/>
      <x:c r="H57" s="2" t="str">
        <x:f>IF(D57="Rate",IF(COUNT(F57:G57)&lt;2,"",IF(G57=0,"n.a.",F57/G57)),IF(COUNT(E57)=0,"",E57))</x:f>
      </x:c>
      <x:c r="I57" s="2" t="str">
        <x:f>IF(AND(ISNUMBER(H57),ISNUMBER(C57)),H57-C57,"")</x:f>
      </x:c>
      <x:c r="J57" s="2" t="str">
        <x:v>agents</x:v>
      </x:c>
      <x:c r="K57" s="2" t="str">
        <x:v>Emman</x:v>
      </x:c>
      <x:c r="L57" s="28" t="str"/>
      <x:c r="M57" s="20"/>
      <x:c r="N57" s="21"/>
      <x:c r="O57" s="26" t="str">
        <x:v>Scout, Writer, Inbox, Phone Assist, LinkedIn Assist, Follow-up, Scoreboard and Client Reporter; acceptance evidence required.</x:v>
      </x:c>
      <x:c r="P57" s="26" t="str">
        <x:v>PDF §7</x:v>
      </x:c>
      <x:c r="Q57" s="2" t="n">
        <x:f>IF(ISNUMBER(H57),1,0)</x:f>
        <x:v>0</x:v>
      </x:c>
    </x:row>
    <x:row r="58" ht="46" customHeight="1">
      <x:c r="A58" s="17" t="n">
        <x:v>46320</x:v>
      </x:c>
      <x:c r="B58" s="2" t="str">
        <x:v>Qualified inquiries</x:v>
      </x:c>
      <x:c r="C58" s="2" t="n">
        <x:v>0</x:v>
      </x:c>
      <x:c r="D58" s="2" t="str">
        <x:v>Cumulative total</x:v>
      </x:c>
      <x:c r="E58" s="20"/>
      <x:c r="F58" s="20"/>
      <x:c r="G58" s="20"/>
      <x:c r="H58" s="2" t="str">
        <x:f>IF(D58="Rate",IF(COUNT(F58:G58)&lt;2,"",IF(G58=0,"n.a.",F58/G58)),IF(COUNT(E58)=0,"",E58))</x:f>
      </x:c>
      <x:c r="I58" s="2" t="str">
        <x:f>IF(AND(ISNUMBER(H58),ISNUMBER(C58)),H58-C58,"")</x:f>
      </x:c>
      <x:c r="J58" s="2" t="str">
        <x:v>inquiries</x:v>
      </x:c>
      <x:c r="K58" s="2" t="str">
        <x:v>Nova</x:v>
      </x:c>
      <x:c r="L58" s="28" t="str"/>
      <x:c r="M58" s="20"/>
      <x:c r="N58" s="21"/>
      <x:c r="O58" s="26" t="str">
        <x:v>Unique ICP-matched practices that express relevant interest, need or timing; Nova records practice type, decision-maker access, case volume, service need and readiness within 30–60 days. Raw records, opens and connection accepts do not qualify.</x:v>
      </x:c>
      <x:c r="P58" s="26" t="str">
        <x:v>Original proposal pages 2 and 4 define qualification; 40 by Dec 16 and intermediate pace are newly proposed recovery targets.</x:v>
      </x:c>
      <x:c r="Q58" s="2" t="n">
        <x:f>IF(ISNUMBER(H58),1,0)</x:f>
        <x:v>0</x:v>
      </x:c>
    </x:row>
    <x:row r="59" ht="46" customHeight="1">
      <x:c r="A59" s="17" t="n">
        <x:v>46320</x:v>
      </x:c>
      <x:c r="B59" s="2" t="str">
        <x:v>Qualified conversations booked</x:v>
      </x:c>
      <x:c r="C59" s="2" t="n">
        <x:v>0</x:v>
      </x:c>
      <x:c r="D59" s="2" t="str">
        <x:v>Cumulative total</x:v>
      </x:c>
      <x:c r="E59" s="20"/>
      <x:c r="F59" s="20"/>
      <x:c r="G59" s="20"/>
      <x:c r="H59" s="2" t="str">
        <x:f>IF(D59="Rate",IF(COUNT(F59:G59)&lt;2,"",IF(G59=0,"n.a.",F59/G59)),IF(COUNT(E59)=0,"",E59))</x:f>
      </x:c>
      <x:c r="I59" s="2" t="str">
        <x:f>IF(AND(ISNUMBER(H59),ISNUMBER(C59)),H59-C59,"")</x:f>
      </x:c>
      <x:c r="J59" s="2" t="str">
        <x:v>bookings</x:v>
      </x:c>
      <x:c r="K59" s="2" t="str">
        <x:v>Nova</x:v>
      </x:c>
      <x:c r="L59" s="28" t="str"/>
      <x:c r="M59" s="20"/>
      <x:c r="N59" s="21"/>
      <x:c r="O59" s="26" t="str">
        <x:v>Unique qualified calls/visits booked with Nic; rebooking same opportunity is not a new booking.</x:v>
      </x:c>
      <x:c r="P59" s="26" t="str">
        <x:v>PDF §10; final deadline advanced to user Dec 16</x:v>
      </x:c>
      <x:c r="Q59" s="2" t="n">
        <x:f>IF(ISNUMBER(H59),1,0)</x:f>
        <x:v>0</x:v>
      </x:c>
    </x:row>
    <x:row r="60" ht="46" customHeight="1">
      <x:c r="A60" s="17" t="n">
        <x:v>46320</x:v>
      </x:c>
      <x:c r="B60" s="2" t="str">
        <x:v>Qualified conversations held</x:v>
      </x:c>
      <x:c r="C60" s="2" t="n">
        <x:v>0</x:v>
      </x:c>
      <x:c r="D60" s="2" t="str">
        <x:v>Cumulative total</x:v>
      </x:c>
      <x:c r="E60" s="20"/>
      <x:c r="F60" s="20"/>
      <x:c r="G60" s="20"/>
      <x:c r="H60" s="2" t="str">
        <x:f>IF(D60="Rate",IF(COUNT(F60:G60)&lt;2,"",IF(G60=0,"n.a.",F60/G60)),IF(COUNT(E60)=0,"",E60))</x:f>
      </x:c>
      <x:c r="I60" s="2" t="str">
        <x:f>IF(AND(ISNUMBER(H60),ISNUMBER(C60)),H60-C60,"")</x:f>
      </x:c>
      <x:c r="J60" s="2" t="str">
        <x:v>held</x:v>
      </x:c>
      <x:c r="K60" s="2" t="str">
        <x:v>Nova</x:v>
      </x:c>
      <x:c r="L60" s="28" t="str"/>
      <x:c r="M60" s="20"/>
      <x:c r="N60" s="21"/>
      <x:c r="O60" s="26" t="str">
        <x:v>Completed qualified calls/visits; 6 and 15 are integer planning proxies for 70% of 8 and 75% of 20.</x:v>
      </x:c>
      <x:c r="P60" s="26" t="str">
        <x:v>Derived from source held-rate targets</x:v>
      </x:c>
      <x:c r="Q60" s="2" t="n">
        <x:f>IF(ISNUMBER(H60),1,0)</x:f>
        <x:v>0</x:v>
      </x:c>
    </x:row>
    <x:row r="61" ht="46" customHeight="1">
      <x:c r="A61" s="17" t="n">
        <x:v>46320</x:v>
      </x:c>
      <x:c r="B61" s="2" t="str">
        <x:v>Trial cases received by DSI</x:v>
      </x:c>
      <x:c r="C61" s="2" t="n">
        <x:v>0</x:v>
      </x:c>
      <x:c r="D61" s="2" t="str">
        <x:v>Cumulative total</x:v>
      </x:c>
      <x:c r="E61" s="20"/>
      <x:c r="F61" s="20"/>
      <x:c r="G61" s="20"/>
      <x:c r="H61" s="2" t="str">
        <x:f>IF(D61="Rate",IF(COUNT(F61:G61)&lt;2,"",IF(G61=0,"n.a.",F61/G61)),IF(COUNT(E61)=0,"",E61))</x:f>
      </x:c>
      <x:c r="I61" s="2" t="str">
        <x:f>IF(AND(ISNUMBER(H61),ISNUMBER(C61)),H61-C61,"")</x:f>
      </x:c>
      <x:c r="J61" s="2" t="str">
        <x:v>trials</x:v>
      </x:c>
      <x:c r="K61" s="2" t="str">
        <x:v>Maseeha</x:v>
      </x:c>
      <x:c r="L61" s="28" t="str"/>
      <x:c r="M61" s="20"/>
      <x:c r="N61" s="21"/>
      <x:c r="O61" s="26" t="str">
        <x:v>Practice’s first trial case received by DSI, not merely promised or shipped; subject to Maseeha capacity.</x:v>
      </x:c>
      <x:c r="P61" s="26" t="str">
        <x:v>PDF §10; final deadline advanced to user Dec 16</x:v>
      </x:c>
      <x:c r="Q61" s="2" t="n">
        <x:f>IF(ISNUMBER(H61),1,0)</x:f>
        <x:v>0</x:v>
      </x:c>
    </x:row>
    <x:row r="62" ht="46" customHeight="1">
      <x:c r="A62" s="17" t="n">
        <x:v>46320</x:v>
      </x:c>
      <x:c r="B62" s="2" t="str">
        <x:v>Recurring accounts signed</x:v>
      </x:c>
      <x:c r="C62" s="2"/>
      <x:c r="D62" s="2" t="str">
        <x:v>Cumulative total</x:v>
      </x:c>
      <x:c r="E62" s="20"/>
      <x:c r="F62" s="20"/>
      <x:c r="G62" s="20"/>
      <x:c r="H62" s="2" t="str">
        <x:f>IF(D62="Rate",IF(COUNT(F62:G62)&lt;2,"",IF(G62=0,"n.a.",F62/G62)),IF(COUNT(E62)=0,"",E62))</x:f>
      </x:c>
      <x:c r="I62" s="2" t="str">
        <x:f>IF(AND(ISNUMBER(H62),ISNUMBER(C62)),H62-C62,"")</x:f>
      </x:c>
      <x:c r="J62" s="2" t="str">
        <x:v>accounts</x:v>
      </x:c>
      <x:c r="K62" s="2" t="str">
        <x:v>Nic</x:v>
      </x:c>
      <x:c r="L62" s="28" t="str"/>
      <x:c r="M62" s="20"/>
      <x:c r="N62" s="21"/>
      <x:c r="O62" s="26" t="str">
        <x:v>Plan signed following Day-30 review; only mature trial cohorts eligible. 1–3 is a conditional range.</x:v>
      </x:c>
      <x:c r="P62" s="26" t="str">
        <x:v>PDF §10</x:v>
      </x:c>
      <x:c r="Q62" s="2" t="n">
        <x:f>IF(ISNUMBER(H62),1,0)</x:f>
        <x:v>0</x:v>
      </x:c>
    </x:row>
    <x:row r="63" ht="46" customHeight="1">
      <x:c r="A63" s="17" t="n">
        <x:v>46320</x:v>
      </x:c>
      <x:c r="B63" s="2" t="str">
        <x:v>Referral-sourced bookings</x:v>
      </x:c>
      <x:c r="C63" s="2" t="n">
        <x:v>0</x:v>
      </x:c>
      <x:c r="D63" s="2" t="str">
        <x:v>Cumulative total</x:v>
      </x:c>
      <x:c r="E63" s="20"/>
      <x:c r="F63" s="20"/>
      <x:c r="G63" s="20"/>
      <x:c r="H63" s="2" t="str">
        <x:f>IF(D63="Rate",IF(COUNT(F63:G63)&lt;2,"",IF(G63=0,"n.a.",F63/G63)),IF(COUNT(E63)=0,"",E63))</x:f>
      </x:c>
      <x:c r="I63" s="2" t="str">
        <x:f>IF(AND(ISNUMBER(H63),ISNUMBER(C63)),H63-C63,"")</x:f>
      </x:c>
      <x:c r="J63" s="2" t="str">
        <x:v>bookings</x:v>
      </x:c>
      <x:c r="K63" s="2" t="str">
        <x:v>Nova</x:v>
      </x:c>
      <x:c r="L63" s="28" t="str"/>
      <x:c r="M63" s="20"/>
      <x:c r="N63" s="21"/>
      <x:c r="O63" s="26" t="str">
        <x:v>Subset of booked total with primary Source=Referral; never added on top of all-channel bookings.</x:v>
      </x:c>
      <x:c r="P63" s="26" t="str">
        <x:v>PDF §§10, 16</x:v>
      </x:c>
      <x:c r="Q63" s="2" t="n">
        <x:f>IF(ISNUMBER(H63),1,0)</x:f>
        <x:v>0</x:v>
      </x:c>
    </x:row>
    <x:row r="64" ht="46" customHeight="1">
      <x:c r="A64" s="17" t="n">
        <x:v>46320</x:v>
      </x:c>
      <x:c r="B64" s="2" t="str">
        <x:v>LinkedIn DM-sourced bookings</x:v>
      </x:c>
      <x:c r="C64" s="2" t="n">
        <x:v>0</x:v>
      </x:c>
      <x:c r="D64" s="2" t="str">
        <x:v>Cumulative total</x:v>
      </x:c>
      <x:c r="E64" s="20"/>
      <x:c r="F64" s="20"/>
      <x:c r="G64" s="20"/>
      <x:c r="H64" s="2" t="str">
        <x:f>IF(D64="Rate",IF(COUNT(F64:G64)&lt;2,"",IF(G64=0,"n.a.",F64/G64)),IF(COUNT(E64)=0,"",E64))</x:f>
      </x:c>
      <x:c r="I64" s="2" t="str">
        <x:f>IF(AND(ISNUMBER(H64),ISNUMBER(C64)),H64-C64,"")</x:f>
      </x:c>
      <x:c r="J64" s="2" t="str">
        <x:v>bookings</x:v>
      </x:c>
      <x:c r="K64" s="2" t="str">
        <x:v>Dexter</x:v>
      </x:c>
      <x:c r="L64" s="28" t="str"/>
      <x:c r="M64" s="20"/>
      <x:c r="N64" s="21"/>
      <x:c r="O64" s="26" t="str">
        <x:v>Subset of booked total with primary Source=LinkedIn DM; assists tracked separately.</x:v>
      </x:c>
      <x:c r="P64" s="26" t="str">
        <x:v>PDF §§10, 17 a</x:v>
      </x:c>
      <x:c r="Q64" s="2" t="n">
        <x:f>IF(ISNUMBER(H64),1,0)</x:f>
        <x:v>0</x:v>
      </x:c>
    </x:row>
    <x:row r="65" ht="46" customHeight="1">
      <x:c r="A65" s="17" t="n">
        <x:v>46320</x:v>
      </x:c>
      <x:c r="B65" s="2" t="str">
        <x:v>Verified contacts ready</x:v>
      </x:c>
      <x:c r="C65" s="2" t="n">
        <x:v>0</x:v>
      </x:c>
      <x:c r="D65" s="2" t="str">
        <x:v>Cumulative total</x:v>
      </x:c>
      <x:c r="E65" s="20"/>
      <x:c r="F65" s="20"/>
      <x:c r="G65" s="20"/>
      <x:c r="H65" s="2" t="str">
        <x:f>IF(D65="Rate",IF(COUNT(F65:G65)&lt;2,"",IF(G65=0,"n.a.",F65/G65)),IF(COUNT(E65)=0,"",E65))</x:f>
      </x:c>
      <x:c r="I65" s="2" t="str">
        <x:f>IF(AND(ISNUMBER(H65),ISNUMBER(C65)),H65-C65,"")</x:f>
      </x:c>
      <x:c r="J65" s="2" t="str">
        <x:v>contacts</x:v>
      </x:c>
      <x:c r="K65" s="2" t="str">
        <x:v>Joey</x:v>
      </x:c>
      <x:c r="L65" s="28" t="str"/>
      <x:c r="M65" s="20"/>
      <x:c r="N65" s="21"/>
      <x:c r="O65" s="26" t="str">
        <x:v>Unique contacts passing Scout and loaded in CQL; count once per contact.</x:v>
      </x:c>
      <x:c r="P65" s="26" t="str">
        <x:v>PDF §§10, 14; 750 due Dec 12 moved to Fri Dec 11</x:v>
      </x:c>
      <x:c r="Q65" s="2" t="n">
        <x:f>IF(ISNUMBER(H65),1,0)</x:f>
        <x:v>0</x:v>
      </x:c>
    </x:row>
    <x:row r="66" ht="46" customHeight="1">
      <x:c r="A66" s="17" t="n">
        <x:v>46320</x:v>
      </x:c>
      <x:c r="B66" s="2" t="str">
        <x:v>Permission-based referral introductions</x:v>
      </x:c>
      <x:c r="C66" s="2" t="n">
        <x:v>0</x:v>
      </x:c>
      <x:c r="D66" s="2" t="str">
        <x:v>Cumulative total</x:v>
      </x:c>
      <x:c r="E66" s="20"/>
      <x:c r="F66" s="20"/>
      <x:c r="G66" s="20"/>
      <x:c r="H66" s="2" t="str">
        <x:f>IF(D66="Rate",IF(COUNT(F66:G66)&lt;2,"",IF(G66=0,"n.a.",F66/G66)),IF(COUNT(E66)=0,"",E66))</x:f>
      </x:c>
      <x:c r="I66" s="2" t="str">
        <x:f>IF(AND(ISNUMBER(H66),ISNUMBER(C66)),H66-C66,"")</x:f>
      </x:c>
      <x:c r="J66" s="2" t="str">
        <x:v>introductions</x:v>
      </x:c>
      <x:c r="K66" s="2" t="str">
        <x:v>Maseeha</x:v>
      </x:c>
      <x:c r="L66" s="28" t="str"/>
      <x:c r="M66" s="20"/>
      <x:c r="N66" s="21"/>
      <x:c r="O66" s="26" t="str">
        <x:v>Unique introductions with consent and referrer recorded, verified by Maseeha within 2 business days.</x:v>
      </x:c>
      <x:c r="P66" s="26" t="str">
        <x:v>PDF §§10, 16</x:v>
      </x:c>
      <x:c r="Q66" s="2" t="n">
        <x:f>IF(ISNUMBER(H66),1,0)</x:f>
        <x:v>0</x:v>
      </x:c>
    </x:row>
    <x:row r="67" ht="46" customHeight="1">
      <x:c r="A67" s="17" t="n">
        <x:v>46320</x:v>
      </x:c>
      <x:c r="B67" s="2" t="str">
        <x:v>Human reply rate</x:v>
      </x:c>
      <x:c r="C67" s="40" t="n">
        <x:v>0.02</x:v>
      </x:c>
      <x:c r="D67" s="2" t="str">
        <x:v>Rate</x:v>
      </x:c>
      <x:c r="E67" s="20"/>
      <x:c r="F67" s="20"/>
      <x:c r="G67" s="20"/>
      <x:c r="H67" s="40" t="str">
        <x:f>IF(D67="Rate",IF(COUNT(F67:G67)&lt;2,"",IF(G67=0,"n.a.",F67/G67)),IF(COUNT(E67)=0,"",E67))</x:f>
      </x:c>
      <x:c r="I67" s="40" t="str">
        <x:f>IF(AND(ISNUMBER(H67),ISNUMBER(C67)),H67-C67,"")</x:f>
      </x:c>
      <x:c r="J67" s="2" t="str">
        <x:v>%</x:v>
      </x:c>
      <x:c r="K67" s="2" t="str">
        <x:v>Kenneth</x:v>
      </x:c>
      <x:c r="L67" s="28" t="str"/>
      <x:c r="M67" s="20"/>
      <x:c r="N67" s="21"/>
      <x:c r="O67" s="26" t="str">
        <x:v>Unique emailed contacts that give a qualifying human reply / unique contacts emailed in the same send cohort. Exclude OOO, auto-replies, bounces and unsubscribe-only replies. Deduplicate contacts across sequence steps; zero denominator is N/A.</x:v>
      </x:c>
      <x:c r="P67" s="26" t="str">
        <x:v>PDF §10</x:v>
      </x:c>
      <x:c r="Q67" s="2" t="n">
        <x:f>IF(ISNUMBER(H67),1,0)</x:f>
        <x:v>0</x:v>
      </x:c>
    </x:row>
    <x:row r="68" ht="46" customHeight="1">
      <x:c r="A68" s="17" t="n">
        <x:v>46320</x:v>
      </x:c>
      <x:c r="B68" s="2" t="str">
        <x:v>Positive reply rate</x:v>
      </x:c>
      <x:c r="C68" s="40" t="n">
        <x:v>0.01</x:v>
      </x:c>
      <x:c r="D68" s="2" t="str">
        <x:v>Rate</x:v>
      </x:c>
      <x:c r="E68" s="20"/>
      <x:c r="F68" s="20"/>
      <x:c r="G68" s="20"/>
      <x:c r="H68" s="40" t="str">
        <x:f>IF(D68="Rate",IF(COUNT(F68:G68)&lt;2,"",IF(G68=0,"n.a.",F68/G68)),IF(COUNT(E68)=0,"",E68))</x:f>
      </x:c>
      <x:c r="I68" s="40" t="str">
        <x:f>IF(AND(ISNUMBER(H68),ISNUMBER(C68)),H68-C68,"")</x:f>
      </x:c>
      <x:c r="J68" s="2" t="str">
        <x:v>%</x:v>
      </x:c>
      <x:c r="K68" s="2" t="str">
        <x:v>Kenneth</x:v>
      </x:c>
      <x:c r="L68" s="28" t="str"/>
      <x:c r="M68" s="20"/>
      <x:c r="N68" s="21"/>
      <x:c r="O68" s="26" t="str">
        <x:v>Unique emailed contacts classified interested or relevant question / unique contacts emailed in the same send cohort. Deduplicate across sequence steps; zero denominator is N/A. Keep this email rate separate from all-channel qualified inquiries.</x:v>
      </x:c>
      <x:c r="P68" s="26" t="str">
        <x:v>PDF §10</x:v>
      </x:c>
      <x:c r="Q68" s="2" t="n">
        <x:f>IF(ISNUMBER(H68),1,0)</x:f>
        <x:v>0</x:v>
      </x:c>
    </x:row>
    <x:row r="69" ht="46" customHeight="1">
      <x:c r="A69" s="17" t="n">
        <x:v>46320</x:v>
      </x:c>
      <x:c r="B69" s="2" t="str">
        <x:v>Replies answered within 15 minutes</x:v>
      </x:c>
      <x:c r="C69" s="40" t="n">
        <x:v>1</x:v>
      </x:c>
      <x:c r="D69" s="2" t="str">
        <x:v>Rate</x:v>
      </x:c>
      <x:c r="E69" s="20"/>
      <x:c r="F69" s="20"/>
      <x:c r="G69" s="20"/>
      <x:c r="H69" s="40" t="str">
        <x:f>IF(D69="Rate",IF(COUNT(F69:G69)&lt;2,"",IF(G69=0,"n.a.",F69/G69)),IF(COUNT(E69)=0,"",E69))</x:f>
      </x:c>
      <x:c r="I69" s="40" t="str">
        <x:f>IF(AND(ISNUMBER(H69),ISNUMBER(C69)),H69-C69,"")</x:f>
      </x:c>
      <x:c r="J69" s="2" t="str">
        <x:v>%</x:v>
      </x:c>
      <x:c r="K69" s="2" t="str">
        <x:v>Nova</x:v>
      </x:c>
      <x:c r="L69" s="28" t="str"/>
      <x:c r="M69" s="20"/>
      <x:c r="N69" s="21"/>
      <x:c r="O69"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9" s="26" t="str">
        <x:v>PDF §9; clock convention clarified for tracker</x:v>
      </x:c>
      <x:c r="Q69" s="2" t="n">
        <x:f>IF(ISNUMBER(H69),1,0)</x:f>
        <x:v>0</x:v>
      </x:c>
    </x:row>
    <x:row r="70" ht="46" customHeight="1">
      <x:c r="A70" s="17" t="n">
        <x:v>46320</x:v>
      </x:c>
      <x:c r="B70" s="2" t="str">
        <x:v>Held rate</x:v>
      </x:c>
      <x:c r="C70" s="40" t="n">
        <x:v>0.7</x:v>
      </x:c>
      <x:c r="D70" s="2" t="str">
        <x:v>Rate</x:v>
      </x:c>
      <x:c r="E70" s="20"/>
      <x:c r="F70" s="20"/>
      <x:c r="G70" s="20"/>
      <x:c r="H70" s="40" t="str">
        <x:f>IF(D70="Rate",IF(COUNT(F70:G70)&lt;2,"",IF(G70=0,"n.a.",F70/G70)),IF(COUNT(E70)=0,"",E70))</x:f>
      </x:c>
      <x:c r="I70" s="40" t="str">
        <x:f>IF(AND(ISNUMBER(H70),ISNUMBER(C70)),H70-C70,"")</x:f>
      </x:c>
      <x:c r="J70" s="2" t="str">
        <x:v>%</x:v>
      </x:c>
      <x:c r="K70" s="2" t="str">
        <x:v>Nova</x:v>
      </x:c>
      <x:c r="L70" s="28" t="str"/>
      <x:c r="M70" s="20"/>
      <x:c r="N70" s="21"/>
      <x:c r="O70" s="26" t="str">
        <x:v>Qualified conversations actually held / unique booked conversations whose scheduled time has passed. Exclude upcoming appointments. Rebooking the same opportunity is not a second booking. A zero denominator is N/A.</x:v>
      </x:c>
      <x:c r="P70" s="26" t="str">
        <x:v>PDF §10; due-cohort denominator clarified</x:v>
      </x:c>
      <x:c r="Q70" s="2" t="n">
        <x:f>IF(ISNUMBER(H70),1,0)</x:f>
        <x:v>0</x:v>
      </x:c>
    </x:row>
    <x:row r="71" ht="46" customHeight="1">
      <x:c r="A71" s="17" t="n">
        <x:v>46320</x:v>
      </x:c>
      <x:c r="B71" s="2" t="str">
        <x:v>Positive-to-booked conversion</x:v>
      </x:c>
      <x:c r="C71" s="40" t="n">
        <x:v>0.5</x:v>
      </x:c>
      <x:c r="D71" s="2" t="str">
        <x:v>Rate</x:v>
      </x:c>
      <x:c r="E71" s="20"/>
      <x:c r="F71" s="20"/>
      <x:c r="G71" s="20"/>
      <x:c r="H71" s="40" t="str">
        <x:f>IF(D71="Rate",IF(COUNT(F71:G71)&lt;2,"",IF(G71=0,"n.a.",F71/G71)),IF(COUNT(E71)=0,"",E71))</x:f>
      </x:c>
      <x:c r="I71" s="40" t="str">
        <x:f>IF(AND(ISNUMBER(H71),ISNUMBER(C71)),H71-C71,"")</x:f>
      </x:c>
      <x:c r="J71" s="2" t="str">
        <x:v>%</x:v>
      </x:c>
      <x:c r="K71" s="2" t="str">
        <x:v>Nova</x:v>
      </x:c>
      <x:c r="L71" s="28" t="str"/>
      <x:c r="M71" s="20"/>
      <x:c r="N71" s="21"/>
      <x:c r="O71" s="26" t="str">
        <x:v>Unique email-positive opportunities booked / unique email-positive opportunities in the same reviewed cohort. Use a documented follow-up window. This differs from the all-channel 40-inquiry/20-booking planning assumption. A zero denominator is N/A.</x:v>
      </x:c>
      <x:c r="P71" s="26" t="str">
        <x:v>PDF §9</x:v>
      </x:c>
      <x:c r="Q71" s="2" t="n">
        <x:f>IF(ISNUMBER(H71),1,0)</x:f>
        <x:v>0</x:v>
      </x:c>
    </x:row>
    <x:row r="72" ht="46" customHeight="1">
      <x:c r="A72" s="17" t="n">
        <x:v>46320</x:v>
      </x:c>
      <x:c r="B72" s="2" t="str">
        <x:v>Existing-account referral asks</x:v>
      </x:c>
      <x:c r="C72" s="2" t="n">
        <x:v>0</x:v>
      </x:c>
      <x:c r="D72" s="2" t="str">
        <x:v>Cumulative total</x:v>
      </x:c>
      <x:c r="E72" s="20"/>
      <x:c r="F72" s="20"/>
      <x:c r="G72" s="20"/>
      <x:c r="H72" s="2" t="str">
        <x:f>IF(D72="Rate",IF(COUNT(F72:G72)&lt;2,"",IF(G72=0,"n.a.",F72/G72)),IF(COUNT(E72)=0,"",E72))</x:f>
      </x:c>
      <x:c r="I72" s="2" t="str">
        <x:f>IF(AND(ISNUMBER(H72),ISNUMBER(C72)),H72-C72,"")</x:f>
      </x:c>
      <x:c r="J72" s="2" t="str">
        <x:v>accounts asked</x:v>
      </x:c>
      <x:c r="K72" s="2" t="str">
        <x:v>Maseeha</x:v>
      </x:c>
      <x:c r="L72" s="28" t="str"/>
      <x:c r="M72" s="20"/>
      <x:c r="N72" s="21"/>
      <x:c r="O72" s="26" t="str">
        <x:v>Ask 25 unique A/B accounts (5 A and 20 B) by November 13; proposed pace 35 total by November 20; complete the remaining C accounts to reach 41 total by November 25. One introduction is the ask; asks and received intros are separate counts.</x:v>
      </x:c>
      <x:c r="P72" s="26" t="str">
        <x:v>PDF §16 supplies 25 A/B byNov 14 and 16 C byNov 25; Friday deadline and 35-byNov 20 pace are proposed scheduling allocations.</x:v>
      </x:c>
      <x:c r="Q72" s="2" t="n">
        <x:f>IF(ISNUMBER(H72),1,0)</x:f>
        <x:v>0</x:v>
      </x:c>
    </x:row>
    <x:row r="73" ht="46" customHeight="1">
      <x:c r="A73" s="17" t="n">
        <x:v>46320</x:v>
      </x:c>
      <x:c r="B73" s="2" t="str">
        <x:v>Approved SOPs</x:v>
      </x:c>
      <x:c r="C73" s="2"/>
      <x:c r="D73" s="2" t="str">
        <x:v>Cumulative total</x:v>
      </x:c>
      <x:c r="E73" s="20"/>
      <x:c r="F73" s="20"/>
      <x:c r="G73" s="20"/>
      <x:c r="H73" s="2" t="str">
        <x:f>IF(D73="Rate",IF(COUNT(F73:G73)&lt;2,"",IF(G73=0,"n.a.",F73/G73)),IF(COUNT(E73)=0,"",E73))</x:f>
      </x:c>
      <x:c r="I73" s="2" t="str">
        <x:f>IF(AND(ISNUMBER(H73),ISNUMBER(C73)),H73-C73,"")</x:f>
      </x:c>
      <x:c r="J73" s="2" t="str">
        <x:v>SOPs</x:v>
      </x:c>
      <x:c r="K73" s="2" t="str">
        <x:v>Wyline</x:v>
      </x:c>
      <x:c r="L73" s="28" t="str"/>
      <x:c r="M73" s="20"/>
      <x:c r="N73" s="21"/>
      <x:c r="O73" s="26" t="str">
        <x:v>10 core SOPs plus ADS-01 and SOC-01 additions; approved version and independent-run evidence required.</x:v>
      </x:c>
      <x:c r="P73" s="26" t="str">
        <x:v>PDF §8 with §§17 b–d additions</x:v>
      </x:c>
      <x:c r="Q73" s="2" t="n">
        <x:f>IF(ISNUMBER(H73),1,0)</x:f>
        <x:v>0</x:v>
      </x:c>
    </x:row>
    <x:row r="74" ht="46" customHeight="1">
      <x:c r="A74" s="17" t="n">
        <x:v>46320</x:v>
      </x:c>
      <x:c r="B74" s="2" t="str">
        <x:v>Accepted AI agents</x:v>
      </x:c>
      <x:c r="C74" s="2"/>
      <x:c r="D74" s="2" t="str">
        <x:v>Cumulative total</x:v>
      </x:c>
      <x:c r="E74" s="20"/>
      <x:c r="F74" s="20"/>
      <x:c r="G74" s="20"/>
      <x:c r="H74" s="2" t="str">
        <x:f>IF(D74="Rate",IF(COUNT(F74:G74)&lt;2,"",IF(G74=0,"n.a.",F74/G74)),IF(COUNT(E74)=0,"",E74))</x:f>
      </x:c>
      <x:c r="I74" s="2" t="str">
        <x:f>IF(AND(ISNUMBER(H74),ISNUMBER(C74)),H74-C74,"")</x:f>
      </x:c>
      <x:c r="J74" s="2" t="str">
        <x:v>agents</x:v>
      </x:c>
      <x:c r="K74" s="2" t="str">
        <x:v>Emman</x:v>
      </x:c>
      <x:c r="L74" s="28" t="str"/>
      <x:c r="M74" s="20"/>
      <x:c r="N74" s="21"/>
      <x:c r="O74" s="26" t="str">
        <x:v>Scout, Writer, Inbox, Phone Assist, LinkedIn Assist, Follow-up, Scoreboard and Client Reporter; acceptance evidence required.</x:v>
      </x:c>
      <x:c r="P74" s="26" t="str">
        <x:v>PDF §7</x:v>
      </x:c>
      <x:c r="Q74" s="2" t="n">
        <x:f>IF(ISNUMBER(H74),1,0)</x:f>
        <x:v>0</x:v>
      </x:c>
    </x:row>
    <x:row r="75" ht="46" customHeight="1">
      <x:c r="A75" s="17" t="n">
        <x:v>46321</x:v>
      </x:c>
      <x:c r="B75" s="2" t="str">
        <x:v>Qualified inquiries</x:v>
      </x:c>
      <x:c r="C75" s="2" t="n">
        <x:v>0</x:v>
      </x:c>
      <x:c r="D75" s="2" t="str">
        <x:v>Cumulative total</x:v>
      </x:c>
      <x:c r="E75" s="20"/>
      <x:c r="F75" s="20"/>
      <x:c r="G75" s="20"/>
      <x:c r="H75" s="2" t="str">
        <x:f>IF(D75="Rate",IF(COUNT(F75:G75)&lt;2,"",IF(G75=0,"n.a.",F75/G75)),IF(COUNT(E75)=0,"",E75))</x:f>
      </x:c>
      <x:c r="I75" s="2" t="str">
        <x:f>IF(AND(ISNUMBER(H75),ISNUMBER(C75)),H75-C75,"")</x:f>
      </x:c>
      <x:c r="J75" s="2" t="str">
        <x:v>inquiries</x:v>
      </x:c>
      <x:c r="K75" s="2" t="str">
        <x:v>Nova</x:v>
      </x:c>
      <x:c r="L75" s="28" t="str"/>
      <x:c r="M75" s="20"/>
      <x:c r="N75" s="21"/>
      <x:c r="O75" s="26" t="str">
        <x:v>Unique ICP-matched practices that express relevant interest, need or timing; Nova records practice type, decision-maker access, case volume, service need and readiness within 30–60 days. Raw records, opens and connection accepts do not qualify.</x:v>
      </x:c>
      <x:c r="P75" s="26" t="str">
        <x:v>Original proposal pages 2 and 4 define qualification; 40 by Dec 16 and intermediate pace are newly proposed recovery targets.</x:v>
      </x:c>
      <x:c r="Q75" s="2" t="n">
        <x:f>IF(ISNUMBER(H75),1,0)</x:f>
        <x:v>0</x:v>
      </x:c>
    </x:row>
    <x:row r="76" ht="46" customHeight="1">
      <x:c r="A76" s="17" t="n">
        <x:v>46321</x:v>
      </x:c>
      <x:c r="B76" s="2" t="str">
        <x:v>Qualified conversations booked</x:v>
      </x:c>
      <x:c r="C76" s="2" t="n">
        <x:v>0</x:v>
      </x:c>
      <x:c r="D76" s="2" t="str">
        <x:v>Cumulative total</x:v>
      </x:c>
      <x:c r="E76" s="20"/>
      <x:c r="F76" s="20"/>
      <x:c r="G76" s="20"/>
      <x:c r="H76" s="2" t="str">
        <x:f>IF(D76="Rate",IF(COUNT(F76:G76)&lt;2,"",IF(G76=0,"n.a.",F76/G76)),IF(COUNT(E76)=0,"",E76))</x:f>
      </x:c>
      <x:c r="I76" s="2" t="str">
        <x:f>IF(AND(ISNUMBER(H76),ISNUMBER(C76)),H76-C76,"")</x:f>
      </x:c>
      <x:c r="J76" s="2" t="str">
        <x:v>bookings</x:v>
      </x:c>
      <x:c r="K76" s="2" t="str">
        <x:v>Nova</x:v>
      </x:c>
      <x:c r="L76" s="28" t="str"/>
      <x:c r="M76" s="20"/>
      <x:c r="N76" s="21"/>
      <x:c r="O76" s="26" t="str">
        <x:v>Unique qualified calls/visits booked with Nic; rebooking same opportunity is not a new booking.</x:v>
      </x:c>
      <x:c r="P76" s="26" t="str">
        <x:v>PDF §10; final deadline advanced to user Dec 16</x:v>
      </x:c>
      <x:c r="Q76" s="2" t="n">
        <x:f>IF(ISNUMBER(H76),1,0)</x:f>
        <x:v>0</x:v>
      </x:c>
    </x:row>
    <x:row r="77" ht="46" customHeight="1">
      <x:c r="A77" s="17" t="n">
        <x:v>46321</x:v>
      </x:c>
      <x:c r="B77" s="2" t="str">
        <x:v>Qualified conversations held</x:v>
      </x:c>
      <x:c r="C77" s="2" t="n">
        <x:v>0</x:v>
      </x:c>
      <x:c r="D77" s="2" t="str">
        <x:v>Cumulative total</x:v>
      </x:c>
      <x:c r="E77" s="20"/>
      <x:c r="F77" s="20"/>
      <x:c r="G77" s="20"/>
      <x:c r="H77" s="2" t="str">
        <x:f>IF(D77="Rate",IF(COUNT(F77:G77)&lt;2,"",IF(G77=0,"n.a.",F77/G77)),IF(COUNT(E77)=0,"",E77))</x:f>
      </x:c>
      <x:c r="I77" s="2" t="str">
        <x:f>IF(AND(ISNUMBER(H77),ISNUMBER(C77)),H77-C77,"")</x:f>
      </x:c>
      <x:c r="J77" s="2" t="str">
        <x:v>held</x:v>
      </x:c>
      <x:c r="K77" s="2" t="str">
        <x:v>Nova</x:v>
      </x:c>
      <x:c r="L77" s="28" t="str"/>
      <x:c r="M77" s="20"/>
      <x:c r="N77" s="21"/>
      <x:c r="O77" s="26" t="str">
        <x:v>Completed qualified calls/visits; 6 and 15 are integer planning proxies for 70% of 8 and 75% of 20.</x:v>
      </x:c>
      <x:c r="P77" s="26" t="str">
        <x:v>Derived from source held-rate targets</x:v>
      </x:c>
      <x:c r="Q77" s="2" t="n">
        <x:f>IF(ISNUMBER(H77),1,0)</x:f>
        <x:v>0</x:v>
      </x:c>
    </x:row>
    <x:row r="78" ht="46" customHeight="1">
      <x:c r="A78" s="17" t="n">
        <x:v>46321</x:v>
      </x:c>
      <x:c r="B78" s="2" t="str">
        <x:v>Trial cases received by DSI</x:v>
      </x:c>
      <x:c r="C78" s="2" t="n">
        <x:v>0</x:v>
      </x:c>
      <x:c r="D78" s="2" t="str">
        <x:v>Cumulative total</x:v>
      </x:c>
      <x:c r="E78" s="20"/>
      <x:c r="F78" s="20"/>
      <x:c r="G78" s="20"/>
      <x:c r="H78" s="2" t="str">
        <x:f>IF(D78="Rate",IF(COUNT(F78:G78)&lt;2,"",IF(G78=0,"n.a.",F78/G78)),IF(COUNT(E78)=0,"",E78))</x:f>
      </x:c>
      <x:c r="I78" s="2" t="str">
        <x:f>IF(AND(ISNUMBER(H78),ISNUMBER(C78)),H78-C78,"")</x:f>
      </x:c>
      <x:c r="J78" s="2" t="str">
        <x:v>trials</x:v>
      </x:c>
      <x:c r="K78" s="2" t="str">
        <x:v>Maseeha</x:v>
      </x:c>
      <x:c r="L78" s="28" t="str"/>
      <x:c r="M78" s="20"/>
      <x:c r="N78" s="21"/>
      <x:c r="O78" s="26" t="str">
        <x:v>Practice’s first trial case received by DSI, not merely promised or shipped; subject to Maseeha capacity.</x:v>
      </x:c>
      <x:c r="P78" s="26" t="str">
        <x:v>PDF §10; final deadline advanced to user Dec 16</x:v>
      </x:c>
      <x:c r="Q78" s="2" t="n">
        <x:f>IF(ISNUMBER(H78),1,0)</x:f>
        <x:v>0</x:v>
      </x:c>
    </x:row>
    <x:row r="79" ht="46" customHeight="1">
      <x:c r="A79" s="17" t="n">
        <x:v>46321</x:v>
      </x:c>
      <x:c r="B79" s="2" t="str">
        <x:v>Recurring accounts signed</x:v>
      </x:c>
      <x:c r="C79" s="2"/>
      <x:c r="D79" s="2" t="str">
        <x:v>Cumulative total</x:v>
      </x:c>
      <x:c r="E79" s="20"/>
      <x:c r="F79" s="20"/>
      <x:c r="G79" s="20"/>
      <x:c r="H79" s="2" t="str">
        <x:f>IF(D79="Rate",IF(COUNT(F79:G79)&lt;2,"",IF(G79=0,"n.a.",F79/G79)),IF(COUNT(E79)=0,"",E79))</x:f>
      </x:c>
      <x:c r="I79" s="2" t="str">
        <x:f>IF(AND(ISNUMBER(H79),ISNUMBER(C79)),H79-C79,"")</x:f>
      </x:c>
      <x:c r="J79" s="2" t="str">
        <x:v>accounts</x:v>
      </x:c>
      <x:c r="K79" s="2" t="str">
        <x:v>Nic</x:v>
      </x:c>
      <x:c r="L79" s="28" t="str"/>
      <x:c r="M79" s="20"/>
      <x:c r="N79" s="21"/>
      <x:c r="O79" s="26" t="str">
        <x:v>Plan signed following Day-30 review; only mature trial cohorts eligible. 1–3 is a conditional range.</x:v>
      </x:c>
      <x:c r="P79" s="26" t="str">
        <x:v>PDF §10</x:v>
      </x:c>
      <x:c r="Q79" s="2" t="n">
        <x:f>IF(ISNUMBER(H79),1,0)</x:f>
        <x:v>0</x:v>
      </x:c>
    </x:row>
    <x:row r="80" ht="46" customHeight="1">
      <x:c r="A80" s="17" t="n">
        <x:v>46321</x:v>
      </x:c>
      <x:c r="B80" s="2" t="str">
        <x:v>Referral-sourced bookings</x:v>
      </x:c>
      <x:c r="C80" s="2" t="n">
        <x:v>0</x:v>
      </x:c>
      <x:c r="D80" s="2" t="str">
        <x:v>Cumulative total</x:v>
      </x:c>
      <x:c r="E80" s="20"/>
      <x:c r="F80" s="20"/>
      <x:c r="G80" s="20"/>
      <x:c r="H80" s="2" t="str">
        <x:f>IF(D80="Rate",IF(COUNT(F80:G80)&lt;2,"",IF(G80=0,"n.a.",F80/G80)),IF(COUNT(E80)=0,"",E80))</x:f>
      </x:c>
      <x:c r="I80" s="2" t="str">
        <x:f>IF(AND(ISNUMBER(H80),ISNUMBER(C80)),H80-C80,"")</x:f>
      </x:c>
      <x:c r="J80" s="2" t="str">
        <x:v>bookings</x:v>
      </x:c>
      <x:c r="K80" s="2" t="str">
        <x:v>Nova</x:v>
      </x:c>
      <x:c r="L80" s="28" t="str"/>
      <x:c r="M80" s="20"/>
      <x:c r="N80" s="21"/>
      <x:c r="O80" s="26" t="str">
        <x:v>Subset of booked total with primary Source=Referral; never added on top of all-channel bookings.</x:v>
      </x:c>
      <x:c r="P80" s="26" t="str">
        <x:v>PDF §§10, 16</x:v>
      </x:c>
      <x:c r="Q80" s="2" t="n">
        <x:f>IF(ISNUMBER(H80),1,0)</x:f>
        <x:v>0</x:v>
      </x:c>
    </x:row>
    <x:row r="81" ht="46" customHeight="1">
      <x:c r="A81" s="17" t="n">
        <x:v>46321</x:v>
      </x:c>
      <x:c r="B81" s="2" t="str">
        <x:v>LinkedIn DM-sourced bookings</x:v>
      </x:c>
      <x:c r="C81" s="2" t="n">
        <x:v>0</x:v>
      </x:c>
      <x:c r="D81" s="2" t="str">
        <x:v>Cumulative total</x:v>
      </x:c>
      <x:c r="E81" s="20"/>
      <x:c r="F81" s="20"/>
      <x:c r="G81" s="20"/>
      <x:c r="H81" s="2" t="str">
        <x:f>IF(D81="Rate",IF(COUNT(F81:G81)&lt;2,"",IF(G81=0,"n.a.",F81/G81)),IF(COUNT(E81)=0,"",E81))</x:f>
      </x:c>
      <x:c r="I81" s="2" t="str">
        <x:f>IF(AND(ISNUMBER(H81),ISNUMBER(C81)),H81-C81,"")</x:f>
      </x:c>
      <x:c r="J81" s="2" t="str">
        <x:v>bookings</x:v>
      </x:c>
      <x:c r="K81" s="2" t="str">
        <x:v>Dexter</x:v>
      </x:c>
      <x:c r="L81" s="28" t="str"/>
      <x:c r="M81" s="20"/>
      <x:c r="N81" s="21"/>
      <x:c r="O81" s="26" t="str">
        <x:v>Subset of booked total with primary Source=LinkedIn DM; assists tracked separately.</x:v>
      </x:c>
      <x:c r="P81" s="26" t="str">
        <x:v>PDF §§10, 17 a</x:v>
      </x:c>
      <x:c r="Q81" s="2" t="n">
        <x:f>IF(ISNUMBER(H81),1,0)</x:f>
        <x:v>0</x:v>
      </x:c>
    </x:row>
    <x:row r="82" ht="46" customHeight="1">
      <x:c r="A82" s="17" t="n">
        <x:v>46321</x:v>
      </x:c>
      <x:c r="B82" s="2" t="str">
        <x:v>Verified contacts ready</x:v>
      </x:c>
      <x:c r="C82" s="2" t="n">
        <x:v>100</x:v>
      </x:c>
      <x:c r="D82" s="2" t="str">
        <x:v>Cumulative total</x:v>
      </x:c>
      <x:c r="E82" s="20"/>
      <x:c r="F82" s="20"/>
      <x:c r="G82" s="20"/>
      <x:c r="H82" s="2" t="str">
        <x:f>IF(D82="Rate",IF(COUNT(F82:G82)&lt;2,"",IF(G82=0,"n.a.",F82/G82)),IF(COUNT(E82)=0,"",E82))</x:f>
      </x:c>
      <x:c r="I82" s="2" t="str">
        <x:f>IF(AND(ISNUMBER(H82),ISNUMBER(C82)),H82-C82,"")</x:f>
      </x:c>
      <x:c r="J82" s="2" t="str">
        <x:v>contacts</x:v>
      </x:c>
      <x:c r="K82" s="2" t="str">
        <x:v>Joey</x:v>
      </x:c>
      <x:c r="L82" s="28" t="str"/>
      <x:c r="M82" s="20"/>
      <x:c r="N82" s="21"/>
      <x:c r="O82" s="26" t="str">
        <x:v>Unique contacts passing Scout and loaded in CQL; count once per contact.</x:v>
      </x:c>
      <x:c r="P82" s="26" t="str">
        <x:v>PDF §§10, 14; 750 due Dec 12 moved to Fri Dec 11</x:v>
      </x:c>
      <x:c r="Q82" s="2" t="n">
        <x:f>IF(ISNUMBER(H82),1,0)</x:f>
        <x:v>0</x:v>
      </x:c>
    </x:row>
    <x:row r="83" ht="46" customHeight="1">
      <x:c r="A83" s="17" t="n">
        <x:v>46321</x:v>
      </x:c>
      <x:c r="B83" s="2" t="str">
        <x:v>Permission-based referral introductions</x:v>
      </x:c>
      <x:c r="C83" s="2" t="n">
        <x:v>0</x:v>
      </x:c>
      <x:c r="D83" s="2" t="str">
        <x:v>Cumulative total</x:v>
      </x:c>
      <x:c r="E83" s="20"/>
      <x:c r="F83" s="20"/>
      <x:c r="G83" s="20"/>
      <x:c r="H83" s="2" t="str">
        <x:f>IF(D83="Rate",IF(COUNT(F83:G83)&lt;2,"",IF(G83=0,"n.a.",F83/G83)),IF(COUNT(E83)=0,"",E83))</x:f>
      </x:c>
      <x:c r="I83" s="2" t="str">
        <x:f>IF(AND(ISNUMBER(H83),ISNUMBER(C83)),H83-C83,"")</x:f>
      </x:c>
      <x:c r="J83" s="2" t="str">
        <x:v>introductions</x:v>
      </x:c>
      <x:c r="K83" s="2" t="str">
        <x:v>Maseeha</x:v>
      </x:c>
      <x:c r="L83" s="28" t="str"/>
      <x:c r="M83" s="20"/>
      <x:c r="N83" s="21"/>
      <x:c r="O83" s="26" t="str">
        <x:v>Unique introductions with consent and referrer recorded, verified by Maseeha within 2 business days.</x:v>
      </x:c>
      <x:c r="P83" s="26" t="str">
        <x:v>PDF §§10, 16</x:v>
      </x:c>
      <x:c r="Q83" s="2" t="n">
        <x:f>IF(ISNUMBER(H83),1,0)</x:f>
        <x:v>0</x:v>
      </x:c>
    </x:row>
    <x:row r="84" ht="46" customHeight="1">
      <x:c r="A84" s="17" t="n">
        <x:v>46321</x:v>
      </x:c>
      <x:c r="B84" s="2" t="str">
        <x:v>Human reply rate</x:v>
      </x:c>
      <x:c r="C84" s="40" t="n">
        <x:v>0.02</x:v>
      </x:c>
      <x:c r="D84" s="2" t="str">
        <x:v>Rate</x:v>
      </x:c>
      <x:c r="E84" s="20"/>
      <x:c r="F84" s="20"/>
      <x:c r="G84" s="20"/>
      <x:c r="H84" s="40" t="str">
        <x:f>IF(D84="Rate",IF(COUNT(F84:G84)&lt;2,"",IF(G84=0,"n.a.",F84/G84)),IF(COUNT(E84)=0,"",E84))</x:f>
      </x:c>
      <x:c r="I84" s="40" t="str">
        <x:f>IF(AND(ISNUMBER(H84),ISNUMBER(C84)),H84-C84,"")</x:f>
      </x:c>
      <x:c r="J84" s="2" t="str">
        <x:v>%</x:v>
      </x:c>
      <x:c r="K84" s="2" t="str">
        <x:v>Kenneth</x:v>
      </x:c>
      <x:c r="L84" s="28" t="str"/>
      <x:c r="M84" s="20"/>
      <x:c r="N84" s="21"/>
      <x:c r="O84" s="26" t="str">
        <x:v>Unique emailed contacts that give a qualifying human reply / unique contacts emailed in the same send cohort. Exclude OOO, auto-replies, bounces and unsubscribe-only replies. Deduplicate contacts across sequence steps; zero denominator is N/A.</x:v>
      </x:c>
      <x:c r="P84" s="26" t="str">
        <x:v>PDF §10</x:v>
      </x:c>
      <x:c r="Q84" s="2" t="n">
        <x:f>IF(ISNUMBER(H84),1,0)</x:f>
        <x:v>0</x:v>
      </x:c>
    </x:row>
    <x:row r="85" ht="46" customHeight="1">
      <x:c r="A85" s="17" t="n">
        <x:v>46321</x:v>
      </x:c>
      <x:c r="B85" s="2" t="str">
        <x:v>Positive reply rate</x:v>
      </x:c>
      <x:c r="C85" s="40" t="n">
        <x:v>0.01</x:v>
      </x:c>
      <x:c r="D85" s="2" t="str">
        <x:v>Rate</x:v>
      </x:c>
      <x:c r="E85" s="20"/>
      <x:c r="F85" s="20"/>
      <x:c r="G85" s="20"/>
      <x:c r="H85" s="40" t="str">
        <x:f>IF(D85="Rate",IF(COUNT(F85:G85)&lt;2,"",IF(G85=0,"n.a.",F85/G85)),IF(COUNT(E85)=0,"",E85))</x:f>
      </x:c>
      <x:c r="I85" s="40" t="str">
        <x:f>IF(AND(ISNUMBER(H85),ISNUMBER(C85)),H85-C85,"")</x:f>
      </x:c>
      <x:c r="J85" s="2" t="str">
        <x:v>%</x:v>
      </x:c>
      <x:c r="K85" s="2" t="str">
        <x:v>Kenneth</x:v>
      </x:c>
      <x:c r="L85" s="28" t="str"/>
      <x:c r="M85" s="20"/>
      <x:c r="N85" s="21"/>
      <x:c r="O85" s="26" t="str">
        <x:v>Unique emailed contacts classified interested or relevant question / unique contacts emailed in the same send cohort. Deduplicate across sequence steps; zero denominator is N/A. Keep this email rate separate from all-channel qualified inquiries.</x:v>
      </x:c>
      <x:c r="P85" s="26" t="str">
        <x:v>PDF §10</x:v>
      </x:c>
      <x:c r="Q85" s="2" t="n">
        <x:f>IF(ISNUMBER(H85),1,0)</x:f>
        <x:v>0</x:v>
      </x:c>
    </x:row>
    <x:row r="86" ht="46" customHeight="1">
      <x:c r="A86" s="17" t="n">
        <x:v>46321</x:v>
      </x:c>
      <x:c r="B86" s="2" t="str">
        <x:v>Replies answered within 15 minutes</x:v>
      </x:c>
      <x:c r="C86" s="40" t="n">
        <x:v>1</x:v>
      </x:c>
      <x:c r="D86" s="2" t="str">
        <x:v>Rate</x:v>
      </x:c>
      <x:c r="E86" s="20"/>
      <x:c r="F86" s="20"/>
      <x:c r="G86" s="20"/>
      <x:c r="H86" s="40" t="str">
        <x:f>IF(D86="Rate",IF(COUNT(F86:G86)&lt;2,"",IF(G86=0,"n.a.",F86/G86)),IF(COUNT(E86)=0,"",E86))</x:f>
      </x:c>
      <x:c r="I86" s="40" t="str">
        <x:f>IF(AND(ISNUMBER(H86),ISNUMBER(C86)),H86-C86,"")</x:f>
      </x:c>
      <x:c r="J86" s="2" t="str">
        <x:v>%</x:v>
      </x:c>
      <x:c r="K86" s="2" t="str">
        <x:v>Nova</x:v>
      </x:c>
      <x:c r="L86" s="28" t="str"/>
      <x:c r="M86" s="20"/>
      <x:c r="N86" s="21"/>
      <x:c r="O86"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6" s="26" t="str">
        <x:v>PDF §9; clock convention clarified for tracker</x:v>
      </x:c>
      <x:c r="Q86" s="2" t="n">
        <x:f>IF(ISNUMBER(H86),1,0)</x:f>
        <x:v>0</x:v>
      </x:c>
    </x:row>
    <x:row r="87" ht="46" customHeight="1">
      <x:c r="A87" s="17" t="n">
        <x:v>46321</x:v>
      </x:c>
      <x:c r="B87" s="2" t="str">
        <x:v>Held rate</x:v>
      </x:c>
      <x:c r="C87" s="40" t="n">
        <x:v>0.7</x:v>
      </x:c>
      <x:c r="D87" s="2" t="str">
        <x:v>Rate</x:v>
      </x:c>
      <x:c r="E87" s="20"/>
      <x:c r="F87" s="20"/>
      <x:c r="G87" s="20"/>
      <x:c r="H87" s="40" t="str">
        <x:f>IF(D87="Rate",IF(COUNT(F87:G87)&lt;2,"",IF(G87=0,"n.a.",F87/G87)),IF(COUNT(E87)=0,"",E87))</x:f>
      </x:c>
      <x:c r="I87" s="40" t="str">
        <x:f>IF(AND(ISNUMBER(H87),ISNUMBER(C87)),H87-C87,"")</x:f>
      </x:c>
      <x:c r="J87" s="2" t="str">
        <x:v>%</x:v>
      </x:c>
      <x:c r="K87" s="2" t="str">
        <x:v>Nova</x:v>
      </x:c>
      <x:c r="L87" s="28" t="str"/>
      <x:c r="M87" s="20"/>
      <x:c r="N87" s="21"/>
      <x:c r="O87" s="26" t="str">
        <x:v>Qualified conversations actually held / unique booked conversations whose scheduled time has passed. Exclude upcoming appointments. Rebooking the same opportunity is not a second booking. A zero denominator is N/A.</x:v>
      </x:c>
      <x:c r="P87" s="26" t="str">
        <x:v>PDF §10; due-cohort denominator clarified</x:v>
      </x:c>
      <x:c r="Q87" s="2" t="n">
        <x:f>IF(ISNUMBER(H87),1,0)</x:f>
        <x:v>0</x:v>
      </x:c>
    </x:row>
    <x:row r="88" ht="46" customHeight="1">
      <x:c r="A88" s="17" t="n">
        <x:v>46321</x:v>
      </x:c>
      <x:c r="B88" s="2" t="str">
        <x:v>Positive-to-booked conversion</x:v>
      </x:c>
      <x:c r="C88" s="40" t="n">
        <x:v>0.5</x:v>
      </x:c>
      <x:c r="D88" s="2" t="str">
        <x:v>Rate</x:v>
      </x:c>
      <x:c r="E88" s="20"/>
      <x:c r="F88" s="20"/>
      <x:c r="G88" s="20"/>
      <x:c r="H88" s="40" t="str">
        <x:f>IF(D88="Rate",IF(COUNT(F88:G88)&lt;2,"",IF(G88=0,"n.a.",F88/G88)),IF(COUNT(E88)=0,"",E88))</x:f>
      </x:c>
      <x:c r="I88" s="40" t="str">
        <x:f>IF(AND(ISNUMBER(H88),ISNUMBER(C88)),H88-C88,"")</x:f>
      </x:c>
      <x:c r="J88" s="2" t="str">
        <x:v>%</x:v>
      </x:c>
      <x:c r="K88" s="2" t="str">
        <x:v>Nova</x:v>
      </x:c>
      <x:c r="L88" s="28" t="str"/>
      <x:c r="M88" s="20"/>
      <x:c r="N88" s="21"/>
      <x:c r="O88" s="26" t="str">
        <x:v>Unique email-positive opportunities booked / unique email-positive opportunities in the same reviewed cohort. Use a documented follow-up window. This differs from the all-channel 40-inquiry/20-booking planning assumption. A zero denominator is N/A.</x:v>
      </x:c>
      <x:c r="P88" s="26" t="str">
        <x:v>PDF §9</x:v>
      </x:c>
      <x:c r="Q88" s="2" t="n">
        <x:f>IF(ISNUMBER(H88),1,0)</x:f>
        <x:v>0</x:v>
      </x:c>
    </x:row>
    <x:row r="89" ht="46" customHeight="1">
      <x:c r="A89" s="17" t="n">
        <x:v>46321</x:v>
      </x:c>
      <x:c r="B89" s="2" t="str">
        <x:v>Existing-account referral asks</x:v>
      </x:c>
      <x:c r="C89" s="2" t="n">
        <x:v>0</x:v>
      </x:c>
      <x:c r="D89" s="2" t="str">
        <x:v>Cumulative total</x:v>
      </x:c>
      <x:c r="E89" s="20"/>
      <x:c r="F89" s="20"/>
      <x:c r="G89" s="20"/>
      <x:c r="H89" s="2" t="str">
        <x:f>IF(D89="Rate",IF(COUNT(F89:G89)&lt;2,"",IF(G89=0,"n.a.",F89/G89)),IF(COUNT(E89)=0,"",E89))</x:f>
      </x:c>
      <x:c r="I89" s="2" t="str">
        <x:f>IF(AND(ISNUMBER(H89),ISNUMBER(C89)),H89-C89,"")</x:f>
      </x:c>
      <x:c r="J89" s="2" t="str">
        <x:v>accounts asked</x:v>
      </x:c>
      <x:c r="K89" s="2" t="str">
        <x:v>Maseeha</x:v>
      </x:c>
      <x:c r="L89" s="28" t="str"/>
      <x:c r="M89" s="20"/>
      <x:c r="N89" s="21"/>
      <x:c r="O89" s="26" t="str">
        <x:v>Ask 25 unique A/B accounts (5 A and 20 B) by November 13; proposed pace 35 total by November 20; complete the remaining C accounts to reach 41 total by November 25. One introduction is the ask; asks and received intros are separate counts.</x:v>
      </x:c>
      <x:c r="P89" s="26" t="str">
        <x:v>PDF §16 supplies 25 A/B byNov 14 and 16 C byNov 25; Friday deadline and 35-byNov 20 pace are proposed scheduling allocations.</x:v>
      </x:c>
      <x:c r="Q89" s="2" t="n">
        <x:f>IF(ISNUMBER(H89),1,0)</x:f>
        <x:v>0</x:v>
      </x:c>
    </x:row>
    <x:row r="90" ht="46" customHeight="1">
      <x:c r="A90" s="17" t="n">
        <x:v>46321</x:v>
      </x:c>
      <x:c r="B90" s="2" t="str">
        <x:v>Approved SOPs</x:v>
      </x:c>
      <x:c r="C90" s="2"/>
      <x:c r="D90" s="2" t="str">
        <x:v>Cumulative total</x:v>
      </x:c>
      <x:c r="E90" s="20"/>
      <x:c r="F90" s="20"/>
      <x:c r="G90" s="20"/>
      <x:c r="H90" s="2" t="str">
        <x:f>IF(D90="Rate",IF(COUNT(F90:G90)&lt;2,"",IF(G90=0,"n.a.",F90/G90)),IF(COUNT(E90)=0,"",E90))</x:f>
      </x:c>
      <x:c r="I90" s="2" t="str">
        <x:f>IF(AND(ISNUMBER(H90),ISNUMBER(C90)),H90-C90,"")</x:f>
      </x:c>
      <x:c r="J90" s="2" t="str">
        <x:v>SOPs</x:v>
      </x:c>
      <x:c r="K90" s="2" t="str">
        <x:v>Wyline</x:v>
      </x:c>
      <x:c r="L90" s="28" t="str"/>
      <x:c r="M90" s="20"/>
      <x:c r="N90" s="21"/>
      <x:c r="O90" s="26" t="str">
        <x:v>10 core SOPs plus ADS-01 and SOC-01 additions; approved version and independent-run evidence required.</x:v>
      </x:c>
      <x:c r="P90" s="26" t="str">
        <x:v>PDF §8 with §§17 b–d additions</x:v>
      </x:c>
      <x:c r="Q90" s="2" t="n">
        <x:f>IF(ISNUMBER(H90),1,0)</x:f>
        <x:v>0</x:v>
      </x:c>
    </x:row>
    <x:row r="91" ht="46" customHeight="1">
      <x:c r="A91" s="17" t="n">
        <x:v>46321</x:v>
      </x:c>
      <x:c r="B91" s="2" t="str">
        <x:v>Accepted AI agents</x:v>
      </x:c>
      <x:c r="C91" s="2"/>
      <x:c r="D91" s="2" t="str">
        <x:v>Cumulative total</x:v>
      </x:c>
      <x:c r="E91" s="20"/>
      <x:c r="F91" s="20"/>
      <x:c r="G91" s="20"/>
      <x:c r="H91" s="2" t="str">
        <x:f>IF(D91="Rate",IF(COUNT(F91:G91)&lt;2,"",IF(G91=0,"n.a.",F91/G91)),IF(COUNT(E91)=0,"",E91))</x:f>
      </x:c>
      <x:c r="I91" s="2" t="str">
        <x:f>IF(AND(ISNUMBER(H91),ISNUMBER(C91)),H91-C91,"")</x:f>
      </x:c>
      <x:c r="J91" s="2" t="str">
        <x:v>agents</x:v>
      </x:c>
      <x:c r="K91" s="2" t="str">
        <x:v>Emman</x:v>
      </x:c>
      <x:c r="L91" s="28" t="str"/>
      <x:c r="M91" s="20"/>
      <x:c r="N91" s="21"/>
      <x:c r="O91" s="26" t="str">
        <x:v>Scout, Writer, Inbox, Phone Assist, LinkedIn Assist, Follow-up, Scoreboard and Client Reporter; acceptance evidence required.</x:v>
      </x:c>
      <x:c r="P91" s="26" t="str">
        <x:v>PDF §7</x:v>
      </x:c>
      <x:c r="Q91" s="2" t="n">
        <x:f>IF(ISNUMBER(H91),1,0)</x:f>
        <x:v>0</x:v>
      </x:c>
    </x:row>
    <x:row r="92" ht="46" customHeight="1">
      <x:c r="A92" s="17" t="n">
        <x:v>46322</x:v>
      </x:c>
      <x:c r="B92" s="2" t="str">
        <x:v>Qualified inquiries</x:v>
      </x:c>
      <x:c r="C92" s="2" t="n">
        <x:v>0</x:v>
      </x:c>
      <x:c r="D92" s="2" t="str">
        <x:v>Cumulative total</x:v>
      </x:c>
      <x:c r="E92" s="20"/>
      <x:c r="F92" s="20"/>
      <x:c r="G92" s="20"/>
      <x:c r="H92" s="2" t="str">
        <x:f>IF(D92="Rate",IF(COUNT(F92:G92)&lt;2,"",IF(G92=0,"n.a.",F92/G92)),IF(COUNT(E92)=0,"",E92))</x:f>
      </x:c>
      <x:c r="I92" s="2" t="str">
        <x:f>IF(AND(ISNUMBER(H92),ISNUMBER(C92)),H92-C92,"")</x:f>
      </x:c>
      <x:c r="J92" s="2" t="str">
        <x:v>inquiries</x:v>
      </x:c>
      <x:c r="K92" s="2" t="str">
        <x:v>Nova</x:v>
      </x:c>
      <x:c r="L92" s="28" t="str"/>
      <x:c r="M92" s="20"/>
      <x:c r="N92" s="21"/>
      <x:c r="O92" s="26" t="str">
        <x:v>Unique ICP-matched practices that express relevant interest, need or timing; Nova records practice type, decision-maker access, case volume, service need and readiness within 30–60 days. Raw records, opens and connection accepts do not qualify.</x:v>
      </x:c>
      <x:c r="P92" s="26" t="str">
        <x:v>Original proposal pages 2 and 4 define qualification; 40 by Dec 16 and intermediate pace are newly proposed recovery targets.</x:v>
      </x:c>
      <x:c r="Q92" s="2" t="n">
        <x:f>IF(ISNUMBER(H92),1,0)</x:f>
        <x:v>0</x:v>
      </x:c>
    </x:row>
    <x:row r="93" ht="46" customHeight="1">
      <x:c r="A93" s="17" t="n">
        <x:v>46322</x:v>
      </x:c>
      <x:c r="B93" s="2" t="str">
        <x:v>Qualified conversations booked</x:v>
      </x:c>
      <x:c r="C93" s="2" t="n">
        <x:v>0</x:v>
      </x:c>
      <x:c r="D93" s="2" t="str">
        <x:v>Cumulative total</x:v>
      </x:c>
      <x:c r="E93" s="20"/>
      <x:c r="F93" s="20"/>
      <x:c r="G93" s="20"/>
      <x:c r="H93" s="2" t="str">
        <x:f>IF(D93="Rate",IF(COUNT(F93:G93)&lt;2,"",IF(G93=0,"n.a.",F93/G93)),IF(COUNT(E93)=0,"",E93))</x:f>
      </x:c>
      <x:c r="I93" s="2" t="str">
        <x:f>IF(AND(ISNUMBER(H93),ISNUMBER(C93)),H93-C93,"")</x:f>
      </x:c>
      <x:c r="J93" s="2" t="str">
        <x:v>bookings</x:v>
      </x:c>
      <x:c r="K93" s="2" t="str">
        <x:v>Nova</x:v>
      </x:c>
      <x:c r="L93" s="28" t="str"/>
      <x:c r="M93" s="20"/>
      <x:c r="N93" s="21"/>
      <x:c r="O93" s="26" t="str">
        <x:v>Unique qualified calls/visits booked with Nic; rebooking same opportunity is not a new booking.</x:v>
      </x:c>
      <x:c r="P93" s="26" t="str">
        <x:v>PDF §10; final deadline advanced to user Dec 16</x:v>
      </x:c>
      <x:c r="Q93" s="2" t="n">
        <x:f>IF(ISNUMBER(H93),1,0)</x:f>
        <x:v>0</x:v>
      </x:c>
    </x:row>
    <x:row r="94" ht="46" customHeight="1">
      <x:c r="A94" s="17" t="n">
        <x:v>46322</x:v>
      </x:c>
      <x:c r="B94" s="2" t="str">
        <x:v>Qualified conversations held</x:v>
      </x:c>
      <x:c r="C94" s="2" t="n">
        <x:v>0</x:v>
      </x:c>
      <x:c r="D94" s="2" t="str">
        <x:v>Cumulative total</x:v>
      </x:c>
      <x:c r="E94" s="20"/>
      <x:c r="F94" s="20"/>
      <x:c r="G94" s="20"/>
      <x:c r="H94" s="2" t="str">
        <x:f>IF(D94="Rate",IF(COUNT(F94:G94)&lt;2,"",IF(G94=0,"n.a.",F94/G94)),IF(COUNT(E94)=0,"",E94))</x:f>
      </x:c>
      <x:c r="I94" s="2" t="str">
        <x:f>IF(AND(ISNUMBER(H94),ISNUMBER(C94)),H94-C94,"")</x:f>
      </x:c>
      <x:c r="J94" s="2" t="str">
        <x:v>held</x:v>
      </x:c>
      <x:c r="K94" s="2" t="str">
        <x:v>Nova</x:v>
      </x:c>
      <x:c r="L94" s="28" t="str"/>
      <x:c r="M94" s="20"/>
      <x:c r="N94" s="21"/>
      <x:c r="O94" s="26" t="str">
        <x:v>Completed qualified calls/visits; 6 and 15 are integer planning proxies for 70% of 8 and 75% of 20.</x:v>
      </x:c>
      <x:c r="P94" s="26" t="str">
        <x:v>Derived from source held-rate targets</x:v>
      </x:c>
      <x:c r="Q94" s="2" t="n">
        <x:f>IF(ISNUMBER(H94),1,0)</x:f>
        <x:v>0</x:v>
      </x:c>
    </x:row>
    <x:row r="95" ht="46" customHeight="1">
      <x:c r="A95" s="17" t="n">
        <x:v>46322</x:v>
      </x:c>
      <x:c r="B95" s="2" t="str">
        <x:v>Trial cases received by DSI</x:v>
      </x:c>
      <x:c r="C95" s="2" t="n">
        <x:v>0</x:v>
      </x:c>
      <x:c r="D95" s="2" t="str">
        <x:v>Cumulative total</x:v>
      </x:c>
      <x:c r="E95" s="20"/>
      <x:c r="F95" s="20"/>
      <x:c r="G95" s="20"/>
      <x:c r="H95" s="2" t="str">
        <x:f>IF(D95="Rate",IF(COUNT(F95:G95)&lt;2,"",IF(G95=0,"n.a.",F95/G95)),IF(COUNT(E95)=0,"",E95))</x:f>
      </x:c>
      <x:c r="I95" s="2" t="str">
        <x:f>IF(AND(ISNUMBER(H95),ISNUMBER(C95)),H95-C95,"")</x:f>
      </x:c>
      <x:c r="J95" s="2" t="str">
        <x:v>trials</x:v>
      </x:c>
      <x:c r="K95" s="2" t="str">
        <x:v>Maseeha</x:v>
      </x:c>
      <x:c r="L95" s="28" t="str"/>
      <x:c r="M95" s="20"/>
      <x:c r="N95" s="21"/>
      <x:c r="O95" s="26" t="str">
        <x:v>Practice’s first trial case received by DSI, not merely promised or shipped; subject to Maseeha capacity.</x:v>
      </x:c>
      <x:c r="P95" s="26" t="str">
        <x:v>PDF §10; final deadline advanced to user Dec 16</x:v>
      </x:c>
      <x:c r="Q95" s="2" t="n">
        <x:f>IF(ISNUMBER(H95),1,0)</x:f>
        <x:v>0</x:v>
      </x:c>
    </x:row>
    <x:row r="96" ht="46" customHeight="1">
      <x:c r="A96" s="17" t="n">
        <x:v>46322</x:v>
      </x:c>
      <x:c r="B96" s="2" t="str">
        <x:v>Recurring accounts signed</x:v>
      </x:c>
      <x:c r="C96" s="2"/>
      <x:c r="D96" s="2" t="str">
        <x:v>Cumulative total</x:v>
      </x:c>
      <x:c r="E96" s="20"/>
      <x:c r="F96" s="20"/>
      <x:c r="G96" s="20"/>
      <x:c r="H96" s="2" t="str">
        <x:f>IF(D96="Rate",IF(COUNT(F96:G96)&lt;2,"",IF(G96=0,"n.a.",F96/G96)),IF(COUNT(E96)=0,"",E96))</x:f>
      </x:c>
      <x:c r="I96" s="2" t="str">
        <x:f>IF(AND(ISNUMBER(H96),ISNUMBER(C96)),H96-C96,"")</x:f>
      </x:c>
      <x:c r="J96" s="2" t="str">
        <x:v>accounts</x:v>
      </x:c>
      <x:c r="K96" s="2" t="str">
        <x:v>Nic</x:v>
      </x:c>
      <x:c r="L96" s="28" t="str"/>
      <x:c r="M96" s="20"/>
      <x:c r="N96" s="21"/>
      <x:c r="O96" s="26" t="str">
        <x:v>Plan signed following Day-30 review; only mature trial cohorts eligible. 1–3 is a conditional range.</x:v>
      </x:c>
      <x:c r="P96" s="26" t="str">
        <x:v>PDF §10</x:v>
      </x:c>
      <x:c r="Q96" s="2" t="n">
        <x:f>IF(ISNUMBER(H96),1,0)</x:f>
        <x:v>0</x:v>
      </x:c>
    </x:row>
    <x:row r="97" ht="46" customHeight="1">
      <x:c r="A97" s="17" t="n">
        <x:v>46322</x:v>
      </x:c>
      <x:c r="B97" s="2" t="str">
        <x:v>Referral-sourced bookings</x:v>
      </x:c>
      <x:c r="C97" s="2" t="n">
        <x:v>0</x:v>
      </x:c>
      <x:c r="D97" s="2" t="str">
        <x:v>Cumulative total</x:v>
      </x:c>
      <x:c r="E97" s="20"/>
      <x:c r="F97" s="20"/>
      <x:c r="G97" s="20"/>
      <x:c r="H97" s="2" t="str">
        <x:f>IF(D97="Rate",IF(COUNT(F97:G97)&lt;2,"",IF(G97=0,"n.a.",F97/G97)),IF(COUNT(E97)=0,"",E97))</x:f>
      </x:c>
      <x:c r="I97" s="2" t="str">
        <x:f>IF(AND(ISNUMBER(H97),ISNUMBER(C97)),H97-C97,"")</x:f>
      </x:c>
      <x:c r="J97" s="2" t="str">
        <x:v>bookings</x:v>
      </x:c>
      <x:c r="K97" s="2" t="str">
        <x:v>Nova</x:v>
      </x:c>
      <x:c r="L97" s="28" t="str"/>
      <x:c r="M97" s="20"/>
      <x:c r="N97" s="21"/>
      <x:c r="O97" s="26" t="str">
        <x:v>Subset of booked total with primary Source=Referral; never added on top of all-channel bookings.</x:v>
      </x:c>
      <x:c r="P97" s="26" t="str">
        <x:v>PDF §§10, 16</x:v>
      </x:c>
      <x:c r="Q97" s="2" t="n">
        <x:f>IF(ISNUMBER(H97),1,0)</x:f>
        <x:v>0</x:v>
      </x:c>
    </x:row>
    <x:row r="98" ht="46" customHeight="1">
      <x:c r="A98" s="17" t="n">
        <x:v>46322</x:v>
      </x:c>
      <x:c r="B98" s="2" t="str">
        <x:v>LinkedIn DM-sourced bookings</x:v>
      </x:c>
      <x:c r="C98" s="2" t="n">
        <x:v>0</x:v>
      </x:c>
      <x:c r="D98" s="2" t="str">
        <x:v>Cumulative total</x:v>
      </x:c>
      <x:c r="E98" s="20"/>
      <x:c r="F98" s="20"/>
      <x:c r="G98" s="20"/>
      <x:c r="H98" s="2" t="str">
        <x:f>IF(D98="Rate",IF(COUNT(F98:G98)&lt;2,"",IF(G98=0,"n.a.",F98/G98)),IF(COUNT(E98)=0,"",E98))</x:f>
      </x:c>
      <x:c r="I98" s="2" t="str">
        <x:f>IF(AND(ISNUMBER(H98),ISNUMBER(C98)),H98-C98,"")</x:f>
      </x:c>
      <x:c r="J98" s="2" t="str">
        <x:v>bookings</x:v>
      </x:c>
      <x:c r="K98" s="2" t="str">
        <x:v>Dexter</x:v>
      </x:c>
      <x:c r="L98" s="28" t="str"/>
      <x:c r="M98" s="20"/>
      <x:c r="N98" s="21"/>
      <x:c r="O98" s="26" t="str">
        <x:v>Subset of booked total with primary Source=LinkedIn DM; assists tracked separately.</x:v>
      </x:c>
      <x:c r="P98" s="26" t="str">
        <x:v>PDF §§10, 17 a</x:v>
      </x:c>
      <x:c r="Q98" s="2" t="n">
        <x:f>IF(ISNUMBER(H98),1,0)</x:f>
        <x:v>0</x:v>
      </x:c>
    </x:row>
    <x:row r="99" ht="46" customHeight="1">
      <x:c r="A99" s="17" t="n">
        <x:v>46322</x:v>
      </x:c>
      <x:c r="B99" s="2" t="str">
        <x:v>Verified contacts ready</x:v>
      </x:c>
      <x:c r="C99" s="2" t="n">
        <x:v>150</x:v>
      </x:c>
      <x:c r="D99" s="2" t="str">
        <x:v>Cumulative total</x:v>
      </x:c>
      <x:c r="E99" s="20"/>
      <x:c r="F99" s="20"/>
      <x:c r="G99" s="20"/>
      <x:c r="H99" s="2" t="str">
        <x:f>IF(D99="Rate",IF(COUNT(F99:G99)&lt;2,"",IF(G99=0,"n.a.",F99/G99)),IF(COUNT(E99)=0,"",E99))</x:f>
      </x:c>
      <x:c r="I99" s="2" t="str">
        <x:f>IF(AND(ISNUMBER(H99),ISNUMBER(C99)),H99-C99,"")</x:f>
      </x:c>
      <x:c r="J99" s="2" t="str">
        <x:v>contacts</x:v>
      </x:c>
      <x:c r="K99" s="2" t="str">
        <x:v>Joey</x:v>
      </x:c>
      <x:c r="L99" s="28" t="str"/>
      <x:c r="M99" s="20"/>
      <x:c r="N99" s="21"/>
      <x:c r="O99" s="26" t="str">
        <x:v>Unique contacts passing Scout and loaded in CQL; count once per contact.</x:v>
      </x:c>
      <x:c r="P99" s="26" t="str">
        <x:v>PDF §§10, 14; 750 due Dec 12 moved to Fri Dec 11</x:v>
      </x:c>
      <x:c r="Q99" s="2" t="n">
        <x:f>IF(ISNUMBER(H99),1,0)</x:f>
        <x:v>0</x:v>
      </x:c>
    </x:row>
    <x:row r="100" ht="46" customHeight="1">
      <x:c r="A100" s="17" t="n">
        <x:v>46322</x:v>
      </x:c>
      <x:c r="B100" s="2" t="str">
        <x:v>Permission-based referral introductions</x:v>
      </x:c>
      <x:c r="C100" s="2" t="n">
        <x:v>0</x:v>
      </x:c>
      <x:c r="D100" s="2" t="str">
        <x:v>Cumulative total</x:v>
      </x:c>
      <x:c r="E100" s="20"/>
      <x:c r="F100" s="20"/>
      <x:c r="G100" s="20"/>
      <x:c r="H100" s="2" t="str">
        <x:f>IF(D100="Rate",IF(COUNT(F100:G100)&lt;2,"",IF(G100=0,"n.a.",F100/G100)),IF(COUNT(E100)=0,"",E100))</x:f>
      </x:c>
      <x:c r="I100" s="2" t="str">
        <x:f>IF(AND(ISNUMBER(H100),ISNUMBER(C100)),H100-C100,"")</x:f>
      </x:c>
      <x:c r="J100" s="2" t="str">
        <x:v>introductions</x:v>
      </x:c>
      <x:c r="K100" s="2" t="str">
        <x:v>Maseeha</x:v>
      </x:c>
      <x:c r="L100" s="28" t="str"/>
      <x:c r="M100" s="20"/>
      <x:c r="N100" s="21"/>
      <x:c r="O100" s="26" t="str">
        <x:v>Unique introductions with consent and referrer recorded, verified by Maseeha within 2 business days.</x:v>
      </x:c>
      <x:c r="P100" s="26" t="str">
        <x:v>PDF §§10, 16</x:v>
      </x:c>
      <x:c r="Q100" s="2" t="n">
        <x:f>IF(ISNUMBER(H100),1,0)</x:f>
        <x:v>0</x:v>
      </x:c>
    </x:row>
    <x:row r="101" ht="46" customHeight="1">
      <x:c r="A101" s="17" t="n">
        <x:v>46322</x:v>
      </x:c>
      <x:c r="B101" s="2" t="str">
        <x:v>Human reply rate</x:v>
      </x:c>
      <x:c r="C101" s="40" t="n">
        <x:v>0.02</x:v>
      </x:c>
      <x:c r="D101" s="2" t="str">
        <x:v>Rate</x:v>
      </x:c>
      <x:c r="E101" s="20"/>
      <x:c r="F101" s="20"/>
      <x:c r="G101" s="20"/>
      <x:c r="H101" s="40" t="str">
        <x:f>IF(D101="Rate",IF(COUNT(F101:G101)&lt;2,"",IF(G101=0,"n.a.",F101/G101)),IF(COUNT(E101)=0,"",E101))</x:f>
      </x:c>
      <x:c r="I101" s="40" t="str">
        <x:f>IF(AND(ISNUMBER(H101),ISNUMBER(C101)),H101-C101,"")</x:f>
      </x:c>
      <x:c r="J101" s="2" t="str">
        <x:v>%</x:v>
      </x:c>
      <x:c r="K101" s="2" t="str">
        <x:v>Kenneth</x:v>
      </x:c>
      <x:c r="L101" s="28" t="str"/>
      <x:c r="M101" s="20"/>
      <x:c r="N101" s="21"/>
      <x:c r="O101" s="26" t="str">
        <x:v>Unique emailed contacts that give a qualifying human reply / unique contacts emailed in the same send cohort. Exclude OOO, auto-replies, bounces and unsubscribe-only replies. Deduplicate contacts across sequence steps; zero denominator is N/A.</x:v>
      </x:c>
      <x:c r="P101" s="26" t="str">
        <x:v>PDF §10</x:v>
      </x:c>
      <x:c r="Q101" s="2" t="n">
        <x:f>IF(ISNUMBER(H101),1,0)</x:f>
        <x:v>0</x:v>
      </x:c>
    </x:row>
    <x:row r="102" ht="46" customHeight="1">
      <x:c r="A102" s="17" t="n">
        <x:v>46322</x:v>
      </x:c>
      <x:c r="B102" s="2" t="str">
        <x:v>Positive reply rate</x:v>
      </x:c>
      <x:c r="C102" s="40" t="n">
        <x:v>0.01</x:v>
      </x:c>
      <x:c r="D102" s="2" t="str">
        <x:v>Rate</x:v>
      </x:c>
      <x:c r="E102" s="20"/>
      <x:c r="F102" s="20"/>
      <x:c r="G102" s="20"/>
      <x:c r="H102" s="40" t="str">
        <x:f>IF(D102="Rate",IF(COUNT(F102:G102)&lt;2,"",IF(G102=0,"n.a.",F102/G102)),IF(COUNT(E102)=0,"",E102))</x:f>
      </x:c>
      <x:c r="I102" s="40" t="str">
        <x:f>IF(AND(ISNUMBER(H102),ISNUMBER(C102)),H102-C102,"")</x:f>
      </x:c>
      <x:c r="J102" s="2" t="str">
        <x:v>%</x:v>
      </x:c>
      <x:c r="K102" s="2" t="str">
        <x:v>Kenneth</x:v>
      </x:c>
      <x:c r="L102" s="28" t="str"/>
      <x:c r="M102" s="20"/>
      <x:c r="N102" s="21"/>
      <x:c r="O102" s="26" t="str">
        <x:v>Unique emailed contacts classified interested or relevant question / unique contacts emailed in the same send cohort. Deduplicate across sequence steps; zero denominator is N/A. Keep this email rate separate from all-channel qualified inquiries.</x:v>
      </x:c>
      <x:c r="P102" s="26" t="str">
        <x:v>PDF §10</x:v>
      </x:c>
      <x:c r="Q102" s="2" t="n">
        <x:f>IF(ISNUMBER(H102),1,0)</x:f>
        <x:v>0</x:v>
      </x:c>
    </x:row>
    <x:row r="103" ht="46" customHeight="1">
      <x:c r="A103" s="17" t="n">
        <x:v>46322</x:v>
      </x:c>
      <x:c r="B103" s="2" t="str">
        <x:v>Replies answered within 15 minutes</x:v>
      </x:c>
      <x:c r="C103" s="40" t="n">
        <x:v>1</x:v>
      </x:c>
      <x:c r="D103" s="2" t="str">
        <x:v>Rate</x:v>
      </x:c>
      <x:c r="E103" s="20"/>
      <x:c r="F103" s="20"/>
      <x:c r="G103" s="20"/>
      <x:c r="H103" s="40" t="str">
        <x:f>IF(D103="Rate",IF(COUNT(F103:G103)&lt;2,"",IF(G103=0,"n.a.",F103/G103)),IF(COUNT(E103)=0,"",E103))</x:f>
      </x:c>
      <x:c r="I103" s="40" t="str">
        <x:f>IF(AND(ISNUMBER(H103),ISNUMBER(C103)),H103-C103,"")</x:f>
      </x:c>
      <x:c r="J103" s="2" t="str">
        <x:v>%</x:v>
      </x:c>
      <x:c r="K103" s="2" t="str">
        <x:v>Nova</x:v>
      </x:c>
      <x:c r="L103" s="28" t="str"/>
      <x:c r="M103" s="20"/>
      <x:c r="N103" s="21"/>
      <x:c r="O103"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03" s="26" t="str">
        <x:v>PDF §9; clock convention clarified for tracker</x:v>
      </x:c>
      <x:c r="Q103" s="2" t="n">
        <x:f>IF(ISNUMBER(H103),1,0)</x:f>
        <x:v>0</x:v>
      </x:c>
    </x:row>
    <x:row r="104" ht="46" customHeight="1">
      <x:c r="A104" s="17" t="n">
        <x:v>46322</x:v>
      </x:c>
      <x:c r="B104" s="2" t="str">
        <x:v>Held rate</x:v>
      </x:c>
      <x:c r="C104" s="40" t="n">
        <x:v>0.7</x:v>
      </x:c>
      <x:c r="D104" s="2" t="str">
        <x:v>Rate</x:v>
      </x:c>
      <x:c r="E104" s="20"/>
      <x:c r="F104" s="20"/>
      <x:c r="G104" s="20"/>
      <x:c r="H104" s="40" t="str">
        <x:f>IF(D104="Rate",IF(COUNT(F104:G104)&lt;2,"",IF(G104=0,"n.a.",F104/G104)),IF(COUNT(E104)=0,"",E104))</x:f>
      </x:c>
      <x:c r="I104" s="40" t="str">
        <x:f>IF(AND(ISNUMBER(H104),ISNUMBER(C104)),H104-C104,"")</x:f>
      </x:c>
      <x:c r="J104" s="2" t="str">
        <x:v>%</x:v>
      </x:c>
      <x:c r="K104" s="2" t="str">
        <x:v>Nova</x:v>
      </x:c>
      <x:c r="L104" s="28" t="str"/>
      <x:c r="M104" s="20"/>
      <x:c r="N104" s="21"/>
      <x:c r="O104" s="26" t="str">
        <x:v>Qualified conversations actually held / unique booked conversations whose scheduled time has passed. Exclude upcoming appointments. Rebooking the same opportunity is not a second booking. A zero denominator is N/A.</x:v>
      </x:c>
      <x:c r="P104" s="26" t="str">
        <x:v>PDF §10; due-cohort denominator clarified</x:v>
      </x:c>
      <x:c r="Q104" s="2" t="n">
        <x:f>IF(ISNUMBER(H104),1,0)</x:f>
        <x:v>0</x:v>
      </x:c>
    </x:row>
    <x:row r="105" ht="46" customHeight="1">
      <x:c r="A105" s="17" t="n">
        <x:v>46322</x:v>
      </x:c>
      <x:c r="B105" s="2" t="str">
        <x:v>Positive-to-booked conversion</x:v>
      </x:c>
      <x:c r="C105" s="40" t="n">
        <x:v>0.5</x:v>
      </x:c>
      <x:c r="D105" s="2" t="str">
        <x:v>Rate</x:v>
      </x:c>
      <x:c r="E105" s="20"/>
      <x:c r="F105" s="20"/>
      <x:c r="G105" s="20"/>
      <x:c r="H105" s="40" t="str">
        <x:f>IF(D105="Rate",IF(COUNT(F105:G105)&lt;2,"",IF(G105=0,"n.a.",F105/G105)),IF(COUNT(E105)=0,"",E105))</x:f>
      </x:c>
      <x:c r="I105" s="40" t="str">
        <x:f>IF(AND(ISNUMBER(H105),ISNUMBER(C105)),H105-C105,"")</x:f>
      </x:c>
      <x:c r="J105" s="2" t="str">
        <x:v>%</x:v>
      </x:c>
      <x:c r="K105" s="2" t="str">
        <x:v>Nova</x:v>
      </x:c>
      <x:c r="L105" s="28" t="str"/>
      <x:c r="M105" s="20"/>
      <x:c r="N105" s="21"/>
      <x:c r="O105" s="26" t="str">
        <x:v>Unique email-positive opportunities booked / unique email-positive opportunities in the same reviewed cohort. Use a documented follow-up window. This differs from the all-channel 40-inquiry/20-booking planning assumption. A zero denominator is N/A.</x:v>
      </x:c>
      <x:c r="P105" s="26" t="str">
        <x:v>PDF §9</x:v>
      </x:c>
      <x:c r="Q105" s="2" t="n">
        <x:f>IF(ISNUMBER(H105),1,0)</x:f>
        <x:v>0</x:v>
      </x:c>
    </x:row>
    <x:row r="106" ht="46" customHeight="1">
      <x:c r="A106" s="17" t="n">
        <x:v>46322</x:v>
      </x:c>
      <x:c r="B106" s="2" t="str">
        <x:v>Existing-account referral asks</x:v>
      </x:c>
      <x:c r="C106" s="2" t="n">
        <x:v>0</x:v>
      </x:c>
      <x:c r="D106" s="2" t="str">
        <x:v>Cumulative total</x:v>
      </x:c>
      <x:c r="E106" s="20"/>
      <x:c r="F106" s="20"/>
      <x:c r="G106" s="20"/>
      <x:c r="H106" s="2" t="str">
        <x:f>IF(D106="Rate",IF(COUNT(F106:G106)&lt;2,"",IF(G106=0,"n.a.",F106/G106)),IF(COUNT(E106)=0,"",E106))</x:f>
      </x:c>
      <x:c r="I106" s="2" t="str">
        <x:f>IF(AND(ISNUMBER(H106),ISNUMBER(C106)),H106-C106,"")</x:f>
      </x:c>
      <x:c r="J106" s="2" t="str">
        <x:v>accounts asked</x:v>
      </x:c>
      <x:c r="K106" s="2" t="str">
        <x:v>Maseeha</x:v>
      </x:c>
      <x:c r="L106" s="28" t="str"/>
      <x:c r="M106" s="20"/>
      <x:c r="N106" s="21"/>
      <x:c r="O106" s="26" t="str">
        <x:v>Ask 25 unique A/B accounts (5 A and 20 B) by November 13; proposed pace 35 total by November 20; complete the remaining C accounts to reach 41 total by November 25. One introduction is the ask; asks and received intros are separate counts.</x:v>
      </x:c>
      <x:c r="P106" s="26" t="str">
        <x:v>PDF §16 supplies 25 A/B byNov 14 and 16 C byNov 25; Friday deadline and 35-byNov 20 pace are proposed scheduling allocations.</x:v>
      </x:c>
      <x:c r="Q106" s="2" t="n">
        <x:f>IF(ISNUMBER(H106),1,0)</x:f>
        <x:v>0</x:v>
      </x:c>
    </x:row>
    <x:row r="107" ht="46" customHeight="1">
      <x:c r="A107" s="17" t="n">
        <x:v>46322</x:v>
      </x:c>
      <x:c r="B107" s="2" t="str">
        <x:v>Approved SOPs</x:v>
      </x:c>
      <x:c r="C107" s="2"/>
      <x:c r="D107" s="2" t="str">
        <x:v>Cumulative total</x:v>
      </x:c>
      <x:c r="E107" s="20"/>
      <x:c r="F107" s="20"/>
      <x:c r="G107" s="20"/>
      <x:c r="H107" s="2" t="str">
        <x:f>IF(D107="Rate",IF(COUNT(F107:G107)&lt;2,"",IF(G107=0,"n.a.",F107/G107)),IF(COUNT(E107)=0,"",E107))</x:f>
      </x:c>
      <x:c r="I107" s="2" t="str">
        <x:f>IF(AND(ISNUMBER(H107),ISNUMBER(C107)),H107-C107,"")</x:f>
      </x:c>
      <x:c r="J107" s="2" t="str">
        <x:v>SOPs</x:v>
      </x:c>
      <x:c r="K107" s="2" t="str">
        <x:v>Wyline</x:v>
      </x:c>
      <x:c r="L107" s="28" t="str"/>
      <x:c r="M107" s="20"/>
      <x:c r="N107" s="21"/>
      <x:c r="O107" s="26" t="str">
        <x:v>10 core SOPs plus ADS-01 and SOC-01 additions; approved version and independent-run evidence required.</x:v>
      </x:c>
      <x:c r="P107" s="26" t="str">
        <x:v>PDF §8 with §§17 b–d additions</x:v>
      </x:c>
      <x:c r="Q107" s="2" t="n">
        <x:f>IF(ISNUMBER(H107),1,0)</x:f>
        <x:v>0</x:v>
      </x:c>
    </x:row>
    <x:row r="108" ht="46" customHeight="1">
      <x:c r="A108" s="17" t="n">
        <x:v>46322</x:v>
      </x:c>
      <x:c r="B108" s="2" t="str">
        <x:v>Accepted AI agents</x:v>
      </x:c>
      <x:c r="C108" s="2"/>
      <x:c r="D108" s="2" t="str">
        <x:v>Cumulative total</x:v>
      </x:c>
      <x:c r="E108" s="20"/>
      <x:c r="F108" s="20"/>
      <x:c r="G108" s="20"/>
      <x:c r="H108" s="2" t="str">
        <x:f>IF(D108="Rate",IF(COUNT(F108:G108)&lt;2,"",IF(G108=0,"n.a.",F108/G108)),IF(COUNT(E108)=0,"",E108))</x:f>
      </x:c>
      <x:c r="I108" s="2" t="str">
        <x:f>IF(AND(ISNUMBER(H108),ISNUMBER(C108)),H108-C108,"")</x:f>
      </x:c>
      <x:c r="J108" s="2" t="str">
        <x:v>agents</x:v>
      </x:c>
      <x:c r="K108" s="2" t="str">
        <x:v>Emman</x:v>
      </x:c>
      <x:c r="L108" s="28" t="str"/>
      <x:c r="M108" s="20"/>
      <x:c r="N108" s="21"/>
      <x:c r="O108" s="26" t="str">
        <x:v>Scout, Writer, Inbox, Phone Assist, LinkedIn Assist, Follow-up, Scoreboard and Client Reporter; acceptance evidence required.</x:v>
      </x:c>
      <x:c r="P108" s="26" t="str">
        <x:v>PDF §7</x:v>
      </x:c>
      <x:c r="Q108" s="2" t="n">
        <x:f>IF(ISNUMBER(H108),1,0)</x:f>
        <x:v>0</x:v>
      </x:c>
    </x:row>
    <x:row r="109" ht="46" customHeight="1">
      <x:c r="A109" s="17" t="n">
        <x:v>46323</x:v>
      </x:c>
      <x:c r="B109" s="2" t="str">
        <x:v>Qualified inquiries</x:v>
      </x:c>
      <x:c r="C109" s="2" t="n">
        <x:v>0</x:v>
      </x:c>
      <x:c r="D109" s="2" t="str">
        <x:v>Cumulative total</x:v>
      </x:c>
      <x:c r="E109" s="20"/>
      <x:c r="F109" s="20"/>
      <x:c r="G109" s="20"/>
      <x:c r="H109" s="2" t="str">
        <x:f>IF(D109="Rate",IF(COUNT(F109:G109)&lt;2,"",IF(G109=0,"n.a.",F109/G109)),IF(COUNT(E109)=0,"",E109))</x:f>
      </x:c>
      <x:c r="I109" s="2" t="str">
        <x:f>IF(AND(ISNUMBER(H109),ISNUMBER(C109)),H109-C109,"")</x:f>
      </x:c>
      <x:c r="J109" s="2" t="str">
        <x:v>inquiries</x:v>
      </x:c>
      <x:c r="K109" s="2" t="str">
        <x:v>Nova</x:v>
      </x:c>
      <x:c r="L109" s="28" t="str"/>
      <x:c r="M109" s="20"/>
      <x:c r="N109" s="21"/>
      <x:c r="O109" s="26" t="str">
        <x:v>Unique ICP-matched practices that express relevant interest, need or timing; Nova records practice type, decision-maker access, case volume, service need and readiness within 30–60 days. Raw records, opens and connection accepts do not qualify.</x:v>
      </x:c>
      <x:c r="P109" s="26" t="str">
        <x:v>Original proposal pages 2 and 4 define qualification; 40 by Dec 16 and intermediate pace are newly proposed recovery targets.</x:v>
      </x:c>
      <x:c r="Q109" s="2" t="n">
        <x:f>IF(ISNUMBER(H109),1,0)</x:f>
        <x:v>0</x:v>
      </x:c>
    </x:row>
    <x:row r="110" ht="46" customHeight="1">
      <x:c r="A110" s="17" t="n">
        <x:v>46323</x:v>
      </x:c>
      <x:c r="B110" s="2" t="str">
        <x:v>Qualified conversations booked</x:v>
      </x:c>
      <x:c r="C110" s="2" t="n">
        <x:v>0</x:v>
      </x:c>
      <x:c r="D110" s="2" t="str">
        <x:v>Cumulative total</x:v>
      </x:c>
      <x:c r="E110" s="20"/>
      <x:c r="F110" s="20"/>
      <x:c r="G110" s="20"/>
      <x:c r="H110" s="2" t="str">
        <x:f>IF(D110="Rate",IF(COUNT(F110:G110)&lt;2,"",IF(G110=0,"n.a.",F110/G110)),IF(COUNT(E110)=0,"",E110))</x:f>
      </x:c>
      <x:c r="I110" s="2" t="str">
        <x:f>IF(AND(ISNUMBER(H110),ISNUMBER(C110)),H110-C110,"")</x:f>
      </x:c>
      <x:c r="J110" s="2" t="str">
        <x:v>bookings</x:v>
      </x:c>
      <x:c r="K110" s="2" t="str">
        <x:v>Nova</x:v>
      </x:c>
      <x:c r="L110" s="28" t="str"/>
      <x:c r="M110" s="20"/>
      <x:c r="N110" s="21"/>
      <x:c r="O110" s="26" t="str">
        <x:v>Unique qualified calls/visits booked with Nic; rebooking same opportunity is not a new booking.</x:v>
      </x:c>
      <x:c r="P110" s="26" t="str">
        <x:v>PDF §10; final deadline advanced to user Dec 16</x:v>
      </x:c>
      <x:c r="Q110" s="2" t="n">
        <x:f>IF(ISNUMBER(H110),1,0)</x:f>
        <x:v>0</x:v>
      </x:c>
    </x:row>
    <x:row r="111" ht="46" customHeight="1">
      <x:c r="A111" s="17" t="n">
        <x:v>46323</x:v>
      </x:c>
      <x:c r="B111" s="2" t="str">
        <x:v>Qualified conversations held</x:v>
      </x:c>
      <x:c r="C111" s="2" t="n">
        <x:v>0</x:v>
      </x:c>
      <x:c r="D111" s="2" t="str">
        <x:v>Cumulative total</x:v>
      </x:c>
      <x:c r="E111" s="20"/>
      <x:c r="F111" s="20"/>
      <x:c r="G111" s="20"/>
      <x:c r="H111" s="2" t="str">
        <x:f>IF(D111="Rate",IF(COUNT(F111:G111)&lt;2,"",IF(G111=0,"n.a.",F111/G111)),IF(COUNT(E111)=0,"",E111))</x:f>
      </x:c>
      <x:c r="I111" s="2" t="str">
        <x:f>IF(AND(ISNUMBER(H111),ISNUMBER(C111)),H111-C111,"")</x:f>
      </x:c>
      <x:c r="J111" s="2" t="str">
        <x:v>held</x:v>
      </x:c>
      <x:c r="K111" s="2" t="str">
        <x:v>Nova</x:v>
      </x:c>
      <x:c r="L111" s="28" t="str"/>
      <x:c r="M111" s="20"/>
      <x:c r="N111" s="21"/>
      <x:c r="O111" s="26" t="str">
        <x:v>Completed qualified calls/visits; 6 and 15 are integer planning proxies for 70% of 8 and 75% of 20.</x:v>
      </x:c>
      <x:c r="P111" s="26" t="str">
        <x:v>Derived from source held-rate targets</x:v>
      </x:c>
      <x:c r="Q111" s="2" t="n">
        <x:f>IF(ISNUMBER(H111),1,0)</x:f>
        <x:v>0</x:v>
      </x:c>
    </x:row>
    <x:row r="112" ht="46" customHeight="1">
      <x:c r="A112" s="17" t="n">
        <x:v>46323</x:v>
      </x:c>
      <x:c r="B112" s="2" t="str">
        <x:v>Trial cases received by DSI</x:v>
      </x:c>
      <x:c r="C112" s="2" t="n">
        <x:v>0</x:v>
      </x:c>
      <x:c r="D112" s="2" t="str">
        <x:v>Cumulative total</x:v>
      </x:c>
      <x:c r="E112" s="20"/>
      <x:c r="F112" s="20"/>
      <x:c r="G112" s="20"/>
      <x:c r="H112" s="2" t="str">
        <x:f>IF(D112="Rate",IF(COUNT(F112:G112)&lt;2,"",IF(G112=0,"n.a.",F112/G112)),IF(COUNT(E112)=0,"",E112))</x:f>
      </x:c>
      <x:c r="I112" s="2" t="str">
        <x:f>IF(AND(ISNUMBER(H112),ISNUMBER(C112)),H112-C112,"")</x:f>
      </x:c>
      <x:c r="J112" s="2" t="str">
        <x:v>trials</x:v>
      </x:c>
      <x:c r="K112" s="2" t="str">
        <x:v>Maseeha</x:v>
      </x:c>
      <x:c r="L112" s="28" t="str"/>
      <x:c r="M112" s="20"/>
      <x:c r="N112" s="21"/>
      <x:c r="O112" s="26" t="str">
        <x:v>Practice’s first trial case received by DSI, not merely promised or shipped; subject to Maseeha capacity.</x:v>
      </x:c>
      <x:c r="P112" s="26" t="str">
        <x:v>PDF §10; final deadline advanced to user Dec 16</x:v>
      </x:c>
      <x:c r="Q112" s="2" t="n">
        <x:f>IF(ISNUMBER(H112),1,0)</x:f>
        <x:v>0</x:v>
      </x:c>
    </x:row>
    <x:row r="113" ht="46" customHeight="1">
      <x:c r="A113" s="17" t="n">
        <x:v>46323</x:v>
      </x:c>
      <x:c r="B113" s="2" t="str">
        <x:v>Recurring accounts signed</x:v>
      </x:c>
      <x:c r="C113" s="2"/>
      <x:c r="D113" s="2" t="str">
        <x:v>Cumulative total</x:v>
      </x:c>
      <x:c r="E113" s="20"/>
      <x:c r="F113" s="20"/>
      <x:c r="G113" s="20"/>
      <x:c r="H113" s="2" t="str">
        <x:f>IF(D113="Rate",IF(COUNT(F113:G113)&lt;2,"",IF(G113=0,"n.a.",F113/G113)),IF(COUNT(E113)=0,"",E113))</x:f>
      </x:c>
      <x:c r="I113" s="2" t="str">
        <x:f>IF(AND(ISNUMBER(H113),ISNUMBER(C113)),H113-C113,"")</x:f>
      </x:c>
      <x:c r="J113" s="2" t="str">
        <x:v>accounts</x:v>
      </x:c>
      <x:c r="K113" s="2" t="str">
        <x:v>Nic</x:v>
      </x:c>
      <x:c r="L113" s="28" t="str"/>
      <x:c r="M113" s="20"/>
      <x:c r="N113" s="21"/>
      <x:c r="O113" s="26" t="str">
        <x:v>Plan signed following Day-30 review; only mature trial cohorts eligible. 1–3 is a conditional range.</x:v>
      </x:c>
      <x:c r="P113" s="26" t="str">
        <x:v>PDF §10</x:v>
      </x:c>
      <x:c r="Q113" s="2" t="n">
        <x:f>IF(ISNUMBER(H113),1,0)</x:f>
        <x:v>0</x:v>
      </x:c>
    </x:row>
    <x:row r="114" ht="46" customHeight="1">
      <x:c r="A114" s="17" t="n">
        <x:v>46323</x:v>
      </x:c>
      <x:c r="B114" s="2" t="str">
        <x:v>Referral-sourced bookings</x:v>
      </x:c>
      <x:c r="C114" s="2" t="n">
        <x:v>0</x:v>
      </x:c>
      <x:c r="D114" s="2" t="str">
        <x:v>Cumulative total</x:v>
      </x:c>
      <x:c r="E114" s="20"/>
      <x:c r="F114" s="20"/>
      <x:c r="G114" s="20"/>
      <x:c r="H114" s="2" t="str">
        <x:f>IF(D114="Rate",IF(COUNT(F114:G114)&lt;2,"",IF(G114=0,"n.a.",F114/G114)),IF(COUNT(E114)=0,"",E114))</x:f>
      </x:c>
      <x:c r="I114" s="2" t="str">
        <x:f>IF(AND(ISNUMBER(H114),ISNUMBER(C114)),H114-C114,"")</x:f>
      </x:c>
      <x:c r="J114" s="2" t="str">
        <x:v>bookings</x:v>
      </x:c>
      <x:c r="K114" s="2" t="str">
        <x:v>Nova</x:v>
      </x:c>
      <x:c r="L114" s="28" t="str"/>
      <x:c r="M114" s="20"/>
      <x:c r="N114" s="21"/>
      <x:c r="O114" s="26" t="str">
        <x:v>Subset of booked total with primary Source=Referral; never added on top of all-channel bookings.</x:v>
      </x:c>
      <x:c r="P114" s="26" t="str">
        <x:v>PDF §§10, 16</x:v>
      </x:c>
      <x:c r="Q114" s="2" t="n">
        <x:f>IF(ISNUMBER(H114),1,0)</x:f>
        <x:v>0</x:v>
      </x:c>
    </x:row>
    <x:row r="115" ht="46" customHeight="1">
      <x:c r="A115" s="17" t="n">
        <x:v>46323</x:v>
      </x:c>
      <x:c r="B115" s="2" t="str">
        <x:v>LinkedIn DM-sourced bookings</x:v>
      </x:c>
      <x:c r="C115" s="2" t="n">
        <x:v>0</x:v>
      </x:c>
      <x:c r="D115" s="2" t="str">
        <x:v>Cumulative total</x:v>
      </x:c>
      <x:c r="E115" s="20"/>
      <x:c r="F115" s="20"/>
      <x:c r="G115" s="20"/>
      <x:c r="H115" s="2" t="str">
        <x:f>IF(D115="Rate",IF(COUNT(F115:G115)&lt;2,"",IF(G115=0,"n.a.",F115/G115)),IF(COUNT(E115)=0,"",E115))</x:f>
      </x:c>
      <x:c r="I115" s="2" t="str">
        <x:f>IF(AND(ISNUMBER(H115),ISNUMBER(C115)),H115-C115,"")</x:f>
      </x:c>
      <x:c r="J115" s="2" t="str">
        <x:v>bookings</x:v>
      </x:c>
      <x:c r="K115" s="2" t="str">
        <x:v>Dexter</x:v>
      </x:c>
      <x:c r="L115" s="28" t="str"/>
      <x:c r="M115" s="20"/>
      <x:c r="N115" s="21"/>
      <x:c r="O115" s="26" t="str">
        <x:v>Subset of booked total with primary Source=LinkedIn DM; assists tracked separately.</x:v>
      </x:c>
      <x:c r="P115" s="26" t="str">
        <x:v>PDF §§10, 17 a</x:v>
      </x:c>
      <x:c r="Q115" s="2" t="n">
        <x:f>IF(ISNUMBER(H115),1,0)</x:f>
        <x:v>0</x:v>
      </x:c>
    </x:row>
    <x:row r="116" ht="46" customHeight="1">
      <x:c r="A116" s="17" t="n">
        <x:v>46323</x:v>
      </x:c>
      <x:c r="B116" s="2" t="str">
        <x:v>Verified contacts ready</x:v>
      </x:c>
      <x:c r="C116" s="2" t="n">
        <x:v>250</x:v>
      </x:c>
      <x:c r="D116" s="2" t="str">
        <x:v>Cumulative total</x:v>
      </x:c>
      <x:c r="E116" s="20"/>
      <x:c r="F116" s="20"/>
      <x:c r="G116" s="20"/>
      <x:c r="H116" s="2" t="str">
        <x:f>IF(D116="Rate",IF(COUNT(F116:G116)&lt;2,"",IF(G116=0,"n.a.",F116/G116)),IF(COUNT(E116)=0,"",E116))</x:f>
      </x:c>
      <x:c r="I116" s="2" t="str">
        <x:f>IF(AND(ISNUMBER(H116),ISNUMBER(C116)),H116-C116,"")</x:f>
      </x:c>
      <x:c r="J116" s="2" t="str">
        <x:v>contacts</x:v>
      </x:c>
      <x:c r="K116" s="2" t="str">
        <x:v>Joey</x:v>
      </x:c>
      <x:c r="L116" s="28" t="str"/>
      <x:c r="M116" s="20"/>
      <x:c r="N116" s="21"/>
      <x:c r="O116" s="26" t="str">
        <x:v>Unique contacts passing Scout and loaded in CQL; count once per contact.</x:v>
      </x:c>
      <x:c r="P116" s="26" t="str">
        <x:v>PDF §§10, 14; 750 due Dec 12 moved to Fri Dec 11</x:v>
      </x:c>
      <x:c r="Q116" s="2" t="n">
        <x:f>IF(ISNUMBER(H116),1,0)</x:f>
        <x:v>0</x:v>
      </x:c>
    </x:row>
    <x:row r="117" ht="46" customHeight="1">
      <x:c r="A117" s="17" t="n">
        <x:v>46323</x:v>
      </x:c>
      <x:c r="B117" s="2" t="str">
        <x:v>Permission-based referral introductions</x:v>
      </x:c>
      <x:c r="C117" s="2" t="n">
        <x:v>0</x:v>
      </x:c>
      <x:c r="D117" s="2" t="str">
        <x:v>Cumulative total</x:v>
      </x:c>
      <x:c r="E117" s="20"/>
      <x:c r="F117" s="20"/>
      <x:c r="G117" s="20"/>
      <x:c r="H117" s="2" t="str">
        <x:f>IF(D117="Rate",IF(COUNT(F117:G117)&lt;2,"",IF(G117=0,"n.a.",F117/G117)),IF(COUNT(E117)=0,"",E117))</x:f>
      </x:c>
      <x:c r="I117" s="2" t="str">
        <x:f>IF(AND(ISNUMBER(H117),ISNUMBER(C117)),H117-C117,"")</x:f>
      </x:c>
      <x:c r="J117" s="2" t="str">
        <x:v>introductions</x:v>
      </x:c>
      <x:c r="K117" s="2" t="str">
        <x:v>Maseeha</x:v>
      </x:c>
      <x:c r="L117" s="28" t="str"/>
      <x:c r="M117" s="20"/>
      <x:c r="N117" s="21"/>
      <x:c r="O117" s="26" t="str">
        <x:v>Unique introductions with consent and referrer recorded, verified by Maseeha within 2 business days.</x:v>
      </x:c>
      <x:c r="P117" s="26" t="str">
        <x:v>PDF §§10, 16</x:v>
      </x:c>
      <x:c r="Q117" s="2" t="n">
        <x:f>IF(ISNUMBER(H117),1,0)</x:f>
        <x:v>0</x:v>
      </x:c>
    </x:row>
    <x:row r="118" ht="46" customHeight="1">
      <x:c r="A118" s="17" t="n">
        <x:v>46323</x:v>
      </x:c>
      <x:c r="B118" s="2" t="str">
        <x:v>Human reply rate</x:v>
      </x:c>
      <x:c r="C118" s="40" t="n">
        <x:v>0.02</x:v>
      </x:c>
      <x:c r="D118" s="2" t="str">
        <x:v>Rate</x:v>
      </x:c>
      <x:c r="E118" s="20"/>
      <x:c r="F118" s="20"/>
      <x:c r="G118" s="20"/>
      <x:c r="H118" s="40" t="str">
        <x:f>IF(D118="Rate",IF(COUNT(F118:G118)&lt;2,"",IF(G118=0,"n.a.",F118/G118)),IF(COUNT(E118)=0,"",E118))</x:f>
      </x:c>
      <x:c r="I118" s="40" t="str">
        <x:f>IF(AND(ISNUMBER(H118),ISNUMBER(C118)),H118-C118,"")</x:f>
      </x:c>
      <x:c r="J118" s="2" t="str">
        <x:v>%</x:v>
      </x:c>
      <x:c r="K118" s="2" t="str">
        <x:v>Kenneth</x:v>
      </x:c>
      <x:c r="L118" s="28" t="str"/>
      <x:c r="M118" s="20"/>
      <x:c r="N118" s="21"/>
      <x:c r="O118" s="26" t="str">
        <x:v>Unique emailed contacts that give a qualifying human reply / unique contacts emailed in the same send cohort. Exclude OOO, auto-replies, bounces and unsubscribe-only replies. Deduplicate contacts across sequence steps; zero denominator is N/A.</x:v>
      </x:c>
      <x:c r="P118" s="26" t="str">
        <x:v>PDF §10</x:v>
      </x:c>
      <x:c r="Q118" s="2" t="n">
        <x:f>IF(ISNUMBER(H118),1,0)</x:f>
        <x:v>0</x:v>
      </x:c>
    </x:row>
    <x:row r="119" ht="46" customHeight="1">
      <x:c r="A119" s="17" t="n">
        <x:v>46323</x:v>
      </x:c>
      <x:c r="B119" s="2" t="str">
        <x:v>Positive reply rate</x:v>
      </x:c>
      <x:c r="C119" s="40" t="n">
        <x:v>0.01</x:v>
      </x:c>
      <x:c r="D119" s="2" t="str">
        <x:v>Rate</x:v>
      </x:c>
      <x:c r="E119" s="20"/>
      <x:c r="F119" s="20"/>
      <x:c r="G119" s="20"/>
      <x:c r="H119" s="40" t="str">
        <x:f>IF(D119="Rate",IF(COUNT(F119:G119)&lt;2,"",IF(G119=0,"n.a.",F119/G119)),IF(COUNT(E119)=0,"",E119))</x:f>
      </x:c>
      <x:c r="I119" s="40" t="str">
        <x:f>IF(AND(ISNUMBER(H119),ISNUMBER(C119)),H119-C119,"")</x:f>
      </x:c>
      <x:c r="J119" s="2" t="str">
        <x:v>%</x:v>
      </x:c>
      <x:c r="K119" s="2" t="str">
        <x:v>Kenneth</x:v>
      </x:c>
      <x:c r="L119" s="28" t="str"/>
      <x:c r="M119" s="20"/>
      <x:c r="N119" s="21"/>
      <x:c r="O119" s="26" t="str">
        <x:v>Unique emailed contacts classified interested or relevant question / unique contacts emailed in the same send cohort. Deduplicate across sequence steps; zero denominator is N/A. Keep this email rate separate from all-channel qualified inquiries.</x:v>
      </x:c>
      <x:c r="P119" s="26" t="str">
        <x:v>PDF §10</x:v>
      </x:c>
      <x:c r="Q119" s="2" t="n">
        <x:f>IF(ISNUMBER(H119),1,0)</x:f>
        <x:v>0</x:v>
      </x:c>
    </x:row>
    <x:row r="120" ht="46" customHeight="1">
      <x:c r="A120" s="17" t="n">
        <x:v>46323</x:v>
      </x:c>
      <x:c r="B120" s="2" t="str">
        <x:v>Replies answered within 15 minutes</x:v>
      </x:c>
      <x:c r="C120" s="40" t="n">
        <x:v>1</x:v>
      </x:c>
      <x:c r="D120" s="2" t="str">
        <x:v>Rate</x:v>
      </x:c>
      <x:c r="E120" s="20"/>
      <x:c r="F120" s="20"/>
      <x:c r="G120" s="20"/>
      <x:c r="H120" s="40" t="str">
        <x:f>IF(D120="Rate",IF(COUNT(F120:G120)&lt;2,"",IF(G120=0,"n.a.",F120/G120)),IF(COUNT(E120)=0,"",E120))</x:f>
      </x:c>
      <x:c r="I120" s="40" t="str">
        <x:f>IF(AND(ISNUMBER(H120),ISNUMBER(C120)),H120-C120,"")</x:f>
      </x:c>
      <x:c r="J120" s="2" t="str">
        <x:v>%</x:v>
      </x:c>
      <x:c r="K120" s="2" t="str">
        <x:v>Nova</x:v>
      </x:c>
      <x:c r="L120" s="28" t="str"/>
      <x:c r="M120" s="20"/>
      <x:c r="N120" s="21"/>
      <x:c r="O120"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20" s="26" t="str">
        <x:v>PDF §9; clock convention clarified for tracker</x:v>
      </x:c>
      <x:c r="Q120" s="2" t="n">
        <x:f>IF(ISNUMBER(H120),1,0)</x:f>
        <x:v>0</x:v>
      </x:c>
    </x:row>
    <x:row r="121" ht="46" customHeight="1">
      <x:c r="A121" s="17" t="n">
        <x:v>46323</x:v>
      </x:c>
      <x:c r="B121" s="2" t="str">
        <x:v>Held rate</x:v>
      </x:c>
      <x:c r="C121" s="40" t="n">
        <x:v>0.7</x:v>
      </x:c>
      <x:c r="D121" s="2" t="str">
        <x:v>Rate</x:v>
      </x:c>
      <x:c r="E121" s="20"/>
      <x:c r="F121" s="20"/>
      <x:c r="G121" s="20"/>
      <x:c r="H121" s="40" t="str">
        <x:f>IF(D121="Rate",IF(COUNT(F121:G121)&lt;2,"",IF(G121=0,"n.a.",F121/G121)),IF(COUNT(E121)=0,"",E121))</x:f>
      </x:c>
      <x:c r="I121" s="40" t="str">
        <x:f>IF(AND(ISNUMBER(H121),ISNUMBER(C121)),H121-C121,"")</x:f>
      </x:c>
      <x:c r="J121" s="2" t="str">
        <x:v>%</x:v>
      </x:c>
      <x:c r="K121" s="2" t="str">
        <x:v>Nova</x:v>
      </x:c>
      <x:c r="L121" s="28" t="str"/>
      <x:c r="M121" s="20"/>
      <x:c r="N121" s="21"/>
      <x:c r="O121" s="26" t="str">
        <x:v>Qualified conversations actually held / unique booked conversations whose scheduled time has passed. Exclude upcoming appointments. Rebooking the same opportunity is not a second booking. A zero denominator is N/A.</x:v>
      </x:c>
      <x:c r="P121" s="26" t="str">
        <x:v>PDF §10; due-cohort denominator clarified</x:v>
      </x:c>
      <x:c r="Q121" s="2" t="n">
        <x:f>IF(ISNUMBER(H121),1,0)</x:f>
        <x:v>0</x:v>
      </x:c>
    </x:row>
    <x:row r="122" ht="46" customHeight="1">
      <x:c r="A122" s="17" t="n">
        <x:v>46323</x:v>
      </x:c>
      <x:c r="B122" s="2" t="str">
        <x:v>Positive-to-booked conversion</x:v>
      </x:c>
      <x:c r="C122" s="40" t="n">
        <x:v>0.5</x:v>
      </x:c>
      <x:c r="D122" s="2" t="str">
        <x:v>Rate</x:v>
      </x:c>
      <x:c r="E122" s="20"/>
      <x:c r="F122" s="20"/>
      <x:c r="G122" s="20"/>
      <x:c r="H122" s="40" t="str">
        <x:f>IF(D122="Rate",IF(COUNT(F122:G122)&lt;2,"",IF(G122=0,"n.a.",F122/G122)),IF(COUNT(E122)=0,"",E122))</x:f>
      </x:c>
      <x:c r="I122" s="40" t="str">
        <x:f>IF(AND(ISNUMBER(H122),ISNUMBER(C122)),H122-C122,"")</x:f>
      </x:c>
      <x:c r="J122" s="2" t="str">
        <x:v>%</x:v>
      </x:c>
      <x:c r="K122" s="2" t="str">
        <x:v>Nova</x:v>
      </x:c>
      <x:c r="L122" s="28" t="str"/>
      <x:c r="M122" s="20"/>
      <x:c r="N122" s="21"/>
      <x:c r="O122" s="26" t="str">
        <x:v>Unique email-positive opportunities booked / unique email-positive opportunities in the same reviewed cohort. Use a documented follow-up window. This differs from the all-channel 40-inquiry/20-booking planning assumption. A zero denominator is N/A.</x:v>
      </x:c>
      <x:c r="P122" s="26" t="str">
        <x:v>PDF §9</x:v>
      </x:c>
      <x:c r="Q122" s="2" t="n">
        <x:f>IF(ISNUMBER(H122),1,0)</x:f>
        <x:v>0</x:v>
      </x:c>
    </x:row>
    <x:row r="123" ht="46" customHeight="1">
      <x:c r="A123" s="17" t="n">
        <x:v>46323</x:v>
      </x:c>
      <x:c r="B123" s="2" t="str">
        <x:v>Existing-account referral asks</x:v>
      </x:c>
      <x:c r="C123" s="2" t="n">
        <x:v>0</x:v>
      </x:c>
      <x:c r="D123" s="2" t="str">
        <x:v>Cumulative total</x:v>
      </x:c>
      <x:c r="E123" s="20"/>
      <x:c r="F123" s="20"/>
      <x:c r="G123" s="20"/>
      <x:c r="H123" s="2" t="str">
        <x:f>IF(D123="Rate",IF(COUNT(F123:G123)&lt;2,"",IF(G123=0,"n.a.",F123/G123)),IF(COUNT(E123)=0,"",E123))</x:f>
      </x:c>
      <x:c r="I123" s="2" t="str">
        <x:f>IF(AND(ISNUMBER(H123),ISNUMBER(C123)),H123-C123,"")</x:f>
      </x:c>
      <x:c r="J123" s="2" t="str">
        <x:v>accounts asked</x:v>
      </x:c>
      <x:c r="K123" s="2" t="str">
        <x:v>Maseeha</x:v>
      </x:c>
      <x:c r="L123" s="28" t="str"/>
      <x:c r="M123" s="20"/>
      <x:c r="N123" s="21"/>
      <x:c r="O123" s="26" t="str">
        <x:v>Ask 25 unique A/B accounts (5 A and 20 B) by November 13; proposed pace 35 total by November 20; complete the remaining C accounts to reach 41 total by November 25. One introduction is the ask; asks and received intros are separate counts.</x:v>
      </x:c>
      <x:c r="P123" s="26" t="str">
        <x:v>PDF §16 supplies 25 A/B byNov 14 and 16 C byNov 25; Friday deadline and 35-byNov 20 pace are proposed scheduling allocations.</x:v>
      </x:c>
      <x:c r="Q123" s="2" t="n">
        <x:f>IF(ISNUMBER(H123),1,0)</x:f>
        <x:v>0</x:v>
      </x:c>
    </x:row>
    <x:row r="124" ht="46" customHeight="1">
      <x:c r="A124" s="17" t="n">
        <x:v>46323</x:v>
      </x:c>
      <x:c r="B124" s="2" t="str">
        <x:v>Approved SOPs</x:v>
      </x:c>
      <x:c r="C124" s="2"/>
      <x:c r="D124" s="2" t="str">
        <x:v>Cumulative total</x:v>
      </x:c>
      <x:c r="E124" s="20"/>
      <x:c r="F124" s="20"/>
      <x:c r="G124" s="20"/>
      <x:c r="H124" s="2" t="str">
        <x:f>IF(D124="Rate",IF(COUNT(F124:G124)&lt;2,"",IF(G124=0,"n.a.",F124/G124)),IF(COUNT(E124)=0,"",E124))</x:f>
      </x:c>
      <x:c r="I124" s="2" t="str">
        <x:f>IF(AND(ISNUMBER(H124),ISNUMBER(C124)),H124-C124,"")</x:f>
      </x:c>
      <x:c r="J124" s="2" t="str">
        <x:v>SOPs</x:v>
      </x:c>
      <x:c r="K124" s="2" t="str">
        <x:v>Wyline</x:v>
      </x:c>
      <x:c r="L124" s="28" t="str"/>
      <x:c r="M124" s="20"/>
      <x:c r="N124" s="21"/>
      <x:c r="O124" s="26" t="str">
        <x:v>10 core SOPs plus ADS-01 and SOC-01 additions; approved version and independent-run evidence required.</x:v>
      </x:c>
      <x:c r="P124" s="26" t="str">
        <x:v>PDF §8 with §§17 b–d additions</x:v>
      </x:c>
      <x:c r="Q124" s="2" t="n">
        <x:f>IF(ISNUMBER(H124),1,0)</x:f>
        <x:v>0</x:v>
      </x:c>
    </x:row>
    <x:row r="125" ht="46" customHeight="1">
      <x:c r="A125" s="17" t="n">
        <x:v>46323</x:v>
      </x:c>
      <x:c r="B125" s="2" t="str">
        <x:v>Accepted AI agents</x:v>
      </x:c>
      <x:c r="C125" s="2"/>
      <x:c r="D125" s="2" t="str">
        <x:v>Cumulative total</x:v>
      </x:c>
      <x:c r="E125" s="20"/>
      <x:c r="F125" s="20"/>
      <x:c r="G125" s="20"/>
      <x:c r="H125" s="2" t="str">
        <x:f>IF(D125="Rate",IF(COUNT(F125:G125)&lt;2,"",IF(G125=0,"n.a.",F125/G125)),IF(COUNT(E125)=0,"",E125))</x:f>
      </x:c>
      <x:c r="I125" s="2" t="str">
        <x:f>IF(AND(ISNUMBER(H125),ISNUMBER(C125)),H125-C125,"")</x:f>
      </x:c>
      <x:c r="J125" s="2" t="str">
        <x:v>agents</x:v>
      </x:c>
      <x:c r="K125" s="2" t="str">
        <x:v>Emman</x:v>
      </x:c>
      <x:c r="L125" s="28" t="str"/>
      <x:c r="M125" s="20"/>
      <x:c r="N125" s="21"/>
      <x:c r="O125" s="26" t="str">
        <x:v>Scout, Writer, Inbox, Phone Assist, LinkedIn Assist, Follow-up, Scoreboard and Client Reporter; acceptance evidence required.</x:v>
      </x:c>
      <x:c r="P125" s="26" t="str">
        <x:v>PDF §7</x:v>
      </x:c>
      <x:c r="Q125" s="2" t="n">
        <x:f>IF(ISNUMBER(H125),1,0)</x:f>
        <x:v>0</x:v>
      </x:c>
    </x:row>
    <x:row r="126" ht="46" customHeight="1">
      <x:c r="A126" s="17" t="n">
        <x:v>46324</x:v>
      </x:c>
      <x:c r="B126" s="2" t="str">
        <x:v>Qualified inquiries</x:v>
      </x:c>
      <x:c r="C126" s="2" t="n">
        <x:v>0</x:v>
      </x:c>
      <x:c r="D126" s="2" t="str">
        <x:v>Cumulative total</x:v>
      </x:c>
      <x:c r="E126" s="20"/>
      <x:c r="F126" s="20"/>
      <x:c r="G126" s="20"/>
      <x:c r="H126" s="2" t="str">
        <x:f>IF(D126="Rate",IF(COUNT(F126:G126)&lt;2,"",IF(G126=0,"n.a.",F126/G126)),IF(COUNT(E126)=0,"",E126))</x:f>
      </x:c>
      <x:c r="I126" s="2" t="str">
        <x:f>IF(AND(ISNUMBER(H126),ISNUMBER(C126)),H126-C126,"")</x:f>
      </x:c>
      <x:c r="J126" s="2" t="str">
        <x:v>inquiries</x:v>
      </x:c>
      <x:c r="K126" s="2" t="str">
        <x:v>Nova</x:v>
      </x:c>
      <x:c r="L126" s="28" t="str"/>
      <x:c r="M126" s="20"/>
      <x:c r="N126" s="21"/>
      <x:c r="O126" s="26" t="str">
        <x:v>Unique ICP-matched practices that express relevant interest, need or timing; Nova records practice type, decision-maker access, case volume, service need and readiness within 30–60 days. Raw records, opens and connection accepts do not qualify.</x:v>
      </x:c>
      <x:c r="P126" s="26" t="str">
        <x:v>Original proposal pages 2 and 4 define qualification; 40 by Dec 16 and intermediate pace are newly proposed recovery targets.</x:v>
      </x:c>
      <x:c r="Q126" s="2" t="n">
        <x:f>IF(ISNUMBER(H126),1,0)</x:f>
        <x:v>0</x:v>
      </x:c>
    </x:row>
    <x:row r="127" ht="46" customHeight="1">
      <x:c r="A127" s="17" t="n">
        <x:v>46324</x:v>
      </x:c>
      <x:c r="B127" s="2" t="str">
        <x:v>Qualified conversations booked</x:v>
      </x:c>
      <x:c r="C127" s="2" t="n">
        <x:v>0</x:v>
      </x:c>
      <x:c r="D127" s="2" t="str">
        <x:v>Cumulative total</x:v>
      </x:c>
      <x:c r="E127" s="20"/>
      <x:c r="F127" s="20"/>
      <x:c r="G127" s="20"/>
      <x:c r="H127" s="2" t="str">
        <x:f>IF(D127="Rate",IF(COUNT(F127:G127)&lt;2,"",IF(G127=0,"n.a.",F127/G127)),IF(COUNT(E127)=0,"",E127))</x:f>
      </x:c>
      <x:c r="I127" s="2" t="str">
        <x:f>IF(AND(ISNUMBER(H127),ISNUMBER(C127)),H127-C127,"")</x:f>
      </x:c>
      <x:c r="J127" s="2" t="str">
        <x:v>bookings</x:v>
      </x:c>
      <x:c r="K127" s="2" t="str">
        <x:v>Nova</x:v>
      </x:c>
      <x:c r="L127" s="28" t="str"/>
      <x:c r="M127" s="20"/>
      <x:c r="N127" s="21"/>
      <x:c r="O127" s="26" t="str">
        <x:v>Unique qualified calls/visits booked with Nic; rebooking same opportunity is not a new booking.</x:v>
      </x:c>
      <x:c r="P127" s="26" t="str">
        <x:v>PDF §10; final deadline advanced to user Dec 16</x:v>
      </x:c>
      <x:c r="Q127" s="2" t="n">
        <x:f>IF(ISNUMBER(H127),1,0)</x:f>
        <x:v>0</x:v>
      </x:c>
    </x:row>
    <x:row r="128" ht="46" customHeight="1">
      <x:c r="A128" s="17" t="n">
        <x:v>46324</x:v>
      </x:c>
      <x:c r="B128" s="2" t="str">
        <x:v>Qualified conversations held</x:v>
      </x:c>
      <x:c r="C128" s="2" t="n">
        <x:v>0</x:v>
      </x:c>
      <x:c r="D128" s="2" t="str">
        <x:v>Cumulative total</x:v>
      </x:c>
      <x:c r="E128" s="20"/>
      <x:c r="F128" s="20"/>
      <x:c r="G128" s="20"/>
      <x:c r="H128" s="2" t="str">
        <x:f>IF(D128="Rate",IF(COUNT(F128:G128)&lt;2,"",IF(G128=0,"n.a.",F128/G128)),IF(COUNT(E128)=0,"",E128))</x:f>
      </x:c>
      <x:c r="I128" s="2" t="str">
        <x:f>IF(AND(ISNUMBER(H128),ISNUMBER(C128)),H128-C128,"")</x:f>
      </x:c>
      <x:c r="J128" s="2" t="str">
        <x:v>held</x:v>
      </x:c>
      <x:c r="K128" s="2" t="str">
        <x:v>Nova</x:v>
      </x:c>
      <x:c r="L128" s="28" t="str"/>
      <x:c r="M128" s="20"/>
      <x:c r="N128" s="21"/>
      <x:c r="O128" s="26" t="str">
        <x:v>Completed qualified calls/visits; 6 and 15 are integer planning proxies for 70% of 8 and 75% of 20.</x:v>
      </x:c>
      <x:c r="P128" s="26" t="str">
        <x:v>Derived from source held-rate targets</x:v>
      </x:c>
      <x:c r="Q128" s="2" t="n">
        <x:f>IF(ISNUMBER(H128),1,0)</x:f>
        <x:v>0</x:v>
      </x:c>
    </x:row>
    <x:row r="129" ht="46" customHeight="1">
      <x:c r="A129" s="17" t="n">
        <x:v>46324</x:v>
      </x:c>
      <x:c r="B129" s="2" t="str">
        <x:v>Trial cases received by DSI</x:v>
      </x:c>
      <x:c r="C129" s="2" t="n">
        <x:v>0</x:v>
      </x:c>
      <x:c r="D129" s="2" t="str">
        <x:v>Cumulative total</x:v>
      </x:c>
      <x:c r="E129" s="20"/>
      <x:c r="F129" s="20"/>
      <x:c r="G129" s="20"/>
      <x:c r="H129" s="2" t="str">
        <x:f>IF(D129="Rate",IF(COUNT(F129:G129)&lt;2,"",IF(G129=0,"n.a.",F129/G129)),IF(COUNT(E129)=0,"",E129))</x:f>
      </x:c>
      <x:c r="I129" s="2" t="str">
        <x:f>IF(AND(ISNUMBER(H129),ISNUMBER(C129)),H129-C129,"")</x:f>
      </x:c>
      <x:c r="J129" s="2" t="str">
        <x:v>trials</x:v>
      </x:c>
      <x:c r="K129" s="2" t="str">
        <x:v>Maseeha</x:v>
      </x:c>
      <x:c r="L129" s="28" t="str"/>
      <x:c r="M129" s="20"/>
      <x:c r="N129" s="21"/>
      <x:c r="O129" s="26" t="str">
        <x:v>Practice’s first trial case received by DSI, not merely promised or shipped; subject to Maseeha capacity.</x:v>
      </x:c>
      <x:c r="P129" s="26" t="str">
        <x:v>PDF §10; final deadline advanced to user Dec 16</x:v>
      </x:c>
      <x:c r="Q129" s="2" t="n">
        <x:f>IF(ISNUMBER(H129),1,0)</x:f>
        <x:v>0</x:v>
      </x:c>
    </x:row>
    <x:row r="130" ht="46" customHeight="1">
      <x:c r="A130" s="17" t="n">
        <x:v>46324</x:v>
      </x:c>
      <x:c r="B130" s="2" t="str">
        <x:v>Recurring accounts signed</x:v>
      </x:c>
      <x:c r="C130" s="2"/>
      <x:c r="D130" s="2" t="str">
        <x:v>Cumulative total</x:v>
      </x:c>
      <x:c r="E130" s="20"/>
      <x:c r="F130" s="20"/>
      <x:c r="G130" s="20"/>
      <x:c r="H130" s="2" t="str">
        <x:f>IF(D130="Rate",IF(COUNT(F130:G130)&lt;2,"",IF(G130=0,"n.a.",F130/G130)),IF(COUNT(E130)=0,"",E130))</x:f>
      </x:c>
      <x:c r="I130" s="2" t="str">
        <x:f>IF(AND(ISNUMBER(H130),ISNUMBER(C130)),H130-C130,"")</x:f>
      </x:c>
      <x:c r="J130" s="2" t="str">
        <x:v>accounts</x:v>
      </x:c>
      <x:c r="K130" s="2" t="str">
        <x:v>Nic</x:v>
      </x:c>
      <x:c r="L130" s="28" t="str"/>
      <x:c r="M130" s="20"/>
      <x:c r="N130" s="21"/>
      <x:c r="O130" s="26" t="str">
        <x:v>Plan signed following Day-30 review; only mature trial cohorts eligible. 1–3 is a conditional range.</x:v>
      </x:c>
      <x:c r="P130" s="26" t="str">
        <x:v>PDF §10</x:v>
      </x:c>
      <x:c r="Q130" s="2" t="n">
        <x:f>IF(ISNUMBER(H130),1,0)</x:f>
        <x:v>0</x:v>
      </x:c>
    </x:row>
    <x:row r="131" ht="46" customHeight="1">
      <x:c r="A131" s="17" t="n">
        <x:v>46324</x:v>
      </x:c>
      <x:c r="B131" s="2" t="str">
        <x:v>Referral-sourced bookings</x:v>
      </x:c>
      <x:c r="C131" s="2" t="n">
        <x:v>0</x:v>
      </x:c>
      <x:c r="D131" s="2" t="str">
        <x:v>Cumulative total</x:v>
      </x:c>
      <x:c r="E131" s="20"/>
      <x:c r="F131" s="20"/>
      <x:c r="G131" s="20"/>
      <x:c r="H131" s="2" t="str">
        <x:f>IF(D131="Rate",IF(COUNT(F131:G131)&lt;2,"",IF(G131=0,"n.a.",F131/G131)),IF(COUNT(E131)=0,"",E131))</x:f>
      </x:c>
      <x:c r="I131" s="2" t="str">
        <x:f>IF(AND(ISNUMBER(H131),ISNUMBER(C131)),H131-C131,"")</x:f>
      </x:c>
      <x:c r="J131" s="2" t="str">
        <x:v>bookings</x:v>
      </x:c>
      <x:c r="K131" s="2" t="str">
        <x:v>Nova</x:v>
      </x:c>
      <x:c r="L131" s="28" t="str"/>
      <x:c r="M131" s="20"/>
      <x:c r="N131" s="21"/>
      <x:c r="O131" s="26" t="str">
        <x:v>Subset of booked total with primary Source=Referral; never added on top of all-channel bookings.</x:v>
      </x:c>
      <x:c r="P131" s="26" t="str">
        <x:v>PDF §§10, 16</x:v>
      </x:c>
      <x:c r="Q131" s="2" t="n">
        <x:f>IF(ISNUMBER(H131),1,0)</x:f>
        <x:v>0</x:v>
      </x:c>
    </x:row>
    <x:row r="132" ht="46" customHeight="1">
      <x:c r="A132" s="17" t="n">
        <x:v>46324</x:v>
      </x:c>
      <x:c r="B132" s="2" t="str">
        <x:v>LinkedIn DM-sourced bookings</x:v>
      </x:c>
      <x:c r="C132" s="2" t="n">
        <x:v>0</x:v>
      </x:c>
      <x:c r="D132" s="2" t="str">
        <x:v>Cumulative total</x:v>
      </x:c>
      <x:c r="E132" s="20"/>
      <x:c r="F132" s="20"/>
      <x:c r="G132" s="20"/>
      <x:c r="H132" s="2" t="str">
        <x:f>IF(D132="Rate",IF(COUNT(F132:G132)&lt;2,"",IF(G132=0,"n.a.",F132/G132)),IF(COUNT(E132)=0,"",E132))</x:f>
      </x:c>
      <x:c r="I132" s="2" t="str">
        <x:f>IF(AND(ISNUMBER(H132),ISNUMBER(C132)),H132-C132,"")</x:f>
      </x:c>
      <x:c r="J132" s="2" t="str">
        <x:v>bookings</x:v>
      </x:c>
      <x:c r="K132" s="2" t="str">
        <x:v>Dexter</x:v>
      </x:c>
      <x:c r="L132" s="28" t="str"/>
      <x:c r="M132" s="20"/>
      <x:c r="N132" s="21"/>
      <x:c r="O132" s="26" t="str">
        <x:v>Subset of booked total with primary Source=LinkedIn DM; assists tracked separately.</x:v>
      </x:c>
      <x:c r="P132" s="26" t="str">
        <x:v>PDF §§10, 17 a</x:v>
      </x:c>
      <x:c r="Q132" s="2" t="n">
        <x:f>IF(ISNUMBER(H132),1,0)</x:f>
        <x:v>0</x:v>
      </x:c>
    </x:row>
    <x:row r="133" ht="46" customHeight="1">
      <x:c r="A133" s="17" t="n">
        <x:v>46324</x:v>
      </x:c>
      <x:c r="B133" s="2" t="str">
        <x:v>Verified contacts ready</x:v>
      </x:c>
      <x:c r="C133" s="2" t="n">
        <x:v>250</x:v>
      </x:c>
      <x:c r="D133" s="2" t="str">
        <x:v>Cumulative total</x:v>
      </x:c>
      <x:c r="E133" s="20"/>
      <x:c r="F133" s="20"/>
      <x:c r="G133" s="20"/>
      <x:c r="H133" s="2" t="str">
        <x:f>IF(D133="Rate",IF(COUNT(F133:G133)&lt;2,"",IF(G133=0,"n.a.",F133/G133)),IF(COUNT(E133)=0,"",E133))</x:f>
      </x:c>
      <x:c r="I133" s="2" t="str">
        <x:f>IF(AND(ISNUMBER(H133),ISNUMBER(C133)),H133-C133,"")</x:f>
      </x:c>
      <x:c r="J133" s="2" t="str">
        <x:v>contacts</x:v>
      </x:c>
      <x:c r="K133" s="2" t="str">
        <x:v>Joey</x:v>
      </x:c>
      <x:c r="L133" s="28" t="str"/>
      <x:c r="M133" s="20"/>
      <x:c r="N133" s="21"/>
      <x:c r="O133" s="26" t="str">
        <x:v>Unique contacts passing Scout and loaded in CQL; count once per contact.</x:v>
      </x:c>
      <x:c r="P133" s="26" t="str">
        <x:v>PDF §§10, 14; 750 due Dec 12 moved to Fri Dec 11</x:v>
      </x:c>
      <x:c r="Q133" s="2" t="n">
        <x:f>IF(ISNUMBER(H133),1,0)</x:f>
        <x:v>0</x:v>
      </x:c>
    </x:row>
    <x:row r="134" ht="46" customHeight="1">
      <x:c r="A134" s="17" t="n">
        <x:v>46324</x:v>
      </x:c>
      <x:c r="B134" s="2" t="str">
        <x:v>Permission-based referral introductions</x:v>
      </x:c>
      <x:c r="C134" s="2" t="n">
        <x:v>0</x:v>
      </x:c>
      <x:c r="D134" s="2" t="str">
        <x:v>Cumulative total</x:v>
      </x:c>
      <x:c r="E134" s="20"/>
      <x:c r="F134" s="20"/>
      <x:c r="G134" s="20"/>
      <x:c r="H134" s="2" t="str">
        <x:f>IF(D134="Rate",IF(COUNT(F134:G134)&lt;2,"",IF(G134=0,"n.a.",F134/G134)),IF(COUNT(E134)=0,"",E134))</x:f>
      </x:c>
      <x:c r="I134" s="2" t="str">
        <x:f>IF(AND(ISNUMBER(H134),ISNUMBER(C134)),H134-C134,"")</x:f>
      </x:c>
      <x:c r="J134" s="2" t="str">
        <x:v>introductions</x:v>
      </x:c>
      <x:c r="K134" s="2" t="str">
        <x:v>Maseeha</x:v>
      </x:c>
      <x:c r="L134" s="28" t="str"/>
      <x:c r="M134" s="20"/>
      <x:c r="N134" s="21"/>
      <x:c r="O134" s="26" t="str">
        <x:v>Unique introductions with consent and referrer recorded, verified by Maseeha within 2 business days.</x:v>
      </x:c>
      <x:c r="P134" s="26" t="str">
        <x:v>PDF §§10, 16</x:v>
      </x:c>
      <x:c r="Q134" s="2" t="n">
        <x:f>IF(ISNUMBER(H134),1,0)</x:f>
        <x:v>0</x:v>
      </x:c>
    </x:row>
    <x:row r="135" ht="46" customHeight="1">
      <x:c r="A135" s="17" t="n">
        <x:v>46324</x:v>
      </x:c>
      <x:c r="B135" s="2" t="str">
        <x:v>Human reply rate</x:v>
      </x:c>
      <x:c r="C135" s="40" t="n">
        <x:v>0.02</x:v>
      </x:c>
      <x:c r="D135" s="2" t="str">
        <x:v>Rate</x:v>
      </x:c>
      <x:c r="E135" s="20"/>
      <x:c r="F135" s="20"/>
      <x:c r="G135" s="20"/>
      <x:c r="H135" s="40" t="str">
        <x:f>IF(D135="Rate",IF(COUNT(F135:G135)&lt;2,"",IF(G135=0,"n.a.",F135/G135)),IF(COUNT(E135)=0,"",E135))</x:f>
      </x:c>
      <x:c r="I135" s="40" t="str">
        <x:f>IF(AND(ISNUMBER(H135),ISNUMBER(C135)),H135-C135,"")</x:f>
      </x:c>
      <x:c r="J135" s="2" t="str">
        <x:v>%</x:v>
      </x:c>
      <x:c r="K135" s="2" t="str">
        <x:v>Kenneth</x:v>
      </x:c>
      <x:c r="L135" s="28" t="str"/>
      <x:c r="M135" s="20"/>
      <x:c r="N135" s="21"/>
      <x:c r="O135" s="26" t="str">
        <x:v>Unique emailed contacts that give a qualifying human reply / unique contacts emailed in the same send cohort. Exclude OOO, auto-replies, bounces and unsubscribe-only replies. Deduplicate contacts across sequence steps; zero denominator is N/A.</x:v>
      </x:c>
      <x:c r="P135" s="26" t="str">
        <x:v>PDF §10</x:v>
      </x:c>
      <x:c r="Q135" s="2" t="n">
        <x:f>IF(ISNUMBER(H135),1,0)</x:f>
        <x:v>0</x:v>
      </x:c>
    </x:row>
    <x:row r="136" ht="46" customHeight="1">
      <x:c r="A136" s="17" t="n">
        <x:v>46324</x:v>
      </x:c>
      <x:c r="B136" s="2" t="str">
        <x:v>Positive reply rate</x:v>
      </x:c>
      <x:c r="C136" s="40" t="n">
        <x:v>0.01</x:v>
      </x:c>
      <x:c r="D136" s="2" t="str">
        <x:v>Rate</x:v>
      </x:c>
      <x:c r="E136" s="20"/>
      <x:c r="F136" s="20"/>
      <x:c r="G136" s="20"/>
      <x:c r="H136" s="40" t="str">
        <x:f>IF(D136="Rate",IF(COUNT(F136:G136)&lt;2,"",IF(G136=0,"n.a.",F136/G136)),IF(COUNT(E136)=0,"",E136))</x:f>
      </x:c>
      <x:c r="I136" s="40" t="str">
        <x:f>IF(AND(ISNUMBER(H136),ISNUMBER(C136)),H136-C136,"")</x:f>
      </x:c>
      <x:c r="J136" s="2" t="str">
        <x:v>%</x:v>
      </x:c>
      <x:c r="K136" s="2" t="str">
        <x:v>Kenneth</x:v>
      </x:c>
      <x:c r="L136" s="28" t="str"/>
      <x:c r="M136" s="20"/>
      <x:c r="N136" s="21"/>
      <x:c r="O136" s="26" t="str">
        <x:v>Unique emailed contacts classified interested or relevant question / unique contacts emailed in the same send cohort. Deduplicate across sequence steps; zero denominator is N/A. Keep this email rate separate from all-channel qualified inquiries.</x:v>
      </x:c>
      <x:c r="P136" s="26" t="str">
        <x:v>PDF §10</x:v>
      </x:c>
      <x:c r="Q136" s="2" t="n">
        <x:f>IF(ISNUMBER(H136),1,0)</x:f>
        <x:v>0</x:v>
      </x:c>
    </x:row>
    <x:row r="137" ht="46" customHeight="1">
      <x:c r="A137" s="17" t="n">
        <x:v>46324</x:v>
      </x:c>
      <x:c r="B137" s="2" t="str">
        <x:v>Replies answered within 15 minutes</x:v>
      </x:c>
      <x:c r="C137" s="40" t="n">
        <x:v>1</x:v>
      </x:c>
      <x:c r="D137" s="2" t="str">
        <x:v>Rate</x:v>
      </x:c>
      <x:c r="E137" s="20"/>
      <x:c r="F137" s="20"/>
      <x:c r="G137" s="20"/>
      <x:c r="H137" s="40" t="str">
        <x:f>IF(D137="Rate",IF(COUNT(F137:G137)&lt;2,"",IF(G137=0,"n.a.",F137/G137)),IF(COUNT(E137)=0,"",E137))</x:f>
      </x:c>
      <x:c r="I137" s="40" t="str">
        <x:f>IF(AND(ISNUMBER(H137),ISNUMBER(C137)),H137-C137,"")</x:f>
      </x:c>
      <x:c r="J137" s="2" t="str">
        <x:v>%</x:v>
      </x:c>
      <x:c r="K137" s="2" t="str">
        <x:v>Nova</x:v>
      </x:c>
      <x:c r="L137" s="28" t="str"/>
      <x:c r="M137" s="20"/>
      <x:c r="N137" s="21"/>
      <x:c r="O137"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37" s="26" t="str">
        <x:v>PDF §9; clock convention clarified for tracker</x:v>
      </x:c>
      <x:c r="Q137" s="2" t="n">
        <x:f>IF(ISNUMBER(H137),1,0)</x:f>
        <x:v>0</x:v>
      </x:c>
    </x:row>
    <x:row r="138" ht="46" customHeight="1">
      <x:c r="A138" s="17" t="n">
        <x:v>46324</x:v>
      </x:c>
      <x:c r="B138" s="2" t="str">
        <x:v>Held rate</x:v>
      </x:c>
      <x:c r="C138" s="40" t="n">
        <x:v>0.7</x:v>
      </x:c>
      <x:c r="D138" s="2" t="str">
        <x:v>Rate</x:v>
      </x:c>
      <x:c r="E138" s="20"/>
      <x:c r="F138" s="20"/>
      <x:c r="G138" s="20"/>
      <x:c r="H138" s="40" t="str">
        <x:f>IF(D138="Rate",IF(COUNT(F138:G138)&lt;2,"",IF(G138=0,"n.a.",F138/G138)),IF(COUNT(E138)=0,"",E138))</x:f>
      </x:c>
      <x:c r="I138" s="40" t="str">
        <x:f>IF(AND(ISNUMBER(H138),ISNUMBER(C138)),H138-C138,"")</x:f>
      </x:c>
      <x:c r="J138" s="2" t="str">
        <x:v>%</x:v>
      </x:c>
      <x:c r="K138" s="2" t="str">
        <x:v>Nova</x:v>
      </x:c>
      <x:c r="L138" s="28" t="str"/>
      <x:c r="M138" s="20"/>
      <x:c r="N138" s="21"/>
      <x:c r="O138" s="26" t="str">
        <x:v>Qualified conversations actually held / unique booked conversations whose scheduled time has passed. Exclude upcoming appointments. Rebooking the same opportunity is not a second booking. A zero denominator is N/A.</x:v>
      </x:c>
      <x:c r="P138" s="26" t="str">
        <x:v>PDF §10; due-cohort denominator clarified</x:v>
      </x:c>
      <x:c r="Q138" s="2" t="n">
        <x:f>IF(ISNUMBER(H138),1,0)</x:f>
        <x:v>0</x:v>
      </x:c>
    </x:row>
    <x:row r="139" ht="46" customHeight="1">
      <x:c r="A139" s="17" t="n">
        <x:v>46324</x:v>
      </x:c>
      <x:c r="B139" s="2" t="str">
        <x:v>Positive-to-booked conversion</x:v>
      </x:c>
      <x:c r="C139" s="40" t="n">
        <x:v>0.5</x:v>
      </x:c>
      <x:c r="D139" s="2" t="str">
        <x:v>Rate</x:v>
      </x:c>
      <x:c r="E139" s="20"/>
      <x:c r="F139" s="20"/>
      <x:c r="G139" s="20"/>
      <x:c r="H139" s="40" t="str">
        <x:f>IF(D139="Rate",IF(COUNT(F139:G139)&lt;2,"",IF(G139=0,"n.a.",F139/G139)),IF(COUNT(E139)=0,"",E139))</x:f>
      </x:c>
      <x:c r="I139" s="40" t="str">
        <x:f>IF(AND(ISNUMBER(H139),ISNUMBER(C139)),H139-C139,"")</x:f>
      </x:c>
      <x:c r="J139" s="2" t="str">
        <x:v>%</x:v>
      </x:c>
      <x:c r="K139" s="2" t="str">
        <x:v>Nova</x:v>
      </x:c>
      <x:c r="L139" s="28" t="str"/>
      <x:c r="M139" s="20"/>
      <x:c r="N139" s="21"/>
      <x:c r="O139" s="26" t="str">
        <x:v>Unique email-positive opportunities booked / unique email-positive opportunities in the same reviewed cohort. Use a documented follow-up window. This differs from the all-channel 40-inquiry/20-booking planning assumption. A zero denominator is N/A.</x:v>
      </x:c>
      <x:c r="P139" s="26" t="str">
        <x:v>PDF §9</x:v>
      </x:c>
      <x:c r="Q139" s="2" t="n">
        <x:f>IF(ISNUMBER(H139),1,0)</x:f>
        <x:v>0</x:v>
      </x:c>
    </x:row>
    <x:row r="140" ht="46" customHeight="1">
      <x:c r="A140" s="17" t="n">
        <x:v>46324</x:v>
      </x:c>
      <x:c r="B140" s="2" t="str">
        <x:v>Existing-account referral asks</x:v>
      </x:c>
      <x:c r="C140" s="2" t="n">
        <x:v>0</x:v>
      </x:c>
      <x:c r="D140" s="2" t="str">
        <x:v>Cumulative total</x:v>
      </x:c>
      <x:c r="E140" s="20"/>
      <x:c r="F140" s="20"/>
      <x:c r="G140" s="20"/>
      <x:c r="H140" s="2" t="str">
        <x:f>IF(D140="Rate",IF(COUNT(F140:G140)&lt;2,"",IF(G140=0,"n.a.",F140/G140)),IF(COUNT(E140)=0,"",E140))</x:f>
      </x:c>
      <x:c r="I140" s="2" t="str">
        <x:f>IF(AND(ISNUMBER(H140),ISNUMBER(C140)),H140-C140,"")</x:f>
      </x:c>
      <x:c r="J140" s="2" t="str">
        <x:v>accounts asked</x:v>
      </x:c>
      <x:c r="K140" s="2" t="str">
        <x:v>Maseeha</x:v>
      </x:c>
      <x:c r="L140" s="28" t="str"/>
      <x:c r="M140" s="20"/>
      <x:c r="N140" s="21"/>
      <x:c r="O140" s="26" t="str">
        <x:v>Ask 25 unique A/B accounts (5 A and 20 B) by November 13; proposed pace 35 total by November 20; complete the remaining C accounts to reach 41 total by November 25. One introduction is the ask; asks and received intros are separate counts.</x:v>
      </x:c>
      <x:c r="P140" s="26" t="str">
        <x:v>PDF §16 supplies 25 A/B byNov 14 and 16 C byNov 25; Friday deadline and 35-byNov 20 pace are proposed scheduling allocations.</x:v>
      </x:c>
      <x:c r="Q140" s="2" t="n">
        <x:f>IF(ISNUMBER(H140),1,0)</x:f>
        <x:v>0</x:v>
      </x:c>
    </x:row>
    <x:row r="141" ht="46" customHeight="1">
      <x:c r="A141" s="17" t="n">
        <x:v>46324</x:v>
      </x:c>
      <x:c r="B141" s="2" t="str">
        <x:v>Approved SOPs</x:v>
      </x:c>
      <x:c r="C141" s="2"/>
      <x:c r="D141" s="2" t="str">
        <x:v>Cumulative total</x:v>
      </x:c>
      <x:c r="E141" s="20"/>
      <x:c r="F141" s="20"/>
      <x:c r="G141" s="20"/>
      <x:c r="H141" s="2" t="str">
        <x:f>IF(D141="Rate",IF(COUNT(F141:G141)&lt;2,"",IF(G141=0,"n.a.",F141/G141)),IF(COUNT(E141)=0,"",E141))</x:f>
      </x:c>
      <x:c r="I141" s="2" t="str">
        <x:f>IF(AND(ISNUMBER(H141),ISNUMBER(C141)),H141-C141,"")</x:f>
      </x:c>
      <x:c r="J141" s="2" t="str">
        <x:v>SOPs</x:v>
      </x:c>
      <x:c r="K141" s="2" t="str">
        <x:v>Wyline</x:v>
      </x:c>
      <x:c r="L141" s="28" t="str"/>
      <x:c r="M141" s="20"/>
      <x:c r="N141" s="21"/>
      <x:c r="O141" s="26" t="str">
        <x:v>10 core SOPs plus ADS-01 and SOC-01 additions; approved version and independent-run evidence required.</x:v>
      </x:c>
      <x:c r="P141" s="26" t="str">
        <x:v>PDF §8 with §§17 b–d additions</x:v>
      </x:c>
      <x:c r="Q141" s="2" t="n">
        <x:f>IF(ISNUMBER(H141),1,0)</x:f>
        <x:v>0</x:v>
      </x:c>
    </x:row>
    <x:row r="142" ht="46" customHeight="1">
      <x:c r="A142" s="17" t="n">
        <x:v>46324</x:v>
      </x:c>
      <x:c r="B142" s="2" t="str">
        <x:v>Accepted AI agents</x:v>
      </x:c>
      <x:c r="C142" s="2"/>
      <x:c r="D142" s="2" t="str">
        <x:v>Cumulative total</x:v>
      </x:c>
      <x:c r="E142" s="20"/>
      <x:c r="F142" s="20"/>
      <x:c r="G142" s="20"/>
      <x:c r="H142" s="2" t="str">
        <x:f>IF(D142="Rate",IF(COUNT(F142:G142)&lt;2,"",IF(G142=0,"n.a.",F142/G142)),IF(COUNT(E142)=0,"",E142))</x:f>
      </x:c>
      <x:c r="I142" s="2" t="str">
        <x:f>IF(AND(ISNUMBER(H142),ISNUMBER(C142)),H142-C142,"")</x:f>
      </x:c>
      <x:c r="J142" s="2" t="str">
        <x:v>agents</x:v>
      </x:c>
      <x:c r="K142" s="2" t="str">
        <x:v>Emman</x:v>
      </x:c>
      <x:c r="L142" s="28" t="str"/>
      <x:c r="M142" s="20"/>
      <x:c r="N142" s="21"/>
      <x:c r="O142" s="26" t="str">
        <x:v>Scout, Writer, Inbox, Phone Assist, LinkedIn Assist, Follow-up, Scoreboard and Client Reporter; acceptance evidence required.</x:v>
      </x:c>
      <x:c r="P142" s="26" t="str">
        <x:v>PDF §7</x:v>
      </x:c>
      <x:c r="Q142" s="2" t="n">
        <x:f>IF(ISNUMBER(H142),1,0)</x:f>
        <x:v>0</x:v>
      </x:c>
    </x:row>
    <x:row r="143" ht="46" customHeight="1">
      <x:c r="A143" s="17" t="n">
        <x:v>46325</x:v>
      </x:c>
      <x:c r="B143" s="2" t="str">
        <x:v>Qualified inquiries</x:v>
      </x:c>
      <x:c r="C143" s="2" t="n">
        <x:v>0</x:v>
      </x:c>
      <x:c r="D143" s="2" t="str">
        <x:v>Cumulative total</x:v>
      </x:c>
      <x:c r="E143" s="20"/>
      <x:c r="F143" s="20"/>
      <x:c r="G143" s="20"/>
      <x:c r="H143" s="2" t="str">
        <x:f>IF(D143="Rate",IF(COUNT(F143:G143)&lt;2,"",IF(G143=0,"n.a.",F143/G143)),IF(COUNT(E143)=0,"",E143))</x:f>
      </x:c>
      <x:c r="I143" s="2" t="str">
        <x:f>IF(AND(ISNUMBER(H143),ISNUMBER(C143)),H143-C143,"")</x:f>
      </x:c>
      <x:c r="J143" s="2" t="str">
        <x:v>inquiries</x:v>
      </x:c>
      <x:c r="K143" s="2" t="str">
        <x:v>Nova</x:v>
      </x:c>
      <x:c r="L143" s="28" t="str"/>
      <x:c r="M143" s="20"/>
      <x:c r="N143" s="21"/>
      <x:c r="O143" s="26" t="str">
        <x:v>Unique ICP-matched practices that express relevant interest, need or timing; Nova records practice type, decision-maker access, case volume, service need and readiness within 30–60 days. Raw records, opens and connection accepts do not qualify.</x:v>
      </x:c>
      <x:c r="P143" s="26" t="str">
        <x:v>Original proposal pages 2 and 4 define qualification; 40 by Dec 16 and intermediate pace are newly proposed recovery targets.</x:v>
      </x:c>
      <x:c r="Q143" s="2" t="n">
        <x:f>IF(ISNUMBER(H143),1,0)</x:f>
        <x:v>0</x:v>
      </x:c>
    </x:row>
    <x:row r="144" ht="46" customHeight="1">
      <x:c r="A144" s="17" t="n">
        <x:v>46325</x:v>
      </x:c>
      <x:c r="B144" s="2" t="str">
        <x:v>Qualified conversations booked</x:v>
      </x:c>
      <x:c r="C144" s="2" t="n">
        <x:v>0</x:v>
      </x:c>
      <x:c r="D144" s="2" t="str">
        <x:v>Cumulative total</x:v>
      </x:c>
      <x:c r="E144" s="20"/>
      <x:c r="F144" s="20"/>
      <x:c r="G144" s="20"/>
      <x:c r="H144" s="2" t="str">
        <x:f>IF(D144="Rate",IF(COUNT(F144:G144)&lt;2,"",IF(G144=0,"n.a.",F144/G144)),IF(COUNT(E144)=0,"",E144))</x:f>
      </x:c>
      <x:c r="I144" s="2" t="str">
        <x:f>IF(AND(ISNUMBER(H144),ISNUMBER(C144)),H144-C144,"")</x:f>
      </x:c>
      <x:c r="J144" s="2" t="str">
        <x:v>bookings</x:v>
      </x:c>
      <x:c r="K144" s="2" t="str">
        <x:v>Nova</x:v>
      </x:c>
      <x:c r="L144" s="28" t="str"/>
      <x:c r="M144" s="20"/>
      <x:c r="N144" s="21"/>
      <x:c r="O144" s="26" t="str">
        <x:v>Unique qualified calls/visits booked with Nic; rebooking same opportunity is not a new booking.</x:v>
      </x:c>
      <x:c r="P144" s="26" t="str">
        <x:v>PDF §10; final deadline advanced to user Dec 16</x:v>
      </x:c>
      <x:c r="Q144" s="2" t="n">
        <x:f>IF(ISNUMBER(H144),1,0)</x:f>
        <x:v>0</x:v>
      </x:c>
    </x:row>
    <x:row r="145" ht="46" customHeight="1">
      <x:c r="A145" s="17" t="n">
        <x:v>46325</x:v>
      </x:c>
      <x:c r="B145" s="2" t="str">
        <x:v>Qualified conversations held</x:v>
      </x:c>
      <x:c r="C145" s="2" t="n">
        <x:v>0</x:v>
      </x:c>
      <x:c r="D145" s="2" t="str">
        <x:v>Cumulative total</x:v>
      </x:c>
      <x:c r="E145" s="20"/>
      <x:c r="F145" s="20"/>
      <x:c r="G145" s="20"/>
      <x:c r="H145" s="2" t="str">
        <x:f>IF(D145="Rate",IF(COUNT(F145:G145)&lt;2,"",IF(G145=0,"n.a.",F145/G145)),IF(COUNT(E145)=0,"",E145))</x:f>
      </x:c>
      <x:c r="I145" s="2" t="str">
        <x:f>IF(AND(ISNUMBER(H145),ISNUMBER(C145)),H145-C145,"")</x:f>
      </x:c>
      <x:c r="J145" s="2" t="str">
        <x:v>held</x:v>
      </x:c>
      <x:c r="K145" s="2" t="str">
        <x:v>Nova</x:v>
      </x:c>
      <x:c r="L145" s="28" t="str"/>
      <x:c r="M145" s="20"/>
      <x:c r="N145" s="21"/>
      <x:c r="O145" s="26" t="str">
        <x:v>Completed qualified calls/visits; 6 and 15 are integer planning proxies for 70% of 8 and 75% of 20.</x:v>
      </x:c>
      <x:c r="P145" s="26" t="str">
        <x:v>Derived from source held-rate targets</x:v>
      </x:c>
      <x:c r="Q145" s="2" t="n">
        <x:f>IF(ISNUMBER(H145),1,0)</x:f>
        <x:v>0</x:v>
      </x:c>
    </x:row>
    <x:row r="146" ht="46" customHeight="1">
      <x:c r="A146" s="17" t="n">
        <x:v>46325</x:v>
      </x:c>
      <x:c r="B146" s="2" t="str">
        <x:v>Trial cases received by DSI</x:v>
      </x:c>
      <x:c r="C146" s="2" t="n">
        <x:v>0</x:v>
      </x:c>
      <x:c r="D146" s="2" t="str">
        <x:v>Cumulative total</x:v>
      </x:c>
      <x:c r="E146" s="20"/>
      <x:c r="F146" s="20"/>
      <x:c r="G146" s="20"/>
      <x:c r="H146" s="2" t="str">
        <x:f>IF(D146="Rate",IF(COUNT(F146:G146)&lt;2,"",IF(G146=0,"n.a.",F146/G146)),IF(COUNT(E146)=0,"",E146))</x:f>
      </x:c>
      <x:c r="I146" s="2" t="str">
        <x:f>IF(AND(ISNUMBER(H146),ISNUMBER(C146)),H146-C146,"")</x:f>
      </x:c>
      <x:c r="J146" s="2" t="str">
        <x:v>trials</x:v>
      </x:c>
      <x:c r="K146" s="2" t="str">
        <x:v>Maseeha</x:v>
      </x:c>
      <x:c r="L146" s="28" t="str"/>
      <x:c r="M146" s="20"/>
      <x:c r="N146" s="21"/>
      <x:c r="O146" s="26" t="str">
        <x:v>Practice’s first trial case received by DSI, not merely promised or shipped; subject to Maseeha capacity.</x:v>
      </x:c>
      <x:c r="P146" s="26" t="str">
        <x:v>PDF §10; final deadline advanced to user Dec 16</x:v>
      </x:c>
      <x:c r="Q146" s="2" t="n">
        <x:f>IF(ISNUMBER(H146),1,0)</x:f>
        <x:v>0</x:v>
      </x:c>
    </x:row>
    <x:row r="147" ht="46" customHeight="1">
      <x:c r="A147" s="17" t="n">
        <x:v>46325</x:v>
      </x:c>
      <x:c r="B147" s="2" t="str">
        <x:v>Recurring accounts signed</x:v>
      </x:c>
      <x:c r="C147" s="2"/>
      <x:c r="D147" s="2" t="str">
        <x:v>Cumulative total</x:v>
      </x:c>
      <x:c r="E147" s="20"/>
      <x:c r="F147" s="20"/>
      <x:c r="G147" s="20"/>
      <x:c r="H147" s="2" t="str">
        <x:f>IF(D147="Rate",IF(COUNT(F147:G147)&lt;2,"",IF(G147=0,"n.a.",F147/G147)),IF(COUNT(E147)=0,"",E147))</x:f>
      </x:c>
      <x:c r="I147" s="2" t="str">
        <x:f>IF(AND(ISNUMBER(H147),ISNUMBER(C147)),H147-C147,"")</x:f>
      </x:c>
      <x:c r="J147" s="2" t="str">
        <x:v>accounts</x:v>
      </x:c>
      <x:c r="K147" s="2" t="str">
        <x:v>Nic</x:v>
      </x:c>
      <x:c r="L147" s="28" t="str"/>
      <x:c r="M147" s="20"/>
      <x:c r="N147" s="21"/>
      <x:c r="O147" s="26" t="str">
        <x:v>Plan signed following Day-30 review; only mature trial cohorts eligible. 1–3 is a conditional range.</x:v>
      </x:c>
      <x:c r="P147" s="26" t="str">
        <x:v>PDF §10</x:v>
      </x:c>
      <x:c r="Q147" s="2" t="n">
        <x:f>IF(ISNUMBER(H147),1,0)</x:f>
        <x:v>0</x:v>
      </x:c>
    </x:row>
    <x:row r="148" ht="46" customHeight="1">
      <x:c r="A148" s="17" t="n">
        <x:v>46325</x:v>
      </x:c>
      <x:c r="B148" s="2" t="str">
        <x:v>Referral-sourced bookings</x:v>
      </x:c>
      <x:c r="C148" s="2" t="n">
        <x:v>0</x:v>
      </x:c>
      <x:c r="D148" s="2" t="str">
        <x:v>Cumulative total</x:v>
      </x:c>
      <x:c r="E148" s="20"/>
      <x:c r="F148" s="20"/>
      <x:c r="G148" s="20"/>
      <x:c r="H148" s="2" t="str">
        <x:f>IF(D148="Rate",IF(COUNT(F148:G148)&lt;2,"",IF(G148=0,"n.a.",F148/G148)),IF(COUNT(E148)=0,"",E148))</x:f>
      </x:c>
      <x:c r="I148" s="2" t="str">
        <x:f>IF(AND(ISNUMBER(H148),ISNUMBER(C148)),H148-C148,"")</x:f>
      </x:c>
      <x:c r="J148" s="2" t="str">
        <x:v>bookings</x:v>
      </x:c>
      <x:c r="K148" s="2" t="str">
        <x:v>Nova</x:v>
      </x:c>
      <x:c r="L148" s="28" t="str"/>
      <x:c r="M148" s="20"/>
      <x:c r="N148" s="21"/>
      <x:c r="O148" s="26" t="str">
        <x:v>Subset of booked total with primary Source=Referral; never added on top of all-channel bookings.</x:v>
      </x:c>
      <x:c r="P148" s="26" t="str">
        <x:v>PDF §§10, 16</x:v>
      </x:c>
      <x:c r="Q148" s="2" t="n">
        <x:f>IF(ISNUMBER(H148),1,0)</x:f>
        <x:v>0</x:v>
      </x:c>
    </x:row>
    <x:row r="149" ht="46" customHeight="1">
      <x:c r="A149" s="17" t="n">
        <x:v>46325</x:v>
      </x:c>
      <x:c r="B149" s="2" t="str">
        <x:v>LinkedIn DM-sourced bookings</x:v>
      </x:c>
      <x:c r="C149" s="2" t="n">
        <x:v>0</x:v>
      </x:c>
      <x:c r="D149" s="2" t="str">
        <x:v>Cumulative total</x:v>
      </x:c>
      <x:c r="E149" s="20"/>
      <x:c r="F149" s="20"/>
      <x:c r="G149" s="20"/>
      <x:c r="H149" s="2" t="str">
        <x:f>IF(D149="Rate",IF(COUNT(F149:G149)&lt;2,"",IF(G149=0,"n.a.",F149/G149)),IF(COUNT(E149)=0,"",E149))</x:f>
      </x:c>
      <x:c r="I149" s="2" t="str">
        <x:f>IF(AND(ISNUMBER(H149),ISNUMBER(C149)),H149-C149,"")</x:f>
      </x:c>
      <x:c r="J149" s="2" t="str">
        <x:v>bookings</x:v>
      </x:c>
      <x:c r="K149" s="2" t="str">
        <x:v>Dexter</x:v>
      </x:c>
      <x:c r="L149" s="28" t="str"/>
      <x:c r="M149" s="20"/>
      <x:c r="N149" s="21"/>
      <x:c r="O149" s="26" t="str">
        <x:v>Subset of booked total with primary Source=LinkedIn DM; assists tracked separately.</x:v>
      </x:c>
      <x:c r="P149" s="26" t="str">
        <x:v>PDF §§10, 17 a</x:v>
      </x:c>
      <x:c r="Q149" s="2" t="n">
        <x:f>IF(ISNUMBER(H149),1,0)</x:f>
        <x:v>0</x:v>
      </x:c>
    </x:row>
    <x:row r="150" ht="46" customHeight="1">
      <x:c r="A150" s="17" t="n">
        <x:v>46325</x:v>
      </x:c>
      <x:c r="B150" s="2" t="str">
        <x:v>Verified contacts ready</x:v>
      </x:c>
      <x:c r="C150" s="2" t="n">
        <x:v>250</x:v>
      </x:c>
      <x:c r="D150" s="2" t="str">
        <x:v>Cumulative total</x:v>
      </x:c>
      <x:c r="E150" s="20"/>
      <x:c r="F150" s="20"/>
      <x:c r="G150" s="20"/>
      <x:c r="H150" s="2" t="str">
        <x:f>IF(D150="Rate",IF(COUNT(F150:G150)&lt;2,"",IF(G150=0,"n.a.",F150/G150)),IF(COUNT(E150)=0,"",E150))</x:f>
      </x:c>
      <x:c r="I150" s="2" t="str">
        <x:f>IF(AND(ISNUMBER(H150),ISNUMBER(C150)),H150-C150,"")</x:f>
      </x:c>
      <x:c r="J150" s="2" t="str">
        <x:v>contacts</x:v>
      </x:c>
      <x:c r="K150" s="2" t="str">
        <x:v>Joey</x:v>
      </x:c>
      <x:c r="L150" s="28" t="str"/>
      <x:c r="M150" s="20"/>
      <x:c r="N150" s="21"/>
      <x:c r="O150" s="26" t="str">
        <x:v>Unique contacts passing Scout and loaded in CQL; count once per contact.</x:v>
      </x:c>
      <x:c r="P150" s="26" t="str">
        <x:v>PDF §§10, 14; 750 due Dec 12 moved to Fri Dec 11</x:v>
      </x:c>
      <x:c r="Q150" s="2" t="n">
        <x:f>IF(ISNUMBER(H150),1,0)</x:f>
        <x:v>0</x:v>
      </x:c>
    </x:row>
    <x:row r="151" ht="46" customHeight="1">
      <x:c r="A151" s="17" t="n">
        <x:v>46325</x:v>
      </x:c>
      <x:c r="B151" s="2" t="str">
        <x:v>Permission-based referral introductions</x:v>
      </x:c>
      <x:c r="C151" s="2" t="n">
        <x:v>0</x:v>
      </x:c>
      <x:c r="D151" s="2" t="str">
        <x:v>Cumulative total</x:v>
      </x:c>
      <x:c r="E151" s="20"/>
      <x:c r="F151" s="20"/>
      <x:c r="G151" s="20"/>
      <x:c r="H151" s="2" t="str">
        <x:f>IF(D151="Rate",IF(COUNT(F151:G151)&lt;2,"",IF(G151=0,"n.a.",F151/G151)),IF(COUNT(E151)=0,"",E151))</x:f>
      </x:c>
      <x:c r="I151" s="2" t="str">
        <x:f>IF(AND(ISNUMBER(H151),ISNUMBER(C151)),H151-C151,"")</x:f>
      </x:c>
      <x:c r="J151" s="2" t="str">
        <x:v>introductions</x:v>
      </x:c>
      <x:c r="K151" s="2" t="str">
        <x:v>Maseeha</x:v>
      </x:c>
      <x:c r="L151" s="28" t="str"/>
      <x:c r="M151" s="20"/>
      <x:c r="N151" s="21"/>
      <x:c r="O151" s="26" t="str">
        <x:v>Unique introductions with consent and referrer recorded, verified by Maseeha within 2 business days.</x:v>
      </x:c>
      <x:c r="P151" s="26" t="str">
        <x:v>PDF §§10, 16</x:v>
      </x:c>
      <x:c r="Q151" s="2" t="n">
        <x:f>IF(ISNUMBER(H151),1,0)</x:f>
        <x:v>0</x:v>
      </x:c>
    </x:row>
    <x:row r="152" ht="46" customHeight="1">
      <x:c r="A152" s="17" t="n">
        <x:v>46325</x:v>
      </x:c>
      <x:c r="B152" s="2" t="str">
        <x:v>Human reply rate</x:v>
      </x:c>
      <x:c r="C152" s="40" t="n">
        <x:v>0.02</x:v>
      </x:c>
      <x:c r="D152" s="2" t="str">
        <x:v>Rate</x:v>
      </x:c>
      <x:c r="E152" s="20"/>
      <x:c r="F152" s="20"/>
      <x:c r="G152" s="20"/>
      <x:c r="H152" s="40" t="str">
        <x:f>IF(D152="Rate",IF(COUNT(F152:G152)&lt;2,"",IF(G152=0,"n.a.",F152/G152)),IF(COUNT(E152)=0,"",E152))</x:f>
      </x:c>
      <x:c r="I152" s="40" t="str">
        <x:f>IF(AND(ISNUMBER(H152),ISNUMBER(C152)),H152-C152,"")</x:f>
      </x:c>
      <x:c r="J152" s="2" t="str">
        <x:v>%</x:v>
      </x:c>
      <x:c r="K152" s="2" t="str">
        <x:v>Kenneth</x:v>
      </x:c>
      <x:c r="L152" s="28" t="str"/>
      <x:c r="M152" s="20"/>
      <x:c r="N152" s="21"/>
      <x:c r="O152" s="26" t="str">
        <x:v>Unique emailed contacts that give a qualifying human reply / unique contacts emailed in the same send cohort. Exclude OOO, auto-replies, bounces and unsubscribe-only replies. Deduplicate contacts across sequence steps; zero denominator is N/A.</x:v>
      </x:c>
      <x:c r="P152" s="26" t="str">
        <x:v>PDF §10</x:v>
      </x:c>
      <x:c r="Q152" s="2" t="n">
        <x:f>IF(ISNUMBER(H152),1,0)</x:f>
        <x:v>0</x:v>
      </x:c>
    </x:row>
    <x:row r="153" ht="46" customHeight="1">
      <x:c r="A153" s="17" t="n">
        <x:v>46325</x:v>
      </x:c>
      <x:c r="B153" s="2" t="str">
        <x:v>Positive reply rate</x:v>
      </x:c>
      <x:c r="C153" s="40" t="n">
        <x:v>0.01</x:v>
      </x:c>
      <x:c r="D153" s="2" t="str">
        <x:v>Rate</x:v>
      </x:c>
      <x:c r="E153" s="20"/>
      <x:c r="F153" s="20"/>
      <x:c r="G153" s="20"/>
      <x:c r="H153" s="40" t="str">
        <x:f>IF(D153="Rate",IF(COUNT(F153:G153)&lt;2,"",IF(G153=0,"n.a.",F153/G153)),IF(COUNT(E153)=0,"",E153))</x:f>
      </x:c>
      <x:c r="I153" s="40" t="str">
        <x:f>IF(AND(ISNUMBER(H153),ISNUMBER(C153)),H153-C153,"")</x:f>
      </x:c>
      <x:c r="J153" s="2" t="str">
        <x:v>%</x:v>
      </x:c>
      <x:c r="K153" s="2" t="str">
        <x:v>Kenneth</x:v>
      </x:c>
      <x:c r="L153" s="28" t="str"/>
      <x:c r="M153" s="20"/>
      <x:c r="N153" s="21"/>
      <x:c r="O153" s="26" t="str">
        <x:v>Unique emailed contacts classified interested or relevant question / unique contacts emailed in the same send cohort. Deduplicate across sequence steps; zero denominator is N/A. Keep this email rate separate from all-channel qualified inquiries.</x:v>
      </x:c>
      <x:c r="P153" s="26" t="str">
        <x:v>PDF §10</x:v>
      </x:c>
      <x:c r="Q153" s="2" t="n">
        <x:f>IF(ISNUMBER(H153),1,0)</x:f>
        <x:v>0</x:v>
      </x:c>
    </x:row>
    <x:row r="154" ht="46" customHeight="1">
      <x:c r="A154" s="17" t="n">
        <x:v>46325</x:v>
      </x:c>
      <x:c r="B154" s="2" t="str">
        <x:v>Replies answered within 15 minutes</x:v>
      </x:c>
      <x:c r="C154" s="40" t="n">
        <x:v>1</x:v>
      </x:c>
      <x:c r="D154" s="2" t="str">
        <x:v>Rate</x:v>
      </x:c>
      <x:c r="E154" s="20"/>
      <x:c r="F154" s="20"/>
      <x:c r="G154" s="20"/>
      <x:c r="H154" s="40" t="str">
        <x:f>IF(D154="Rate",IF(COUNT(F154:G154)&lt;2,"",IF(G154=0,"n.a.",F154/G154)),IF(COUNT(E154)=0,"",E154))</x:f>
      </x:c>
      <x:c r="I154" s="40" t="str">
        <x:f>IF(AND(ISNUMBER(H154),ISNUMBER(C154)),H154-C154,"")</x:f>
      </x:c>
      <x:c r="J154" s="2" t="str">
        <x:v>%</x:v>
      </x:c>
      <x:c r="K154" s="2" t="str">
        <x:v>Nova</x:v>
      </x:c>
      <x:c r="L154" s="28" t="str"/>
      <x:c r="M154" s="20"/>
      <x:c r="N154" s="21"/>
      <x:c r="O154"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54" s="26" t="str">
        <x:v>PDF §9; clock convention clarified for tracker</x:v>
      </x:c>
      <x:c r="Q154" s="2" t="n">
        <x:f>IF(ISNUMBER(H154),1,0)</x:f>
        <x:v>0</x:v>
      </x:c>
    </x:row>
    <x:row r="155" ht="46" customHeight="1">
      <x:c r="A155" s="17" t="n">
        <x:v>46325</x:v>
      </x:c>
      <x:c r="B155" s="2" t="str">
        <x:v>Held rate</x:v>
      </x:c>
      <x:c r="C155" s="40" t="n">
        <x:v>0.7</x:v>
      </x:c>
      <x:c r="D155" s="2" t="str">
        <x:v>Rate</x:v>
      </x:c>
      <x:c r="E155" s="20"/>
      <x:c r="F155" s="20"/>
      <x:c r="G155" s="20"/>
      <x:c r="H155" s="40" t="str">
        <x:f>IF(D155="Rate",IF(COUNT(F155:G155)&lt;2,"",IF(G155=0,"n.a.",F155/G155)),IF(COUNT(E155)=0,"",E155))</x:f>
      </x:c>
      <x:c r="I155" s="40" t="str">
        <x:f>IF(AND(ISNUMBER(H155),ISNUMBER(C155)),H155-C155,"")</x:f>
      </x:c>
      <x:c r="J155" s="2" t="str">
        <x:v>%</x:v>
      </x:c>
      <x:c r="K155" s="2" t="str">
        <x:v>Nova</x:v>
      </x:c>
      <x:c r="L155" s="28" t="str"/>
      <x:c r="M155" s="20"/>
      <x:c r="N155" s="21"/>
      <x:c r="O155" s="26" t="str">
        <x:v>Qualified conversations actually held / unique booked conversations whose scheduled time has passed. Exclude upcoming appointments. Rebooking the same opportunity is not a second booking. A zero denominator is N/A.</x:v>
      </x:c>
      <x:c r="P155" s="26" t="str">
        <x:v>PDF §10; due-cohort denominator clarified</x:v>
      </x:c>
      <x:c r="Q155" s="2" t="n">
        <x:f>IF(ISNUMBER(H155),1,0)</x:f>
        <x:v>0</x:v>
      </x:c>
    </x:row>
    <x:row r="156" ht="46" customHeight="1">
      <x:c r="A156" s="17" t="n">
        <x:v>46325</x:v>
      </x:c>
      <x:c r="B156" s="2" t="str">
        <x:v>Positive-to-booked conversion</x:v>
      </x:c>
      <x:c r="C156" s="40" t="n">
        <x:v>0.5</x:v>
      </x:c>
      <x:c r="D156" s="2" t="str">
        <x:v>Rate</x:v>
      </x:c>
      <x:c r="E156" s="20"/>
      <x:c r="F156" s="20"/>
      <x:c r="G156" s="20"/>
      <x:c r="H156" s="40" t="str">
        <x:f>IF(D156="Rate",IF(COUNT(F156:G156)&lt;2,"",IF(G156=0,"n.a.",F156/G156)),IF(COUNT(E156)=0,"",E156))</x:f>
      </x:c>
      <x:c r="I156" s="40" t="str">
        <x:f>IF(AND(ISNUMBER(H156),ISNUMBER(C156)),H156-C156,"")</x:f>
      </x:c>
      <x:c r="J156" s="2" t="str">
        <x:v>%</x:v>
      </x:c>
      <x:c r="K156" s="2" t="str">
        <x:v>Nova</x:v>
      </x:c>
      <x:c r="L156" s="28" t="str"/>
      <x:c r="M156" s="20"/>
      <x:c r="N156" s="21"/>
      <x:c r="O156" s="26" t="str">
        <x:v>Unique email-positive opportunities booked / unique email-positive opportunities in the same reviewed cohort. Use a documented follow-up window. This differs from the all-channel 40-inquiry/20-booking planning assumption. A zero denominator is N/A.</x:v>
      </x:c>
      <x:c r="P156" s="26" t="str">
        <x:v>PDF §9</x:v>
      </x:c>
      <x:c r="Q156" s="2" t="n">
        <x:f>IF(ISNUMBER(H156),1,0)</x:f>
        <x:v>0</x:v>
      </x:c>
    </x:row>
    <x:row r="157" ht="46" customHeight="1">
      <x:c r="A157" s="17" t="n">
        <x:v>46325</x:v>
      </x:c>
      <x:c r="B157" s="2" t="str">
        <x:v>Existing-account referral asks</x:v>
      </x:c>
      <x:c r="C157" s="2" t="n">
        <x:v>5</x:v>
      </x:c>
      <x:c r="D157" s="2" t="str">
        <x:v>Cumulative total</x:v>
      </x:c>
      <x:c r="E157" s="20"/>
      <x:c r="F157" s="20"/>
      <x:c r="G157" s="20"/>
      <x:c r="H157" s="2" t="str">
        <x:f>IF(D157="Rate",IF(COUNT(F157:G157)&lt;2,"",IF(G157=0,"n.a.",F157/G157)),IF(COUNT(E157)=0,"",E157))</x:f>
      </x:c>
      <x:c r="I157" s="2" t="str">
        <x:f>IF(AND(ISNUMBER(H157),ISNUMBER(C157)),H157-C157,"")</x:f>
      </x:c>
      <x:c r="J157" s="2" t="str">
        <x:v>accounts asked</x:v>
      </x:c>
      <x:c r="K157" s="2" t="str">
        <x:v>Maseeha</x:v>
      </x:c>
      <x:c r="L157" s="28" t="str"/>
      <x:c r="M157" s="20"/>
      <x:c r="N157" s="21"/>
      <x:c r="O157" s="26" t="str">
        <x:v>Ask 25 unique A/B accounts (5 A and 20 B) by November 13; proposed pace 35 total by November 20; complete the remaining C accounts to reach 41 total by November 25. One introduction is the ask; asks and received intros are separate counts.</x:v>
      </x:c>
      <x:c r="P157" s="26" t="str">
        <x:v>PDF §16 supplies 25 A/B byNov 14 and 16 C byNov 25; Friday deadline and 35-byNov 20 pace are proposed scheduling allocations.</x:v>
      </x:c>
      <x:c r="Q157" s="2" t="n">
        <x:f>IF(ISNUMBER(H157),1,0)</x:f>
        <x:v>0</x:v>
      </x:c>
    </x:row>
    <x:row r="158" ht="46" customHeight="1">
      <x:c r="A158" s="17" t="n">
        <x:v>46325</x:v>
      </x:c>
      <x:c r="B158" s="2" t="str">
        <x:v>Approved SOPs</x:v>
      </x:c>
      <x:c r="C158" s="2"/>
      <x:c r="D158" s="2" t="str">
        <x:v>Cumulative total</x:v>
      </x:c>
      <x:c r="E158" s="20"/>
      <x:c r="F158" s="20"/>
      <x:c r="G158" s="20"/>
      <x:c r="H158" s="2" t="str">
        <x:f>IF(D158="Rate",IF(COUNT(F158:G158)&lt;2,"",IF(G158=0,"n.a.",F158/G158)),IF(COUNT(E158)=0,"",E158))</x:f>
      </x:c>
      <x:c r="I158" s="2" t="str">
        <x:f>IF(AND(ISNUMBER(H158),ISNUMBER(C158)),H158-C158,"")</x:f>
      </x:c>
      <x:c r="J158" s="2" t="str">
        <x:v>SOPs</x:v>
      </x:c>
      <x:c r="K158" s="2" t="str">
        <x:v>Wyline</x:v>
      </x:c>
      <x:c r="L158" s="28" t="str"/>
      <x:c r="M158" s="20"/>
      <x:c r="N158" s="21"/>
      <x:c r="O158" s="26" t="str">
        <x:v>10 core SOPs plus ADS-01 and SOC-01 additions; approved version and independent-run evidence required.</x:v>
      </x:c>
      <x:c r="P158" s="26" t="str">
        <x:v>PDF §8 with §§17 b–d additions</x:v>
      </x:c>
      <x:c r="Q158" s="2" t="n">
        <x:f>IF(ISNUMBER(H158),1,0)</x:f>
        <x:v>0</x:v>
      </x:c>
    </x:row>
    <x:row r="159" ht="46" customHeight="1">
      <x:c r="A159" s="17" t="n">
        <x:v>46325</x:v>
      </x:c>
      <x:c r="B159" s="2" t="str">
        <x:v>Accepted AI agents</x:v>
      </x:c>
      <x:c r="C159" s="2"/>
      <x:c r="D159" s="2" t="str">
        <x:v>Cumulative total</x:v>
      </x:c>
      <x:c r="E159" s="20"/>
      <x:c r="F159" s="20"/>
      <x:c r="G159" s="20"/>
      <x:c r="H159" s="2" t="str">
        <x:f>IF(D159="Rate",IF(COUNT(F159:G159)&lt;2,"",IF(G159=0,"n.a.",F159/G159)),IF(COUNT(E159)=0,"",E159))</x:f>
      </x:c>
      <x:c r="I159" s="2" t="str">
        <x:f>IF(AND(ISNUMBER(H159),ISNUMBER(C159)),H159-C159,"")</x:f>
      </x:c>
      <x:c r="J159" s="2" t="str">
        <x:v>agents</x:v>
      </x:c>
      <x:c r="K159" s="2" t="str">
        <x:v>Emman</x:v>
      </x:c>
      <x:c r="L159" s="28" t="str"/>
      <x:c r="M159" s="20"/>
      <x:c r="N159" s="21"/>
      <x:c r="O159" s="26" t="str">
        <x:v>Scout, Writer, Inbox, Phone Assist, LinkedIn Assist, Follow-up, Scoreboard and Client Reporter; acceptance evidence required.</x:v>
      </x:c>
      <x:c r="P159" s="26" t="str">
        <x:v>PDF §7</x:v>
      </x:c>
      <x:c r="Q159" s="2" t="n">
        <x:f>IF(ISNUMBER(H159),1,0)</x:f>
        <x:v>0</x:v>
      </x:c>
    </x:row>
    <x:row r="160" ht="46" customHeight="1">
      <x:c r="A160" s="17" t="n">
        <x:v>46326</x:v>
      </x:c>
      <x:c r="B160" s="2" t="str">
        <x:v>Qualified inquiries</x:v>
      </x:c>
      <x:c r="C160" s="2" t="n">
        <x:v>0</x:v>
      </x:c>
      <x:c r="D160" s="2" t="str">
        <x:v>Cumulative total</x:v>
      </x:c>
      <x:c r="E160" s="20"/>
      <x:c r="F160" s="20"/>
      <x:c r="G160" s="20"/>
      <x:c r="H160" s="2" t="str">
        <x:f>IF(D160="Rate",IF(COUNT(F160:G160)&lt;2,"",IF(G160=0,"n.a.",F160/G160)),IF(COUNT(E160)=0,"",E160))</x:f>
      </x:c>
      <x:c r="I160" s="2" t="str">
        <x:f>IF(AND(ISNUMBER(H160),ISNUMBER(C160)),H160-C160,"")</x:f>
      </x:c>
      <x:c r="J160" s="2" t="str">
        <x:v>inquiries</x:v>
      </x:c>
      <x:c r="K160" s="2" t="str">
        <x:v>Nova</x:v>
      </x:c>
      <x:c r="L160" s="28" t="str"/>
      <x:c r="M160" s="20"/>
      <x:c r="N160" s="21"/>
      <x:c r="O160" s="26" t="str">
        <x:v>Unique ICP-matched practices that express relevant interest, need or timing; Nova records practice type, decision-maker access, case volume, service need and readiness within 30–60 days. Raw records, opens and connection accepts do not qualify.</x:v>
      </x:c>
      <x:c r="P160" s="26" t="str">
        <x:v>Original proposal pages 2 and 4 define qualification; 40 by Dec 16 and intermediate pace are newly proposed recovery targets.</x:v>
      </x:c>
      <x:c r="Q160" s="2" t="n">
        <x:f>IF(ISNUMBER(H160),1,0)</x:f>
        <x:v>0</x:v>
      </x:c>
    </x:row>
    <x:row r="161" ht="46" customHeight="1">
      <x:c r="A161" s="17" t="n">
        <x:v>46326</x:v>
      </x:c>
      <x:c r="B161" s="2" t="str">
        <x:v>Qualified conversations booked</x:v>
      </x:c>
      <x:c r="C161" s="2" t="n">
        <x:v>0</x:v>
      </x:c>
      <x:c r="D161" s="2" t="str">
        <x:v>Cumulative total</x:v>
      </x:c>
      <x:c r="E161" s="20"/>
      <x:c r="F161" s="20"/>
      <x:c r="G161" s="20"/>
      <x:c r="H161" s="2" t="str">
        <x:f>IF(D161="Rate",IF(COUNT(F161:G161)&lt;2,"",IF(G161=0,"n.a.",F161/G161)),IF(COUNT(E161)=0,"",E161))</x:f>
      </x:c>
      <x:c r="I161" s="2" t="str">
        <x:f>IF(AND(ISNUMBER(H161),ISNUMBER(C161)),H161-C161,"")</x:f>
      </x:c>
      <x:c r="J161" s="2" t="str">
        <x:v>bookings</x:v>
      </x:c>
      <x:c r="K161" s="2" t="str">
        <x:v>Nova</x:v>
      </x:c>
      <x:c r="L161" s="28" t="str"/>
      <x:c r="M161" s="20"/>
      <x:c r="N161" s="21"/>
      <x:c r="O161" s="26" t="str">
        <x:v>Unique qualified calls/visits booked with Nic; rebooking same opportunity is not a new booking.</x:v>
      </x:c>
      <x:c r="P161" s="26" t="str">
        <x:v>PDF §10; final deadline advanced to user Dec 16</x:v>
      </x:c>
      <x:c r="Q161" s="2" t="n">
        <x:f>IF(ISNUMBER(H161),1,0)</x:f>
        <x:v>0</x:v>
      </x:c>
    </x:row>
    <x:row r="162" ht="46" customHeight="1">
      <x:c r="A162" s="17" t="n">
        <x:v>46326</x:v>
      </x:c>
      <x:c r="B162" s="2" t="str">
        <x:v>Qualified conversations held</x:v>
      </x:c>
      <x:c r="C162" s="2" t="n">
        <x:v>0</x:v>
      </x:c>
      <x:c r="D162" s="2" t="str">
        <x:v>Cumulative total</x:v>
      </x:c>
      <x:c r="E162" s="20"/>
      <x:c r="F162" s="20"/>
      <x:c r="G162" s="20"/>
      <x:c r="H162" s="2" t="str">
        <x:f>IF(D162="Rate",IF(COUNT(F162:G162)&lt;2,"",IF(G162=0,"n.a.",F162/G162)),IF(COUNT(E162)=0,"",E162))</x:f>
      </x:c>
      <x:c r="I162" s="2" t="str">
        <x:f>IF(AND(ISNUMBER(H162),ISNUMBER(C162)),H162-C162,"")</x:f>
      </x:c>
      <x:c r="J162" s="2" t="str">
        <x:v>held</x:v>
      </x:c>
      <x:c r="K162" s="2" t="str">
        <x:v>Nova</x:v>
      </x:c>
      <x:c r="L162" s="28" t="str"/>
      <x:c r="M162" s="20"/>
      <x:c r="N162" s="21"/>
      <x:c r="O162" s="26" t="str">
        <x:v>Completed qualified calls/visits; 6 and 15 are integer planning proxies for 70% of 8 and 75% of 20.</x:v>
      </x:c>
      <x:c r="P162" s="26" t="str">
        <x:v>Derived from source held-rate targets</x:v>
      </x:c>
      <x:c r="Q162" s="2" t="n">
        <x:f>IF(ISNUMBER(H162),1,0)</x:f>
        <x:v>0</x:v>
      </x:c>
    </x:row>
    <x:row r="163" ht="46" customHeight="1">
      <x:c r="A163" s="17" t="n">
        <x:v>46326</x:v>
      </x:c>
      <x:c r="B163" s="2" t="str">
        <x:v>Trial cases received by DSI</x:v>
      </x:c>
      <x:c r="C163" s="2" t="n">
        <x:v>0</x:v>
      </x:c>
      <x:c r="D163" s="2" t="str">
        <x:v>Cumulative total</x:v>
      </x:c>
      <x:c r="E163" s="20"/>
      <x:c r="F163" s="20"/>
      <x:c r="G163" s="20"/>
      <x:c r="H163" s="2" t="str">
        <x:f>IF(D163="Rate",IF(COUNT(F163:G163)&lt;2,"",IF(G163=0,"n.a.",F163/G163)),IF(COUNT(E163)=0,"",E163))</x:f>
      </x:c>
      <x:c r="I163" s="2" t="str">
        <x:f>IF(AND(ISNUMBER(H163),ISNUMBER(C163)),H163-C163,"")</x:f>
      </x:c>
      <x:c r="J163" s="2" t="str">
        <x:v>trials</x:v>
      </x:c>
      <x:c r="K163" s="2" t="str">
        <x:v>Maseeha</x:v>
      </x:c>
      <x:c r="L163" s="28" t="str"/>
      <x:c r="M163" s="20"/>
      <x:c r="N163" s="21"/>
      <x:c r="O163" s="26" t="str">
        <x:v>Practice’s first trial case received by DSI, not merely promised or shipped; subject to Maseeha capacity.</x:v>
      </x:c>
      <x:c r="P163" s="26" t="str">
        <x:v>PDF §10; final deadline advanced to user Dec 16</x:v>
      </x:c>
      <x:c r="Q163" s="2" t="n">
        <x:f>IF(ISNUMBER(H163),1,0)</x:f>
        <x:v>0</x:v>
      </x:c>
    </x:row>
    <x:row r="164" ht="46" customHeight="1">
      <x:c r="A164" s="17" t="n">
        <x:v>46326</x:v>
      </x:c>
      <x:c r="B164" s="2" t="str">
        <x:v>Recurring accounts signed</x:v>
      </x:c>
      <x:c r="C164" s="2"/>
      <x:c r="D164" s="2" t="str">
        <x:v>Cumulative total</x:v>
      </x:c>
      <x:c r="E164" s="20"/>
      <x:c r="F164" s="20"/>
      <x:c r="G164" s="20"/>
      <x:c r="H164" s="2" t="str">
        <x:f>IF(D164="Rate",IF(COUNT(F164:G164)&lt;2,"",IF(G164=0,"n.a.",F164/G164)),IF(COUNT(E164)=0,"",E164))</x:f>
      </x:c>
      <x:c r="I164" s="2" t="str">
        <x:f>IF(AND(ISNUMBER(H164),ISNUMBER(C164)),H164-C164,"")</x:f>
      </x:c>
      <x:c r="J164" s="2" t="str">
        <x:v>accounts</x:v>
      </x:c>
      <x:c r="K164" s="2" t="str">
        <x:v>Nic</x:v>
      </x:c>
      <x:c r="L164" s="28" t="str"/>
      <x:c r="M164" s="20"/>
      <x:c r="N164" s="21"/>
      <x:c r="O164" s="26" t="str">
        <x:v>Plan signed following Day-30 review; only mature trial cohorts eligible. 1–3 is a conditional range.</x:v>
      </x:c>
      <x:c r="P164" s="26" t="str">
        <x:v>PDF §10</x:v>
      </x:c>
      <x:c r="Q164" s="2" t="n">
        <x:f>IF(ISNUMBER(H164),1,0)</x:f>
        <x:v>0</x:v>
      </x:c>
    </x:row>
    <x:row r="165" ht="46" customHeight="1">
      <x:c r="A165" s="17" t="n">
        <x:v>46326</x:v>
      </x:c>
      <x:c r="B165" s="2" t="str">
        <x:v>Referral-sourced bookings</x:v>
      </x:c>
      <x:c r="C165" s="2" t="n">
        <x:v>0</x:v>
      </x:c>
      <x:c r="D165" s="2" t="str">
        <x:v>Cumulative total</x:v>
      </x:c>
      <x:c r="E165" s="20"/>
      <x:c r="F165" s="20"/>
      <x:c r="G165" s="20"/>
      <x:c r="H165" s="2" t="str">
        <x:f>IF(D165="Rate",IF(COUNT(F165:G165)&lt;2,"",IF(G165=0,"n.a.",F165/G165)),IF(COUNT(E165)=0,"",E165))</x:f>
      </x:c>
      <x:c r="I165" s="2" t="str">
        <x:f>IF(AND(ISNUMBER(H165),ISNUMBER(C165)),H165-C165,"")</x:f>
      </x:c>
      <x:c r="J165" s="2" t="str">
        <x:v>bookings</x:v>
      </x:c>
      <x:c r="K165" s="2" t="str">
        <x:v>Nova</x:v>
      </x:c>
      <x:c r="L165" s="28" t="str"/>
      <x:c r="M165" s="20"/>
      <x:c r="N165" s="21"/>
      <x:c r="O165" s="26" t="str">
        <x:v>Subset of booked total with primary Source=Referral; never added on top of all-channel bookings.</x:v>
      </x:c>
      <x:c r="P165" s="26" t="str">
        <x:v>PDF §§10, 16</x:v>
      </x:c>
      <x:c r="Q165" s="2" t="n">
        <x:f>IF(ISNUMBER(H165),1,0)</x:f>
        <x:v>0</x:v>
      </x:c>
    </x:row>
    <x:row r="166" ht="46" customHeight="1">
      <x:c r="A166" s="17" t="n">
        <x:v>46326</x:v>
      </x:c>
      <x:c r="B166" s="2" t="str">
        <x:v>LinkedIn DM-sourced bookings</x:v>
      </x:c>
      <x:c r="C166" s="2" t="n">
        <x:v>0</x:v>
      </x:c>
      <x:c r="D166" s="2" t="str">
        <x:v>Cumulative total</x:v>
      </x:c>
      <x:c r="E166" s="20"/>
      <x:c r="F166" s="20"/>
      <x:c r="G166" s="20"/>
      <x:c r="H166" s="2" t="str">
        <x:f>IF(D166="Rate",IF(COUNT(F166:G166)&lt;2,"",IF(G166=0,"n.a.",F166/G166)),IF(COUNT(E166)=0,"",E166))</x:f>
      </x:c>
      <x:c r="I166" s="2" t="str">
        <x:f>IF(AND(ISNUMBER(H166),ISNUMBER(C166)),H166-C166,"")</x:f>
      </x:c>
      <x:c r="J166" s="2" t="str">
        <x:v>bookings</x:v>
      </x:c>
      <x:c r="K166" s="2" t="str">
        <x:v>Dexter</x:v>
      </x:c>
      <x:c r="L166" s="28" t="str"/>
      <x:c r="M166" s="20"/>
      <x:c r="N166" s="21"/>
      <x:c r="O166" s="26" t="str">
        <x:v>Subset of booked total with primary Source=LinkedIn DM; assists tracked separately.</x:v>
      </x:c>
      <x:c r="P166" s="26" t="str">
        <x:v>PDF §§10, 17 a</x:v>
      </x:c>
      <x:c r="Q166" s="2" t="n">
        <x:f>IF(ISNUMBER(H166),1,0)</x:f>
        <x:v>0</x:v>
      </x:c>
    </x:row>
    <x:row r="167" ht="46" customHeight="1">
      <x:c r="A167" s="17" t="n">
        <x:v>46326</x:v>
      </x:c>
      <x:c r="B167" s="2" t="str">
        <x:v>Verified contacts ready</x:v>
      </x:c>
      <x:c r="C167" s="2" t="n">
        <x:v>250</x:v>
      </x:c>
      <x:c r="D167" s="2" t="str">
        <x:v>Cumulative total</x:v>
      </x:c>
      <x:c r="E167" s="20"/>
      <x:c r="F167" s="20"/>
      <x:c r="G167" s="20"/>
      <x:c r="H167" s="2" t="str">
        <x:f>IF(D167="Rate",IF(COUNT(F167:G167)&lt;2,"",IF(G167=0,"n.a.",F167/G167)),IF(COUNT(E167)=0,"",E167))</x:f>
      </x:c>
      <x:c r="I167" s="2" t="str">
        <x:f>IF(AND(ISNUMBER(H167),ISNUMBER(C167)),H167-C167,"")</x:f>
      </x:c>
      <x:c r="J167" s="2" t="str">
        <x:v>contacts</x:v>
      </x:c>
      <x:c r="K167" s="2" t="str">
        <x:v>Joey</x:v>
      </x:c>
      <x:c r="L167" s="28" t="str"/>
      <x:c r="M167" s="20"/>
      <x:c r="N167" s="21"/>
      <x:c r="O167" s="26" t="str">
        <x:v>Unique contacts passing Scout and loaded in CQL; count once per contact.</x:v>
      </x:c>
      <x:c r="P167" s="26" t="str">
        <x:v>PDF §§10, 14; 750 due Dec 12 moved to Fri Dec 11</x:v>
      </x:c>
      <x:c r="Q167" s="2" t="n">
        <x:f>IF(ISNUMBER(H167),1,0)</x:f>
        <x:v>0</x:v>
      </x:c>
    </x:row>
    <x:row r="168" ht="46" customHeight="1">
      <x:c r="A168" s="17" t="n">
        <x:v>46326</x:v>
      </x:c>
      <x:c r="B168" s="2" t="str">
        <x:v>Permission-based referral introductions</x:v>
      </x:c>
      <x:c r="C168" s="2" t="n">
        <x:v>0</x:v>
      </x:c>
      <x:c r="D168" s="2" t="str">
        <x:v>Cumulative total</x:v>
      </x:c>
      <x:c r="E168" s="20"/>
      <x:c r="F168" s="20"/>
      <x:c r="G168" s="20"/>
      <x:c r="H168" s="2" t="str">
        <x:f>IF(D168="Rate",IF(COUNT(F168:G168)&lt;2,"",IF(G168=0,"n.a.",F168/G168)),IF(COUNT(E168)=0,"",E168))</x:f>
      </x:c>
      <x:c r="I168" s="2" t="str">
        <x:f>IF(AND(ISNUMBER(H168),ISNUMBER(C168)),H168-C168,"")</x:f>
      </x:c>
      <x:c r="J168" s="2" t="str">
        <x:v>introductions</x:v>
      </x:c>
      <x:c r="K168" s="2" t="str">
        <x:v>Maseeha</x:v>
      </x:c>
      <x:c r="L168" s="28" t="str"/>
      <x:c r="M168" s="20"/>
      <x:c r="N168" s="21"/>
      <x:c r="O168" s="26" t="str">
        <x:v>Unique introductions with consent and referrer recorded, verified by Maseeha within 2 business days.</x:v>
      </x:c>
      <x:c r="P168" s="26" t="str">
        <x:v>PDF §§10, 16</x:v>
      </x:c>
      <x:c r="Q168" s="2" t="n">
        <x:f>IF(ISNUMBER(H168),1,0)</x:f>
        <x:v>0</x:v>
      </x:c>
    </x:row>
    <x:row r="169" ht="46" customHeight="1">
      <x:c r="A169" s="17" t="n">
        <x:v>46326</x:v>
      </x:c>
      <x:c r="B169" s="2" t="str">
        <x:v>Human reply rate</x:v>
      </x:c>
      <x:c r="C169" s="40" t="n">
        <x:v>0.02</x:v>
      </x:c>
      <x:c r="D169" s="2" t="str">
        <x:v>Rate</x:v>
      </x:c>
      <x:c r="E169" s="20"/>
      <x:c r="F169" s="20"/>
      <x:c r="G169" s="20"/>
      <x:c r="H169" s="40" t="str">
        <x:f>IF(D169="Rate",IF(COUNT(F169:G169)&lt;2,"",IF(G169=0,"n.a.",F169/G169)),IF(COUNT(E169)=0,"",E169))</x:f>
      </x:c>
      <x:c r="I169" s="40" t="str">
        <x:f>IF(AND(ISNUMBER(H169),ISNUMBER(C169)),H169-C169,"")</x:f>
      </x:c>
      <x:c r="J169" s="2" t="str">
        <x:v>%</x:v>
      </x:c>
      <x:c r="K169" s="2" t="str">
        <x:v>Kenneth</x:v>
      </x:c>
      <x:c r="L169" s="28" t="str"/>
      <x:c r="M169" s="20"/>
      <x:c r="N169" s="21"/>
      <x:c r="O169" s="26" t="str">
        <x:v>Unique emailed contacts that give a qualifying human reply / unique contacts emailed in the same send cohort. Exclude OOO, auto-replies, bounces and unsubscribe-only replies. Deduplicate contacts across sequence steps; zero denominator is N/A.</x:v>
      </x:c>
      <x:c r="P169" s="26" t="str">
        <x:v>PDF §10</x:v>
      </x:c>
      <x:c r="Q169" s="2" t="n">
        <x:f>IF(ISNUMBER(H169),1,0)</x:f>
        <x:v>0</x:v>
      </x:c>
    </x:row>
    <x:row r="170" ht="46" customHeight="1">
      <x:c r="A170" s="17" t="n">
        <x:v>46326</x:v>
      </x:c>
      <x:c r="B170" s="2" t="str">
        <x:v>Positive reply rate</x:v>
      </x:c>
      <x:c r="C170" s="40" t="n">
        <x:v>0.01</x:v>
      </x:c>
      <x:c r="D170" s="2" t="str">
        <x:v>Rate</x:v>
      </x:c>
      <x:c r="E170" s="20"/>
      <x:c r="F170" s="20"/>
      <x:c r="G170" s="20"/>
      <x:c r="H170" s="40" t="str">
        <x:f>IF(D170="Rate",IF(COUNT(F170:G170)&lt;2,"",IF(G170=0,"n.a.",F170/G170)),IF(COUNT(E170)=0,"",E170))</x:f>
      </x:c>
      <x:c r="I170" s="40" t="str">
        <x:f>IF(AND(ISNUMBER(H170),ISNUMBER(C170)),H170-C170,"")</x:f>
      </x:c>
      <x:c r="J170" s="2" t="str">
        <x:v>%</x:v>
      </x:c>
      <x:c r="K170" s="2" t="str">
        <x:v>Kenneth</x:v>
      </x:c>
      <x:c r="L170" s="28" t="str"/>
      <x:c r="M170" s="20"/>
      <x:c r="N170" s="21"/>
      <x:c r="O170" s="26" t="str">
        <x:v>Unique emailed contacts classified interested or relevant question / unique contacts emailed in the same send cohort. Deduplicate across sequence steps; zero denominator is N/A. Keep this email rate separate from all-channel qualified inquiries.</x:v>
      </x:c>
      <x:c r="P170" s="26" t="str">
        <x:v>PDF §10</x:v>
      </x:c>
      <x:c r="Q170" s="2" t="n">
        <x:f>IF(ISNUMBER(H170),1,0)</x:f>
        <x:v>0</x:v>
      </x:c>
    </x:row>
    <x:row r="171" ht="46" customHeight="1">
      <x:c r="A171" s="17" t="n">
        <x:v>46326</x:v>
      </x:c>
      <x:c r="B171" s="2" t="str">
        <x:v>Replies answered within 15 minutes</x:v>
      </x:c>
      <x:c r="C171" s="40" t="n">
        <x:v>1</x:v>
      </x:c>
      <x:c r="D171" s="2" t="str">
        <x:v>Rate</x:v>
      </x:c>
      <x:c r="E171" s="20"/>
      <x:c r="F171" s="20"/>
      <x:c r="G171" s="20"/>
      <x:c r="H171" s="40" t="str">
        <x:f>IF(D171="Rate",IF(COUNT(F171:G171)&lt;2,"",IF(G171=0,"n.a.",F171/G171)),IF(COUNT(E171)=0,"",E171))</x:f>
      </x:c>
      <x:c r="I171" s="40" t="str">
        <x:f>IF(AND(ISNUMBER(H171),ISNUMBER(C171)),H171-C171,"")</x:f>
      </x:c>
      <x:c r="J171" s="2" t="str">
        <x:v>%</x:v>
      </x:c>
      <x:c r="K171" s="2" t="str">
        <x:v>Nova</x:v>
      </x:c>
      <x:c r="L171" s="28" t="str"/>
      <x:c r="M171" s="20"/>
      <x:c r="N171" s="21"/>
      <x:c r="O171"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71" s="26" t="str">
        <x:v>PDF §9; clock convention clarified for tracker</x:v>
      </x:c>
      <x:c r="Q171" s="2" t="n">
        <x:f>IF(ISNUMBER(H171),1,0)</x:f>
        <x:v>0</x:v>
      </x:c>
    </x:row>
    <x:row r="172" ht="46" customHeight="1">
      <x:c r="A172" s="17" t="n">
        <x:v>46326</x:v>
      </x:c>
      <x:c r="B172" s="2" t="str">
        <x:v>Held rate</x:v>
      </x:c>
      <x:c r="C172" s="40" t="n">
        <x:v>0.7</x:v>
      </x:c>
      <x:c r="D172" s="2" t="str">
        <x:v>Rate</x:v>
      </x:c>
      <x:c r="E172" s="20"/>
      <x:c r="F172" s="20"/>
      <x:c r="G172" s="20"/>
      <x:c r="H172" s="40" t="str">
        <x:f>IF(D172="Rate",IF(COUNT(F172:G172)&lt;2,"",IF(G172=0,"n.a.",F172/G172)),IF(COUNT(E172)=0,"",E172))</x:f>
      </x:c>
      <x:c r="I172" s="40" t="str">
        <x:f>IF(AND(ISNUMBER(H172),ISNUMBER(C172)),H172-C172,"")</x:f>
      </x:c>
      <x:c r="J172" s="2" t="str">
        <x:v>%</x:v>
      </x:c>
      <x:c r="K172" s="2" t="str">
        <x:v>Nova</x:v>
      </x:c>
      <x:c r="L172" s="28" t="str"/>
      <x:c r="M172" s="20"/>
      <x:c r="N172" s="21"/>
      <x:c r="O172" s="26" t="str">
        <x:v>Qualified conversations actually held / unique booked conversations whose scheduled time has passed. Exclude upcoming appointments. Rebooking the same opportunity is not a second booking. A zero denominator is N/A.</x:v>
      </x:c>
      <x:c r="P172" s="26" t="str">
        <x:v>PDF §10; due-cohort denominator clarified</x:v>
      </x:c>
      <x:c r="Q172" s="2" t="n">
        <x:f>IF(ISNUMBER(H172),1,0)</x:f>
        <x:v>0</x:v>
      </x:c>
    </x:row>
    <x:row r="173" ht="46" customHeight="1">
      <x:c r="A173" s="17" t="n">
        <x:v>46326</x:v>
      </x:c>
      <x:c r="B173" s="2" t="str">
        <x:v>Positive-to-booked conversion</x:v>
      </x:c>
      <x:c r="C173" s="40" t="n">
        <x:v>0.5</x:v>
      </x:c>
      <x:c r="D173" s="2" t="str">
        <x:v>Rate</x:v>
      </x:c>
      <x:c r="E173" s="20"/>
      <x:c r="F173" s="20"/>
      <x:c r="G173" s="20"/>
      <x:c r="H173" s="40" t="str">
        <x:f>IF(D173="Rate",IF(COUNT(F173:G173)&lt;2,"",IF(G173=0,"n.a.",F173/G173)),IF(COUNT(E173)=0,"",E173))</x:f>
      </x:c>
      <x:c r="I173" s="40" t="str">
        <x:f>IF(AND(ISNUMBER(H173),ISNUMBER(C173)),H173-C173,"")</x:f>
      </x:c>
      <x:c r="J173" s="2" t="str">
        <x:v>%</x:v>
      </x:c>
      <x:c r="K173" s="2" t="str">
        <x:v>Nova</x:v>
      </x:c>
      <x:c r="L173" s="28" t="str"/>
      <x:c r="M173" s="20"/>
      <x:c r="N173" s="21"/>
      <x:c r="O173" s="26" t="str">
        <x:v>Unique email-positive opportunities booked / unique email-positive opportunities in the same reviewed cohort. Use a documented follow-up window. This differs from the all-channel 40-inquiry/20-booking planning assumption. A zero denominator is N/A.</x:v>
      </x:c>
      <x:c r="P173" s="26" t="str">
        <x:v>PDF §9</x:v>
      </x:c>
      <x:c r="Q173" s="2" t="n">
        <x:f>IF(ISNUMBER(H173),1,0)</x:f>
        <x:v>0</x:v>
      </x:c>
    </x:row>
    <x:row r="174" ht="46" customHeight="1">
      <x:c r="A174" s="17" t="n">
        <x:v>46326</x:v>
      </x:c>
      <x:c r="B174" s="2" t="str">
        <x:v>Existing-account referral asks</x:v>
      </x:c>
      <x:c r="C174" s="2" t="n">
        <x:v>5</x:v>
      </x:c>
      <x:c r="D174" s="2" t="str">
        <x:v>Cumulative total</x:v>
      </x:c>
      <x:c r="E174" s="20"/>
      <x:c r="F174" s="20"/>
      <x:c r="G174" s="20"/>
      <x:c r="H174" s="2" t="str">
        <x:f>IF(D174="Rate",IF(COUNT(F174:G174)&lt;2,"",IF(G174=0,"n.a.",F174/G174)),IF(COUNT(E174)=0,"",E174))</x:f>
      </x:c>
      <x:c r="I174" s="2" t="str">
        <x:f>IF(AND(ISNUMBER(H174),ISNUMBER(C174)),H174-C174,"")</x:f>
      </x:c>
      <x:c r="J174" s="2" t="str">
        <x:v>accounts asked</x:v>
      </x:c>
      <x:c r="K174" s="2" t="str">
        <x:v>Maseeha</x:v>
      </x:c>
      <x:c r="L174" s="28" t="str"/>
      <x:c r="M174" s="20"/>
      <x:c r="N174" s="21"/>
      <x:c r="O174" s="26" t="str">
        <x:v>Ask 25 unique A/B accounts (5 A and 20 B) by November 13; proposed pace 35 total by November 20; complete the remaining C accounts to reach 41 total by November 25. One introduction is the ask; asks and received intros are separate counts.</x:v>
      </x:c>
      <x:c r="P174" s="26" t="str">
        <x:v>PDF §16 supplies 25 A/B byNov 14 and 16 C byNov 25; Friday deadline and 35-byNov 20 pace are proposed scheduling allocations.</x:v>
      </x:c>
      <x:c r="Q174" s="2" t="n">
        <x:f>IF(ISNUMBER(H174),1,0)</x:f>
        <x:v>0</x:v>
      </x:c>
    </x:row>
    <x:row r="175" ht="46" customHeight="1">
      <x:c r="A175" s="17" t="n">
        <x:v>46326</x:v>
      </x:c>
      <x:c r="B175" s="2" t="str">
        <x:v>Approved SOPs</x:v>
      </x:c>
      <x:c r="C175" s="2"/>
      <x:c r="D175" s="2" t="str">
        <x:v>Cumulative total</x:v>
      </x:c>
      <x:c r="E175" s="20"/>
      <x:c r="F175" s="20"/>
      <x:c r="G175" s="20"/>
      <x:c r="H175" s="2" t="str">
        <x:f>IF(D175="Rate",IF(COUNT(F175:G175)&lt;2,"",IF(G175=0,"n.a.",F175/G175)),IF(COUNT(E175)=0,"",E175))</x:f>
      </x:c>
      <x:c r="I175" s="2" t="str">
        <x:f>IF(AND(ISNUMBER(H175),ISNUMBER(C175)),H175-C175,"")</x:f>
      </x:c>
      <x:c r="J175" s="2" t="str">
        <x:v>SOPs</x:v>
      </x:c>
      <x:c r="K175" s="2" t="str">
        <x:v>Wyline</x:v>
      </x:c>
      <x:c r="L175" s="28" t="str"/>
      <x:c r="M175" s="20"/>
      <x:c r="N175" s="21"/>
      <x:c r="O175" s="26" t="str">
        <x:v>10 core SOPs plus ADS-01 and SOC-01 additions; approved version and independent-run evidence required.</x:v>
      </x:c>
      <x:c r="P175" s="26" t="str">
        <x:v>PDF §8 with §§17 b–d additions</x:v>
      </x:c>
      <x:c r="Q175" s="2" t="n">
        <x:f>IF(ISNUMBER(H175),1,0)</x:f>
        <x:v>0</x:v>
      </x:c>
    </x:row>
    <x:row r="176" ht="46" customHeight="1">
      <x:c r="A176" s="17" t="n">
        <x:v>46326</x:v>
      </x:c>
      <x:c r="B176" s="2" t="str">
        <x:v>Accepted AI agents</x:v>
      </x:c>
      <x:c r="C176" s="2"/>
      <x:c r="D176" s="2" t="str">
        <x:v>Cumulative total</x:v>
      </x:c>
      <x:c r="E176" s="20"/>
      <x:c r="F176" s="20"/>
      <x:c r="G176" s="20"/>
      <x:c r="H176" s="2" t="str">
        <x:f>IF(D176="Rate",IF(COUNT(F176:G176)&lt;2,"",IF(G176=0,"n.a.",F176/G176)),IF(COUNT(E176)=0,"",E176))</x:f>
      </x:c>
      <x:c r="I176" s="2" t="str">
        <x:f>IF(AND(ISNUMBER(H176),ISNUMBER(C176)),H176-C176,"")</x:f>
      </x:c>
      <x:c r="J176" s="2" t="str">
        <x:v>agents</x:v>
      </x:c>
      <x:c r="K176" s="2" t="str">
        <x:v>Emman</x:v>
      </x:c>
      <x:c r="L176" s="28" t="str"/>
      <x:c r="M176" s="20"/>
      <x:c r="N176" s="21"/>
      <x:c r="O176" s="26" t="str">
        <x:v>Scout, Writer, Inbox, Phone Assist, LinkedIn Assist, Follow-up, Scoreboard and Client Reporter; acceptance evidence required.</x:v>
      </x:c>
      <x:c r="P176" s="26" t="str">
        <x:v>PDF §7</x:v>
      </x:c>
      <x:c r="Q176" s="2" t="n">
        <x:f>IF(ISNUMBER(H176),1,0)</x:f>
        <x:v>0</x:v>
      </x:c>
    </x:row>
    <x:row r="177" ht="46" customHeight="1">
      <x:c r="A177" s="17" t="n">
        <x:v>46327</x:v>
      </x:c>
      <x:c r="B177" s="2" t="str">
        <x:v>Qualified inquiries</x:v>
      </x:c>
      <x:c r="C177" s="2" t="n">
        <x:v>0</x:v>
      </x:c>
      <x:c r="D177" s="2" t="str">
        <x:v>Cumulative total</x:v>
      </x:c>
      <x:c r="E177" s="20"/>
      <x:c r="F177" s="20"/>
      <x:c r="G177" s="20"/>
      <x:c r="H177" s="2" t="str">
        <x:f>IF(D177="Rate",IF(COUNT(F177:G177)&lt;2,"",IF(G177=0,"n.a.",F177/G177)),IF(COUNT(E177)=0,"",E177))</x:f>
      </x:c>
      <x:c r="I177" s="2" t="str">
        <x:f>IF(AND(ISNUMBER(H177),ISNUMBER(C177)),H177-C177,"")</x:f>
      </x:c>
      <x:c r="J177" s="2" t="str">
        <x:v>inquiries</x:v>
      </x:c>
      <x:c r="K177" s="2" t="str">
        <x:v>Nova</x:v>
      </x:c>
      <x:c r="L177" s="28" t="str"/>
      <x:c r="M177" s="20"/>
      <x:c r="N177" s="21"/>
      <x:c r="O177" s="26" t="str">
        <x:v>Unique ICP-matched practices that express relevant interest, need or timing; Nova records practice type, decision-maker access, case volume, service need and readiness within 30–60 days. Raw records, opens and connection accepts do not qualify.</x:v>
      </x:c>
      <x:c r="P177" s="26" t="str">
        <x:v>Original proposal pages 2 and 4 define qualification; 40 by Dec 16 and intermediate pace are newly proposed recovery targets.</x:v>
      </x:c>
      <x:c r="Q177" s="2" t="n">
        <x:f>IF(ISNUMBER(H177),1,0)</x:f>
        <x:v>0</x:v>
      </x:c>
    </x:row>
    <x:row r="178" ht="46" customHeight="1">
      <x:c r="A178" s="17" t="n">
        <x:v>46327</x:v>
      </x:c>
      <x:c r="B178" s="2" t="str">
        <x:v>Qualified conversations booked</x:v>
      </x:c>
      <x:c r="C178" s="2" t="n">
        <x:v>0</x:v>
      </x:c>
      <x:c r="D178" s="2" t="str">
        <x:v>Cumulative total</x:v>
      </x:c>
      <x:c r="E178" s="20"/>
      <x:c r="F178" s="20"/>
      <x:c r="G178" s="20"/>
      <x:c r="H178" s="2" t="str">
        <x:f>IF(D178="Rate",IF(COUNT(F178:G178)&lt;2,"",IF(G178=0,"n.a.",F178/G178)),IF(COUNT(E178)=0,"",E178))</x:f>
      </x:c>
      <x:c r="I178" s="2" t="str">
        <x:f>IF(AND(ISNUMBER(H178),ISNUMBER(C178)),H178-C178,"")</x:f>
      </x:c>
      <x:c r="J178" s="2" t="str">
        <x:v>bookings</x:v>
      </x:c>
      <x:c r="K178" s="2" t="str">
        <x:v>Nova</x:v>
      </x:c>
      <x:c r="L178" s="28" t="str"/>
      <x:c r="M178" s="20"/>
      <x:c r="N178" s="21"/>
      <x:c r="O178" s="26" t="str">
        <x:v>Unique qualified calls/visits booked with Nic; rebooking same opportunity is not a new booking.</x:v>
      </x:c>
      <x:c r="P178" s="26" t="str">
        <x:v>PDF §10; final deadline advanced to user Dec 16</x:v>
      </x:c>
      <x:c r="Q178" s="2" t="n">
        <x:f>IF(ISNUMBER(H178),1,0)</x:f>
        <x:v>0</x:v>
      </x:c>
    </x:row>
    <x:row r="179" ht="46" customHeight="1">
      <x:c r="A179" s="17" t="n">
        <x:v>46327</x:v>
      </x:c>
      <x:c r="B179" s="2" t="str">
        <x:v>Qualified conversations held</x:v>
      </x:c>
      <x:c r="C179" s="2" t="n">
        <x:v>0</x:v>
      </x:c>
      <x:c r="D179" s="2" t="str">
        <x:v>Cumulative total</x:v>
      </x:c>
      <x:c r="E179" s="20"/>
      <x:c r="F179" s="20"/>
      <x:c r="G179" s="20"/>
      <x:c r="H179" s="2" t="str">
        <x:f>IF(D179="Rate",IF(COUNT(F179:G179)&lt;2,"",IF(G179=0,"n.a.",F179/G179)),IF(COUNT(E179)=0,"",E179))</x:f>
      </x:c>
      <x:c r="I179" s="2" t="str">
        <x:f>IF(AND(ISNUMBER(H179),ISNUMBER(C179)),H179-C179,"")</x:f>
      </x:c>
      <x:c r="J179" s="2" t="str">
        <x:v>held</x:v>
      </x:c>
      <x:c r="K179" s="2" t="str">
        <x:v>Nova</x:v>
      </x:c>
      <x:c r="L179" s="28" t="str"/>
      <x:c r="M179" s="20"/>
      <x:c r="N179" s="21"/>
      <x:c r="O179" s="26" t="str">
        <x:v>Completed qualified calls/visits; 6 and 15 are integer planning proxies for 70% of 8 and 75% of 20.</x:v>
      </x:c>
      <x:c r="P179" s="26" t="str">
        <x:v>Derived from source held-rate targets</x:v>
      </x:c>
      <x:c r="Q179" s="2" t="n">
        <x:f>IF(ISNUMBER(H179),1,0)</x:f>
        <x:v>0</x:v>
      </x:c>
    </x:row>
    <x:row r="180" ht="46" customHeight="1">
      <x:c r="A180" s="17" t="n">
        <x:v>46327</x:v>
      </x:c>
      <x:c r="B180" s="2" t="str">
        <x:v>Trial cases received by DSI</x:v>
      </x:c>
      <x:c r="C180" s="2" t="n">
        <x:v>0</x:v>
      </x:c>
      <x:c r="D180" s="2" t="str">
        <x:v>Cumulative total</x:v>
      </x:c>
      <x:c r="E180" s="20"/>
      <x:c r="F180" s="20"/>
      <x:c r="G180" s="20"/>
      <x:c r="H180" s="2" t="str">
        <x:f>IF(D180="Rate",IF(COUNT(F180:G180)&lt;2,"",IF(G180=0,"n.a.",F180/G180)),IF(COUNT(E180)=0,"",E180))</x:f>
      </x:c>
      <x:c r="I180" s="2" t="str">
        <x:f>IF(AND(ISNUMBER(H180),ISNUMBER(C180)),H180-C180,"")</x:f>
      </x:c>
      <x:c r="J180" s="2" t="str">
        <x:v>trials</x:v>
      </x:c>
      <x:c r="K180" s="2" t="str">
        <x:v>Maseeha</x:v>
      </x:c>
      <x:c r="L180" s="28" t="str"/>
      <x:c r="M180" s="20"/>
      <x:c r="N180" s="21"/>
      <x:c r="O180" s="26" t="str">
        <x:v>Practice’s first trial case received by DSI, not merely promised or shipped; subject to Maseeha capacity.</x:v>
      </x:c>
      <x:c r="P180" s="26" t="str">
        <x:v>PDF §10; final deadline advanced to user Dec 16</x:v>
      </x:c>
      <x:c r="Q180" s="2" t="n">
        <x:f>IF(ISNUMBER(H180),1,0)</x:f>
        <x:v>0</x:v>
      </x:c>
    </x:row>
    <x:row r="181" ht="46" customHeight="1">
      <x:c r="A181" s="17" t="n">
        <x:v>46327</x:v>
      </x:c>
      <x:c r="B181" s="2" t="str">
        <x:v>Recurring accounts signed</x:v>
      </x:c>
      <x:c r="C181" s="2"/>
      <x:c r="D181" s="2" t="str">
        <x:v>Cumulative total</x:v>
      </x:c>
      <x:c r="E181" s="20"/>
      <x:c r="F181" s="20"/>
      <x:c r="G181" s="20"/>
      <x:c r="H181" s="2" t="str">
        <x:f>IF(D181="Rate",IF(COUNT(F181:G181)&lt;2,"",IF(G181=0,"n.a.",F181/G181)),IF(COUNT(E181)=0,"",E181))</x:f>
      </x:c>
      <x:c r="I181" s="2" t="str">
        <x:f>IF(AND(ISNUMBER(H181),ISNUMBER(C181)),H181-C181,"")</x:f>
      </x:c>
      <x:c r="J181" s="2" t="str">
        <x:v>accounts</x:v>
      </x:c>
      <x:c r="K181" s="2" t="str">
        <x:v>Nic</x:v>
      </x:c>
      <x:c r="L181" s="28" t="str"/>
      <x:c r="M181" s="20"/>
      <x:c r="N181" s="21"/>
      <x:c r="O181" s="26" t="str">
        <x:v>Plan signed following Day-30 review; only mature trial cohorts eligible. 1–3 is a conditional range.</x:v>
      </x:c>
      <x:c r="P181" s="26" t="str">
        <x:v>PDF §10</x:v>
      </x:c>
      <x:c r="Q181" s="2" t="n">
        <x:f>IF(ISNUMBER(H181),1,0)</x:f>
        <x:v>0</x:v>
      </x:c>
    </x:row>
    <x:row r="182" ht="46" customHeight="1">
      <x:c r="A182" s="17" t="n">
        <x:v>46327</x:v>
      </x:c>
      <x:c r="B182" s="2" t="str">
        <x:v>Referral-sourced bookings</x:v>
      </x:c>
      <x:c r="C182" s="2" t="n">
        <x:v>0</x:v>
      </x:c>
      <x:c r="D182" s="2" t="str">
        <x:v>Cumulative total</x:v>
      </x:c>
      <x:c r="E182" s="20"/>
      <x:c r="F182" s="20"/>
      <x:c r="G182" s="20"/>
      <x:c r="H182" s="2" t="str">
        <x:f>IF(D182="Rate",IF(COUNT(F182:G182)&lt;2,"",IF(G182=0,"n.a.",F182/G182)),IF(COUNT(E182)=0,"",E182))</x:f>
      </x:c>
      <x:c r="I182" s="2" t="str">
        <x:f>IF(AND(ISNUMBER(H182),ISNUMBER(C182)),H182-C182,"")</x:f>
      </x:c>
      <x:c r="J182" s="2" t="str">
        <x:v>bookings</x:v>
      </x:c>
      <x:c r="K182" s="2" t="str">
        <x:v>Nova</x:v>
      </x:c>
      <x:c r="L182" s="28" t="str"/>
      <x:c r="M182" s="20"/>
      <x:c r="N182" s="21"/>
      <x:c r="O182" s="26" t="str">
        <x:v>Subset of booked total with primary Source=Referral; never added on top of all-channel bookings.</x:v>
      </x:c>
      <x:c r="P182" s="26" t="str">
        <x:v>PDF §§10, 16</x:v>
      </x:c>
      <x:c r="Q182" s="2" t="n">
        <x:f>IF(ISNUMBER(H182),1,0)</x:f>
        <x:v>0</x:v>
      </x:c>
    </x:row>
    <x:row r="183" ht="46" customHeight="1">
      <x:c r="A183" s="17" t="n">
        <x:v>46327</x:v>
      </x:c>
      <x:c r="B183" s="2" t="str">
        <x:v>LinkedIn DM-sourced bookings</x:v>
      </x:c>
      <x:c r="C183" s="2" t="n">
        <x:v>0</x:v>
      </x:c>
      <x:c r="D183" s="2" t="str">
        <x:v>Cumulative total</x:v>
      </x:c>
      <x:c r="E183" s="20"/>
      <x:c r="F183" s="20"/>
      <x:c r="G183" s="20"/>
      <x:c r="H183" s="2" t="str">
        <x:f>IF(D183="Rate",IF(COUNT(F183:G183)&lt;2,"",IF(G183=0,"n.a.",F183/G183)),IF(COUNT(E183)=0,"",E183))</x:f>
      </x:c>
      <x:c r="I183" s="2" t="str">
        <x:f>IF(AND(ISNUMBER(H183),ISNUMBER(C183)),H183-C183,"")</x:f>
      </x:c>
      <x:c r="J183" s="2" t="str">
        <x:v>bookings</x:v>
      </x:c>
      <x:c r="K183" s="2" t="str">
        <x:v>Dexter</x:v>
      </x:c>
      <x:c r="L183" s="28" t="str"/>
      <x:c r="M183" s="20"/>
      <x:c r="N183" s="21"/>
      <x:c r="O183" s="26" t="str">
        <x:v>Subset of booked total with primary Source=LinkedIn DM; assists tracked separately.</x:v>
      </x:c>
      <x:c r="P183" s="26" t="str">
        <x:v>PDF §§10, 17 a</x:v>
      </x:c>
      <x:c r="Q183" s="2" t="n">
        <x:f>IF(ISNUMBER(H183),1,0)</x:f>
        <x:v>0</x:v>
      </x:c>
    </x:row>
    <x:row r="184" ht="46" customHeight="1">
      <x:c r="A184" s="17" t="n">
        <x:v>46327</x:v>
      </x:c>
      <x:c r="B184" s="2" t="str">
        <x:v>Verified contacts ready</x:v>
      </x:c>
      <x:c r="C184" s="2" t="n">
        <x:v>250</x:v>
      </x:c>
      <x:c r="D184" s="2" t="str">
        <x:v>Cumulative total</x:v>
      </x:c>
      <x:c r="E184" s="20"/>
      <x:c r="F184" s="20"/>
      <x:c r="G184" s="20"/>
      <x:c r="H184" s="2" t="str">
        <x:f>IF(D184="Rate",IF(COUNT(F184:G184)&lt;2,"",IF(G184=0,"n.a.",F184/G184)),IF(COUNT(E184)=0,"",E184))</x:f>
      </x:c>
      <x:c r="I184" s="2" t="str">
        <x:f>IF(AND(ISNUMBER(H184),ISNUMBER(C184)),H184-C184,"")</x:f>
      </x:c>
      <x:c r="J184" s="2" t="str">
        <x:v>contacts</x:v>
      </x:c>
      <x:c r="K184" s="2" t="str">
        <x:v>Joey</x:v>
      </x:c>
      <x:c r="L184" s="28" t="str"/>
      <x:c r="M184" s="20"/>
      <x:c r="N184" s="21"/>
      <x:c r="O184" s="26" t="str">
        <x:v>Unique contacts passing Scout and loaded in CQL; count once per contact.</x:v>
      </x:c>
      <x:c r="P184" s="26" t="str">
        <x:v>PDF §§10, 14; 750 due Dec 12 moved to Fri Dec 11</x:v>
      </x:c>
      <x:c r="Q184" s="2" t="n">
        <x:f>IF(ISNUMBER(H184),1,0)</x:f>
        <x:v>0</x:v>
      </x:c>
    </x:row>
    <x:row r="185" ht="46" customHeight="1">
      <x:c r="A185" s="17" t="n">
        <x:v>46327</x:v>
      </x:c>
      <x:c r="B185" s="2" t="str">
        <x:v>Permission-based referral introductions</x:v>
      </x:c>
      <x:c r="C185" s="2" t="n">
        <x:v>0</x:v>
      </x:c>
      <x:c r="D185" s="2" t="str">
        <x:v>Cumulative total</x:v>
      </x:c>
      <x:c r="E185" s="20"/>
      <x:c r="F185" s="20"/>
      <x:c r="G185" s="20"/>
      <x:c r="H185" s="2" t="str">
        <x:f>IF(D185="Rate",IF(COUNT(F185:G185)&lt;2,"",IF(G185=0,"n.a.",F185/G185)),IF(COUNT(E185)=0,"",E185))</x:f>
      </x:c>
      <x:c r="I185" s="2" t="str">
        <x:f>IF(AND(ISNUMBER(H185),ISNUMBER(C185)),H185-C185,"")</x:f>
      </x:c>
      <x:c r="J185" s="2" t="str">
        <x:v>introductions</x:v>
      </x:c>
      <x:c r="K185" s="2" t="str">
        <x:v>Maseeha</x:v>
      </x:c>
      <x:c r="L185" s="28" t="str"/>
      <x:c r="M185" s="20"/>
      <x:c r="N185" s="21"/>
      <x:c r="O185" s="26" t="str">
        <x:v>Unique introductions with consent and referrer recorded, verified by Maseeha within 2 business days.</x:v>
      </x:c>
      <x:c r="P185" s="26" t="str">
        <x:v>PDF §§10, 16</x:v>
      </x:c>
      <x:c r="Q185" s="2" t="n">
        <x:f>IF(ISNUMBER(H185),1,0)</x:f>
        <x:v>0</x:v>
      </x:c>
    </x:row>
    <x:row r="186" ht="46" customHeight="1">
      <x:c r="A186" s="17" t="n">
        <x:v>46327</x:v>
      </x:c>
      <x:c r="B186" s="2" t="str">
        <x:v>Human reply rate</x:v>
      </x:c>
      <x:c r="C186" s="40" t="n">
        <x:v>0.02</x:v>
      </x:c>
      <x:c r="D186" s="2" t="str">
        <x:v>Rate</x:v>
      </x:c>
      <x:c r="E186" s="20"/>
      <x:c r="F186" s="20"/>
      <x:c r="G186" s="20"/>
      <x:c r="H186" s="40" t="str">
        <x:f>IF(D186="Rate",IF(COUNT(F186:G186)&lt;2,"",IF(G186=0,"n.a.",F186/G186)),IF(COUNT(E186)=0,"",E186))</x:f>
      </x:c>
      <x:c r="I186" s="40" t="str">
        <x:f>IF(AND(ISNUMBER(H186),ISNUMBER(C186)),H186-C186,"")</x:f>
      </x:c>
      <x:c r="J186" s="2" t="str">
        <x:v>%</x:v>
      </x:c>
      <x:c r="K186" s="2" t="str">
        <x:v>Kenneth</x:v>
      </x:c>
      <x:c r="L186" s="28" t="str"/>
      <x:c r="M186" s="20"/>
      <x:c r="N186" s="21"/>
      <x:c r="O186" s="26" t="str">
        <x:v>Unique emailed contacts that give a qualifying human reply / unique contacts emailed in the same send cohort. Exclude OOO, auto-replies, bounces and unsubscribe-only replies. Deduplicate contacts across sequence steps; zero denominator is N/A.</x:v>
      </x:c>
      <x:c r="P186" s="26" t="str">
        <x:v>PDF §10</x:v>
      </x:c>
      <x:c r="Q186" s="2" t="n">
        <x:f>IF(ISNUMBER(H186),1,0)</x:f>
        <x:v>0</x:v>
      </x:c>
    </x:row>
    <x:row r="187" ht="46" customHeight="1">
      <x:c r="A187" s="17" t="n">
        <x:v>46327</x:v>
      </x:c>
      <x:c r="B187" s="2" t="str">
        <x:v>Positive reply rate</x:v>
      </x:c>
      <x:c r="C187" s="40" t="n">
        <x:v>0.01</x:v>
      </x:c>
      <x:c r="D187" s="2" t="str">
        <x:v>Rate</x:v>
      </x:c>
      <x:c r="E187" s="20"/>
      <x:c r="F187" s="20"/>
      <x:c r="G187" s="20"/>
      <x:c r="H187" s="40" t="str">
        <x:f>IF(D187="Rate",IF(COUNT(F187:G187)&lt;2,"",IF(G187=0,"n.a.",F187/G187)),IF(COUNT(E187)=0,"",E187))</x:f>
      </x:c>
      <x:c r="I187" s="40" t="str">
        <x:f>IF(AND(ISNUMBER(H187),ISNUMBER(C187)),H187-C187,"")</x:f>
      </x:c>
      <x:c r="J187" s="2" t="str">
        <x:v>%</x:v>
      </x:c>
      <x:c r="K187" s="2" t="str">
        <x:v>Kenneth</x:v>
      </x:c>
      <x:c r="L187" s="28" t="str"/>
      <x:c r="M187" s="20"/>
      <x:c r="N187" s="21"/>
      <x:c r="O187" s="26" t="str">
        <x:v>Unique emailed contacts classified interested or relevant question / unique contacts emailed in the same send cohort. Deduplicate across sequence steps; zero denominator is N/A. Keep this email rate separate from all-channel qualified inquiries.</x:v>
      </x:c>
      <x:c r="P187" s="26" t="str">
        <x:v>PDF §10</x:v>
      </x:c>
      <x:c r="Q187" s="2" t="n">
        <x:f>IF(ISNUMBER(H187),1,0)</x:f>
        <x:v>0</x:v>
      </x:c>
    </x:row>
    <x:row r="188" ht="46" customHeight="1">
      <x:c r="A188" s="17" t="n">
        <x:v>46327</x:v>
      </x:c>
      <x:c r="B188" s="2" t="str">
        <x:v>Replies answered within 15 minutes</x:v>
      </x:c>
      <x:c r="C188" s="40" t="n">
        <x:v>1</x:v>
      </x:c>
      <x:c r="D188" s="2" t="str">
        <x:v>Rate</x:v>
      </x:c>
      <x:c r="E188" s="20"/>
      <x:c r="F188" s="20"/>
      <x:c r="G188" s="20"/>
      <x:c r="H188" s="40" t="str">
        <x:f>IF(D188="Rate",IF(COUNT(F188:G188)&lt;2,"",IF(G188=0,"n.a.",F188/G188)),IF(COUNT(E188)=0,"",E188))</x:f>
      </x:c>
      <x:c r="I188" s="40" t="str">
        <x:f>IF(AND(ISNUMBER(H188),ISNUMBER(C188)),H188-C188,"")</x:f>
      </x:c>
      <x:c r="J188" s="2" t="str">
        <x:v>%</x:v>
      </x:c>
      <x:c r="K188" s="2" t="str">
        <x:v>Nova</x:v>
      </x:c>
      <x:c r="L188" s="28" t="str"/>
      <x:c r="M188" s="20"/>
      <x:c r="N188" s="21"/>
      <x:c r="O188"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188" s="26" t="str">
        <x:v>PDF §9; clock convention clarified for tracker</x:v>
      </x:c>
      <x:c r="Q188" s="2" t="n">
        <x:f>IF(ISNUMBER(H188),1,0)</x:f>
        <x:v>0</x:v>
      </x:c>
    </x:row>
    <x:row r="189" ht="46" customHeight="1">
      <x:c r="A189" s="17" t="n">
        <x:v>46327</x:v>
      </x:c>
      <x:c r="B189" s="2" t="str">
        <x:v>Held rate</x:v>
      </x:c>
      <x:c r="C189" s="40" t="n">
        <x:v>0.7</x:v>
      </x:c>
      <x:c r="D189" s="2" t="str">
        <x:v>Rate</x:v>
      </x:c>
      <x:c r="E189" s="20"/>
      <x:c r="F189" s="20"/>
      <x:c r="G189" s="20"/>
      <x:c r="H189" s="40" t="str">
        <x:f>IF(D189="Rate",IF(COUNT(F189:G189)&lt;2,"",IF(G189=0,"n.a.",F189/G189)),IF(COUNT(E189)=0,"",E189))</x:f>
      </x:c>
      <x:c r="I189" s="40" t="str">
        <x:f>IF(AND(ISNUMBER(H189),ISNUMBER(C189)),H189-C189,"")</x:f>
      </x:c>
      <x:c r="J189" s="2" t="str">
        <x:v>%</x:v>
      </x:c>
      <x:c r="K189" s="2" t="str">
        <x:v>Nova</x:v>
      </x:c>
      <x:c r="L189" s="28" t="str"/>
      <x:c r="M189" s="20"/>
      <x:c r="N189" s="21"/>
      <x:c r="O189" s="26" t="str">
        <x:v>Qualified conversations actually held / unique booked conversations whose scheduled time has passed. Exclude upcoming appointments. Rebooking the same opportunity is not a second booking. A zero denominator is N/A.</x:v>
      </x:c>
      <x:c r="P189" s="26" t="str">
        <x:v>PDF §10; due-cohort denominator clarified</x:v>
      </x:c>
      <x:c r="Q189" s="2" t="n">
        <x:f>IF(ISNUMBER(H189),1,0)</x:f>
        <x:v>0</x:v>
      </x:c>
    </x:row>
    <x:row r="190" ht="46" customHeight="1">
      <x:c r="A190" s="17" t="n">
        <x:v>46327</x:v>
      </x:c>
      <x:c r="B190" s="2" t="str">
        <x:v>Positive-to-booked conversion</x:v>
      </x:c>
      <x:c r="C190" s="40" t="n">
        <x:v>0.5</x:v>
      </x:c>
      <x:c r="D190" s="2" t="str">
        <x:v>Rate</x:v>
      </x:c>
      <x:c r="E190" s="20"/>
      <x:c r="F190" s="20"/>
      <x:c r="G190" s="20"/>
      <x:c r="H190" s="40" t="str">
        <x:f>IF(D190="Rate",IF(COUNT(F190:G190)&lt;2,"",IF(G190=0,"n.a.",F190/G190)),IF(COUNT(E190)=0,"",E190))</x:f>
      </x:c>
      <x:c r="I190" s="40" t="str">
        <x:f>IF(AND(ISNUMBER(H190),ISNUMBER(C190)),H190-C190,"")</x:f>
      </x:c>
      <x:c r="J190" s="2" t="str">
        <x:v>%</x:v>
      </x:c>
      <x:c r="K190" s="2" t="str">
        <x:v>Nova</x:v>
      </x:c>
      <x:c r="L190" s="28" t="str"/>
      <x:c r="M190" s="20"/>
      <x:c r="N190" s="21"/>
      <x:c r="O190" s="26" t="str">
        <x:v>Unique email-positive opportunities booked / unique email-positive opportunities in the same reviewed cohort. Use a documented follow-up window. This differs from the all-channel 40-inquiry/20-booking planning assumption. A zero denominator is N/A.</x:v>
      </x:c>
      <x:c r="P190" s="26" t="str">
        <x:v>PDF §9</x:v>
      </x:c>
      <x:c r="Q190" s="2" t="n">
        <x:f>IF(ISNUMBER(H190),1,0)</x:f>
        <x:v>0</x:v>
      </x:c>
    </x:row>
    <x:row r="191" ht="46" customHeight="1">
      <x:c r="A191" s="17" t="n">
        <x:v>46327</x:v>
      </x:c>
      <x:c r="B191" s="2" t="str">
        <x:v>Existing-account referral asks</x:v>
      </x:c>
      <x:c r="C191" s="2" t="n">
        <x:v>5</x:v>
      </x:c>
      <x:c r="D191" s="2" t="str">
        <x:v>Cumulative total</x:v>
      </x:c>
      <x:c r="E191" s="20"/>
      <x:c r="F191" s="20"/>
      <x:c r="G191" s="20"/>
      <x:c r="H191" s="2" t="str">
        <x:f>IF(D191="Rate",IF(COUNT(F191:G191)&lt;2,"",IF(G191=0,"n.a.",F191/G191)),IF(COUNT(E191)=0,"",E191))</x:f>
      </x:c>
      <x:c r="I191" s="2" t="str">
        <x:f>IF(AND(ISNUMBER(H191),ISNUMBER(C191)),H191-C191,"")</x:f>
      </x:c>
      <x:c r="J191" s="2" t="str">
        <x:v>accounts asked</x:v>
      </x:c>
      <x:c r="K191" s="2" t="str">
        <x:v>Maseeha</x:v>
      </x:c>
      <x:c r="L191" s="28" t="str"/>
      <x:c r="M191" s="20"/>
      <x:c r="N191" s="21"/>
      <x:c r="O191" s="26" t="str">
        <x:v>Ask 25 unique A/B accounts (5 A and 20 B) by November 13; proposed pace 35 total by November 20; complete the remaining C accounts to reach 41 total by November 25. One introduction is the ask; asks and received intros are separate counts.</x:v>
      </x:c>
      <x:c r="P191" s="26" t="str">
        <x:v>PDF §16 supplies 25 A/B byNov 14 and 16 C byNov 25; Friday deadline and 35-byNov 20 pace are proposed scheduling allocations.</x:v>
      </x:c>
      <x:c r="Q191" s="2" t="n">
        <x:f>IF(ISNUMBER(H191),1,0)</x:f>
        <x:v>0</x:v>
      </x:c>
    </x:row>
    <x:row r="192" ht="46" customHeight="1">
      <x:c r="A192" s="17" t="n">
        <x:v>46327</x:v>
      </x:c>
      <x:c r="B192" s="2" t="str">
        <x:v>Approved SOPs</x:v>
      </x:c>
      <x:c r="C192" s="2"/>
      <x:c r="D192" s="2" t="str">
        <x:v>Cumulative total</x:v>
      </x:c>
      <x:c r="E192" s="20"/>
      <x:c r="F192" s="20"/>
      <x:c r="G192" s="20"/>
      <x:c r="H192" s="2" t="str">
        <x:f>IF(D192="Rate",IF(COUNT(F192:G192)&lt;2,"",IF(G192=0,"n.a.",F192/G192)),IF(COUNT(E192)=0,"",E192))</x:f>
      </x:c>
      <x:c r="I192" s="2" t="str">
        <x:f>IF(AND(ISNUMBER(H192),ISNUMBER(C192)),H192-C192,"")</x:f>
      </x:c>
      <x:c r="J192" s="2" t="str">
        <x:v>SOPs</x:v>
      </x:c>
      <x:c r="K192" s="2" t="str">
        <x:v>Wyline</x:v>
      </x:c>
      <x:c r="L192" s="28" t="str"/>
      <x:c r="M192" s="20"/>
      <x:c r="N192" s="21"/>
      <x:c r="O192" s="26" t="str">
        <x:v>10 core SOPs plus ADS-01 and SOC-01 additions; approved version and independent-run evidence required.</x:v>
      </x:c>
      <x:c r="P192" s="26" t="str">
        <x:v>PDF §8 with §§17 b–d additions</x:v>
      </x:c>
      <x:c r="Q192" s="2" t="n">
        <x:f>IF(ISNUMBER(H192),1,0)</x:f>
        <x:v>0</x:v>
      </x:c>
    </x:row>
    <x:row r="193" ht="46" customHeight="1">
      <x:c r="A193" s="17" t="n">
        <x:v>46327</x:v>
      </x:c>
      <x:c r="B193" s="2" t="str">
        <x:v>Accepted AI agents</x:v>
      </x:c>
      <x:c r="C193" s="2"/>
      <x:c r="D193" s="2" t="str">
        <x:v>Cumulative total</x:v>
      </x:c>
      <x:c r="E193" s="20"/>
      <x:c r="F193" s="20"/>
      <x:c r="G193" s="20"/>
      <x:c r="H193" s="2" t="str">
        <x:f>IF(D193="Rate",IF(COUNT(F193:G193)&lt;2,"",IF(G193=0,"n.a.",F193/G193)),IF(COUNT(E193)=0,"",E193))</x:f>
      </x:c>
      <x:c r="I193" s="2" t="str">
        <x:f>IF(AND(ISNUMBER(H193),ISNUMBER(C193)),H193-C193,"")</x:f>
      </x:c>
      <x:c r="J193" s="2" t="str">
        <x:v>agents</x:v>
      </x:c>
      <x:c r="K193" s="2" t="str">
        <x:v>Emman</x:v>
      </x:c>
      <x:c r="L193" s="28" t="str"/>
      <x:c r="M193" s="20"/>
      <x:c r="N193" s="21"/>
      <x:c r="O193" s="26" t="str">
        <x:v>Scout, Writer, Inbox, Phone Assist, LinkedIn Assist, Follow-up, Scoreboard and Client Reporter; acceptance evidence required.</x:v>
      </x:c>
      <x:c r="P193" s="26" t="str">
        <x:v>PDF §7</x:v>
      </x:c>
      <x:c r="Q193" s="2" t="n">
        <x:f>IF(ISNUMBER(H193),1,0)</x:f>
        <x:v>0</x:v>
      </x:c>
    </x:row>
    <x:row r="194" ht="46" customHeight="1">
      <x:c r="A194" s="17" t="n">
        <x:v>46328</x:v>
      </x:c>
      <x:c r="B194" s="2" t="str">
        <x:v>Qualified inquiries</x:v>
      </x:c>
      <x:c r="C194" s="2" t="n">
        <x:v>0</x:v>
      </x:c>
      <x:c r="D194" s="2" t="str">
        <x:v>Cumulative total</x:v>
      </x:c>
      <x:c r="E194" s="20"/>
      <x:c r="F194" s="20"/>
      <x:c r="G194" s="20"/>
      <x:c r="H194" s="2" t="str">
        <x:f>IF(D194="Rate",IF(COUNT(F194:G194)&lt;2,"",IF(G194=0,"n.a.",F194/G194)),IF(COUNT(E194)=0,"",E194))</x:f>
      </x:c>
      <x:c r="I194" s="2" t="str">
        <x:f>IF(AND(ISNUMBER(H194),ISNUMBER(C194)),H194-C194,"")</x:f>
      </x:c>
      <x:c r="J194" s="2" t="str">
        <x:v>inquiries</x:v>
      </x:c>
      <x:c r="K194" s="2" t="str">
        <x:v>Nova</x:v>
      </x:c>
      <x:c r="L194" s="28" t="str"/>
      <x:c r="M194" s="20"/>
      <x:c r="N194" s="21"/>
      <x:c r="O194" s="26" t="str">
        <x:v>Unique ICP-matched practices that express relevant interest, need or timing; Nova records practice type, decision-maker access, case volume, service need and readiness within 30–60 days. Raw records, opens and connection accepts do not qualify.</x:v>
      </x:c>
      <x:c r="P194" s="26" t="str">
        <x:v>Original proposal pages 2 and 4 define qualification; 40 by Dec 16 and intermediate pace are newly proposed recovery targets.</x:v>
      </x:c>
      <x:c r="Q194" s="2" t="n">
        <x:f>IF(ISNUMBER(H194),1,0)</x:f>
        <x:v>0</x:v>
      </x:c>
    </x:row>
    <x:row r="195" ht="46" customHeight="1">
      <x:c r="A195" s="17" t="n">
        <x:v>46328</x:v>
      </x:c>
      <x:c r="B195" s="2" t="str">
        <x:v>Qualified conversations booked</x:v>
      </x:c>
      <x:c r="C195" s="2" t="n">
        <x:v>0</x:v>
      </x:c>
      <x:c r="D195" s="2" t="str">
        <x:v>Cumulative total</x:v>
      </x:c>
      <x:c r="E195" s="20"/>
      <x:c r="F195" s="20"/>
      <x:c r="G195" s="20"/>
      <x:c r="H195" s="2" t="str">
        <x:f>IF(D195="Rate",IF(COUNT(F195:G195)&lt;2,"",IF(G195=0,"n.a.",F195/G195)),IF(COUNT(E195)=0,"",E195))</x:f>
      </x:c>
      <x:c r="I195" s="2" t="str">
        <x:f>IF(AND(ISNUMBER(H195),ISNUMBER(C195)),H195-C195,"")</x:f>
      </x:c>
      <x:c r="J195" s="2" t="str">
        <x:v>bookings</x:v>
      </x:c>
      <x:c r="K195" s="2" t="str">
        <x:v>Nova</x:v>
      </x:c>
      <x:c r="L195" s="28" t="str"/>
      <x:c r="M195" s="20"/>
      <x:c r="N195" s="21"/>
      <x:c r="O195" s="26" t="str">
        <x:v>Unique qualified calls/visits booked with Nic; rebooking same opportunity is not a new booking.</x:v>
      </x:c>
      <x:c r="P195" s="26" t="str">
        <x:v>PDF §10; final deadline advanced to user Dec 16</x:v>
      </x:c>
      <x:c r="Q195" s="2" t="n">
        <x:f>IF(ISNUMBER(H195),1,0)</x:f>
        <x:v>0</x:v>
      </x:c>
    </x:row>
    <x:row r="196" ht="46" customHeight="1">
      <x:c r="A196" s="17" t="n">
        <x:v>46328</x:v>
      </x:c>
      <x:c r="B196" s="2" t="str">
        <x:v>Qualified conversations held</x:v>
      </x:c>
      <x:c r="C196" s="2" t="n">
        <x:v>0</x:v>
      </x:c>
      <x:c r="D196" s="2" t="str">
        <x:v>Cumulative total</x:v>
      </x:c>
      <x:c r="E196" s="20"/>
      <x:c r="F196" s="20"/>
      <x:c r="G196" s="20"/>
      <x:c r="H196" s="2" t="str">
        <x:f>IF(D196="Rate",IF(COUNT(F196:G196)&lt;2,"",IF(G196=0,"n.a.",F196/G196)),IF(COUNT(E196)=0,"",E196))</x:f>
      </x:c>
      <x:c r="I196" s="2" t="str">
        <x:f>IF(AND(ISNUMBER(H196),ISNUMBER(C196)),H196-C196,"")</x:f>
      </x:c>
      <x:c r="J196" s="2" t="str">
        <x:v>held</x:v>
      </x:c>
      <x:c r="K196" s="2" t="str">
        <x:v>Nova</x:v>
      </x:c>
      <x:c r="L196" s="28" t="str"/>
      <x:c r="M196" s="20"/>
      <x:c r="N196" s="21"/>
      <x:c r="O196" s="26" t="str">
        <x:v>Completed qualified calls/visits; 6 and 15 are integer planning proxies for 70% of 8 and 75% of 20.</x:v>
      </x:c>
      <x:c r="P196" s="26" t="str">
        <x:v>Derived from source held-rate targets</x:v>
      </x:c>
      <x:c r="Q196" s="2" t="n">
        <x:f>IF(ISNUMBER(H196),1,0)</x:f>
        <x:v>0</x:v>
      </x:c>
    </x:row>
    <x:row r="197" ht="46" customHeight="1">
      <x:c r="A197" s="17" t="n">
        <x:v>46328</x:v>
      </x:c>
      <x:c r="B197" s="2" t="str">
        <x:v>Trial cases received by DSI</x:v>
      </x:c>
      <x:c r="C197" s="2" t="n">
        <x:v>0</x:v>
      </x:c>
      <x:c r="D197" s="2" t="str">
        <x:v>Cumulative total</x:v>
      </x:c>
      <x:c r="E197" s="20"/>
      <x:c r="F197" s="20"/>
      <x:c r="G197" s="20"/>
      <x:c r="H197" s="2" t="str">
        <x:f>IF(D197="Rate",IF(COUNT(F197:G197)&lt;2,"",IF(G197=0,"n.a.",F197/G197)),IF(COUNT(E197)=0,"",E197))</x:f>
      </x:c>
      <x:c r="I197" s="2" t="str">
        <x:f>IF(AND(ISNUMBER(H197),ISNUMBER(C197)),H197-C197,"")</x:f>
      </x:c>
      <x:c r="J197" s="2" t="str">
        <x:v>trials</x:v>
      </x:c>
      <x:c r="K197" s="2" t="str">
        <x:v>Maseeha</x:v>
      </x:c>
      <x:c r="L197" s="28" t="str"/>
      <x:c r="M197" s="20"/>
      <x:c r="N197" s="21"/>
      <x:c r="O197" s="26" t="str">
        <x:v>Practice’s first trial case received by DSI, not merely promised or shipped; subject to Maseeha capacity.</x:v>
      </x:c>
      <x:c r="P197" s="26" t="str">
        <x:v>PDF §10; final deadline advanced to user Dec 16</x:v>
      </x:c>
      <x:c r="Q197" s="2" t="n">
        <x:f>IF(ISNUMBER(H197),1,0)</x:f>
        <x:v>0</x:v>
      </x:c>
    </x:row>
    <x:row r="198" ht="46" customHeight="1">
      <x:c r="A198" s="17" t="n">
        <x:v>46328</x:v>
      </x:c>
      <x:c r="B198" s="2" t="str">
        <x:v>Recurring accounts signed</x:v>
      </x:c>
      <x:c r="C198" s="2"/>
      <x:c r="D198" s="2" t="str">
        <x:v>Cumulative total</x:v>
      </x:c>
      <x:c r="E198" s="20"/>
      <x:c r="F198" s="20"/>
      <x:c r="G198" s="20"/>
      <x:c r="H198" s="2" t="str">
        <x:f>IF(D198="Rate",IF(COUNT(F198:G198)&lt;2,"",IF(G198=0,"n.a.",F198/G198)),IF(COUNT(E198)=0,"",E198))</x:f>
      </x:c>
      <x:c r="I198" s="2" t="str">
        <x:f>IF(AND(ISNUMBER(H198),ISNUMBER(C198)),H198-C198,"")</x:f>
      </x:c>
      <x:c r="J198" s="2" t="str">
        <x:v>accounts</x:v>
      </x:c>
      <x:c r="K198" s="2" t="str">
        <x:v>Nic</x:v>
      </x:c>
      <x:c r="L198" s="28" t="str"/>
      <x:c r="M198" s="20"/>
      <x:c r="N198" s="21"/>
      <x:c r="O198" s="26" t="str">
        <x:v>Plan signed following Day-30 review; only mature trial cohorts eligible. 1–3 is a conditional range.</x:v>
      </x:c>
      <x:c r="P198" s="26" t="str">
        <x:v>PDF §10</x:v>
      </x:c>
      <x:c r="Q198" s="2" t="n">
        <x:f>IF(ISNUMBER(H198),1,0)</x:f>
        <x:v>0</x:v>
      </x:c>
    </x:row>
    <x:row r="199" ht="46" customHeight="1">
      <x:c r="A199" s="17" t="n">
        <x:v>46328</x:v>
      </x:c>
      <x:c r="B199" s="2" t="str">
        <x:v>Referral-sourced bookings</x:v>
      </x:c>
      <x:c r="C199" s="2" t="n">
        <x:v>0</x:v>
      </x:c>
      <x:c r="D199" s="2" t="str">
        <x:v>Cumulative total</x:v>
      </x:c>
      <x:c r="E199" s="20"/>
      <x:c r="F199" s="20"/>
      <x:c r="G199" s="20"/>
      <x:c r="H199" s="2" t="str">
        <x:f>IF(D199="Rate",IF(COUNT(F199:G199)&lt;2,"",IF(G199=0,"n.a.",F199/G199)),IF(COUNT(E199)=0,"",E199))</x:f>
      </x:c>
      <x:c r="I199" s="2" t="str">
        <x:f>IF(AND(ISNUMBER(H199),ISNUMBER(C199)),H199-C199,"")</x:f>
      </x:c>
      <x:c r="J199" s="2" t="str">
        <x:v>bookings</x:v>
      </x:c>
      <x:c r="K199" s="2" t="str">
        <x:v>Nova</x:v>
      </x:c>
      <x:c r="L199" s="28" t="str"/>
      <x:c r="M199" s="20"/>
      <x:c r="N199" s="21"/>
      <x:c r="O199" s="26" t="str">
        <x:v>Subset of booked total with primary Source=Referral; never added on top of all-channel bookings.</x:v>
      </x:c>
      <x:c r="P199" s="26" t="str">
        <x:v>PDF §§10, 16</x:v>
      </x:c>
      <x:c r="Q199" s="2" t="n">
        <x:f>IF(ISNUMBER(H199),1,0)</x:f>
        <x:v>0</x:v>
      </x:c>
    </x:row>
    <x:row r="200" ht="46" customHeight="1">
      <x:c r="A200" s="17" t="n">
        <x:v>46328</x:v>
      </x:c>
      <x:c r="B200" s="2" t="str">
        <x:v>LinkedIn DM-sourced bookings</x:v>
      </x:c>
      <x:c r="C200" s="2" t="n">
        <x:v>0</x:v>
      </x:c>
      <x:c r="D200" s="2" t="str">
        <x:v>Cumulative total</x:v>
      </x:c>
      <x:c r="E200" s="20"/>
      <x:c r="F200" s="20"/>
      <x:c r="G200" s="20"/>
      <x:c r="H200" s="2" t="str">
        <x:f>IF(D200="Rate",IF(COUNT(F200:G200)&lt;2,"",IF(G200=0,"n.a.",F200/G200)),IF(COUNT(E200)=0,"",E200))</x:f>
      </x:c>
      <x:c r="I200" s="2" t="str">
        <x:f>IF(AND(ISNUMBER(H200),ISNUMBER(C200)),H200-C200,"")</x:f>
      </x:c>
      <x:c r="J200" s="2" t="str">
        <x:v>bookings</x:v>
      </x:c>
      <x:c r="K200" s="2" t="str">
        <x:v>Dexter</x:v>
      </x:c>
      <x:c r="L200" s="28" t="str"/>
      <x:c r="M200" s="20"/>
      <x:c r="N200" s="21"/>
      <x:c r="O200" s="26" t="str">
        <x:v>Subset of booked total with primary Source=LinkedIn DM; assists tracked separately.</x:v>
      </x:c>
      <x:c r="P200" s="26" t="str">
        <x:v>PDF §§10, 17 a</x:v>
      </x:c>
      <x:c r="Q200" s="2" t="n">
        <x:f>IF(ISNUMBER(H200),1,0)</x:f>
        <x:v>0</x:v>
      </x:c>
    </x:row>
    <x:row r="201" ht="46" customHeight="1">
      <x:c r="A201" s="17" t="n">
        <x:v>46328</x:v>
      </x:c>
      <x:c r="B201" s="2" t="str">
        <x:v>Verified contacts ready</x:v>
      </x:c>
      <x:c r="C201" s="2" t="n">
        <x:v>300</x:v>
      </x:c>
      <x:c r="D201" s="2" t="str">
        <x:v>Cumulative total</x:v>
      </x:c>
      <x:c r="E201" s="20"/>
      <x:c r="F201" s="20"/>
      <x:c r="G201" s="20"/>
      <x:c r="H201" s="2" t="str">
        <x:f>IF(D201="Rate",IF(COUNT(F201:G201)&lt;2,"",IF(G201=0,"n.a.",F201/G201)),IF(COUNT(E201)=0,"",E201))</x:f>
      </x:c>
      <x:c r="I201" s="2" t="str">
        <x:f>IF(AND(ISNUMBER(H201),ISNUMBER(C201)),H201-C201,"")</x:f>
      </x:c>
      <x:c r="J201" s="2" t="str">
        <x:v>contacts</x:v>
      </x:c>
      <x:c r="K201" s="2" t="str">
        <x:v>Joey</x:v>
      </x:c>
      <x:c r="L201" s="28" t="str"/>
      <x:c r="M201" s="20"/>
      <x:c r="N201" s="21"/>
      <x:c r="O201" s="26" t="str">
        <x:v>Unique contacts passing Scout and loaded in CQL; count once per contact.</x:v>
      </x:c>
      <x:c r="P201" s="26" t="str">
        <x:v>PDF §§10, 14; 750 due Dec 12 moved to Fri Dec 11</x:v>
      </x:c>
      <x:c r="Q201" s="2" t="n">
        <x:f>IF(ISNUMBER(H201),1,0)</x:f>
        <x:v>0</x:v>
      </x:c>
    </x:row>
    <x:row r="202" ht="46" customHeight="1">
      <x:c r="A202" s="17" t="n">
        <x:v>46328</x:v>
      </x:c>
      <x:c r="B202" s="2" t="str">
        <x:v>Permission-based referral introductions</x:v>
      </x:c>
      <x:c r="C202" s="2" t="n">
        <x:v>0</x:v>
      </x:c>
      <x:c r="D202" s="2" t="str">
        <x:v>Cumulative total</x:v>
      </x:c>
      <x:c r="E202" s="20"/>
      <x:c r="F202" s="20"/>
      <x:c r="G202" s="20"/>
      <x:c r="H202" s="2" t="str">
        <x:f>IF(D202="Rate",IF(COUNT(F202:G202)&lt;2,"",IF(G202=0,"n.a.",F202/G202)),IF(COUNT(E202)=0,"",E202))</x:f>
      </x:c>
      <x:c r="I202" s="2" t="str">
        <x:f>IF(AND(ISNUMBER(H202),ISNUMBER(C202)),H202-C202,"")</x:f>
      </x:c>
      <x:c r="J202" s="2" t="str">
        <x:v>introductions</x:v>
      </x:c>
      <x:c r="K202" s="2" t="str">
        <x:v>Maseeha</x:v>
      </x:c>
      <x:c r="L202" s="28" t="str"/>
      <x:c r="M202" s="20"/>
      <x:c r="N202" s="21"/>
      <x:c r="O202" s="26" t="str">
        <x:v>Unique introductions with consent and referrer recorded, verified by Maseeha within 2 business days.</x:v>
      </x:c>
      <x:c r="P202" s="26" t="str">
        <x:v>PDF §§10, 16</x:v>
      </x:c>
      <x:c r="Q202" s="2" t="n">
        <x:f>IF(ISNUMBER(H202),1,0)</x:f>
        <x:v>0</x:v>
      </x:c>
    </x:row>
    <x:row r="203" ht="46" customHeight="1">
      <x:c r="A203" s="17" t="n">
        <x:v>46328</x:v>
      </x:c>
      <x:c r="B203" s="2" t="str">
        <x:v>Human reply rate</x:v>
      </x:c>
      <x:c r="C203" s="40" t="n">
        <x:v>0.02</x:v>
      </x:c>
      <x:c r="D203" s="2" t="str">
        <x:v>Rate</x:v>
      </x:c>
      <x:c r="E203" s="20"/>
      <x:c r="F203" s="20"/>
      <x:c r="G203" s="20"/>
      <x:c r="H203" s="40" t="str">
        <x:f>IF(D203="Rate",IF(COUNT(F203:G203)&lt;2,"",IF(G203=0,"n.a.",F203/G203)),IF(COUNT(E203)=0,"",E203))</x:f>
      </x:c>
      <x:c r="I203" s="40" t="str">
        <x:f>IF(AND(ISNUMBER(H203),ISNUMBER(C203)),H203-C203,"")</x:f>
      </x:c>
      <x:c r="J203" s="2" t="str">
        <x:v>%</x:v>
      </x:c>
      <x:c r="K203" s="2" t="str">
        <x:v>Kenneth</x:v>
      </x:c>
      <x:c r="L203" s="28" t="str"/>
      <x:c r="M203" s="20"/>
      <x:c r="N203" s="21"/>
      <x:c r="O203" s="26" t="str">
        <x:v>Unique emailed contacts that give a qualifying human reply / unique contacts emailed in the same send cohort. Exclude OOO, auto-replies, bounces and unsubscribe-only replies. Deduplicate contacts across sequence steps; zero denominator is N/A.</x:v>
      </x:c>
      <x:c r="P203" s="26" t="str">
        <x:v>PDF §10</x:v>
      </x:c>
      <x:c r="Q203" s="2" t="n">
        <x:f>IF(ISNUMBER(H203),1,0)</x:f>
        <x:v>0</x:v>
      </x:c>
    </x:row>
    <x:row r="204" ht="46" customHeight="1">
      <x:c r="A204" s="17" t="n">
        <x:v>46328</x:v>
      </x:c>
      <x:c r="B204" s="2" t="str">
        <x:v>Positive reply rate</x:v>
      </x:c>
      <x:c r="C204" s="40" t="n">
        <x:v>0.01</x:v>
      </x:c>
      <x:c r="D204" s="2" t="str">
        <x:v>Rate</x:v>
      </x:c>
      <x:c r="E204" s="20"/>
      <x:c r="F204" s="20"/>
      <x:c r="G204" s="20"/>
      <x:c r="H204" s="40" t="str">
        <x:f>IF(D204="Rate",IF(COUNT(F204:G204)&lt;2,"",IF(G204=0,"n.a.",F204/G204)),IF(COUNT(E204)=0,"",E204))</x:f>
      </x:c>
      <x:c r="I204" s="40" t="str">
        <x:f>IF(AND(ISNUMBER(H204),ISNUMBER(C204)),H204-C204,"")</x:f>
      </x:c>
      <x:c r="J204" s="2" t="str">
        <x:v>%</x:v>
      </x:c>
      <x:c r="K204" s="2" t="str">
        <x:v>Kenneth</x:v>
      </x:c>
      <x:c r="L204" s="28" t="str"/>
      <x:c r="M204" s="20"/>
      <x:c r="N204" s="21"/>
      <x:c r="O204" s="26" t="str">
        <x:v>Unique emailed contacts classified interested or relevant question / unique contacts emailed in the same send cohort. Deduplicate across sequence steps; zero denominator is N/A. Keep this email rate separate from all-channel qualified inquiries.</x:v>
      </x:c>
      <x:c r="P204" s="26" t="str">
        <x:v>PDF §10</x:v>
      </x:c>
      <x:c r="Q204" s="2" t="n">
        <x:f>IF(ISNUMBER(H204),1,0)</x:f>
        <x:v>0</x:v>
      </x:c>
    </x:row>
    <x:row r="205" ht="46" customHeight="1">
      <x:c r="A205" s="17" t="n">
        <x:v>46328</x:v>
      </x:c>
      <x:c r="B205" s="2" t="str">
        <x:v>Replies answered within 15 minutes</x:v>
      </x:c>
      <x:c r="C205" s="40" t="n">
        <x:v>1</x:v>
      </x:c>
      <x:c r="D205" s="2" t="str">
        <x:v>Rate</x:v>
      </x:c>
      <x:c r="E205" s="20"/>
      <x:c r="F205" s="20"/>
      <x:c r="G205" s="20"/>
      <x:c r="H205" s="40" t="str">
        <x:f>IF(D205="Rate",IF(COUNT(F205:G205)&lt;2,"",IF(G205=0,"n.a.",F205/G205)),IF(COUNT(E205)=0,"",E205))</x:f>
      </x:c>
      <x:c r="I205" s="40" t="str">
        <x:f>IF(AND(ISNUMBER(H205),ISNUMBER(C205)),H205-C205,"")</x:f>
      </x:c>
      <x:c r="J205" s="2" t="str">
        <x:v>%</x:v>
      </x:c>
      <x:c r="K205" s="2" t="str">
        <x:v>Nova</x:v>
      </x:c>
      <x:c r="L205" s="28" t="str"/>
      <x:c r="M205" s="20"/>
      <x:c r="N205" s="21"/>
      <x:c r="O205"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205" s="26" t="str">
        <x:v>PDF §9; clock convention clarified for tracker</x:v>
      </x:c>
      <x:c r="Q205" s="2" t="n">
        <x:f>IF(ISNUMBER(H205),1,0)</x:f>
        <x:v>0</x:v>
      </x:c>
    </x:row>
    <x:row r="206" ht="46" customHeight="1">
      <x:c r="A206" s="17" t="n">
        <x:v>46328</x:v>
      </x:c>
      <x:c r="B206" s="2" t="str">
        <x:v>Held rate</x:v>
      </x:c>
      <x:c r="C206" s="40" t="n">
        <x:v>0.7</x:v>
      </x:c>
      <x:c r="D206" s="2" t="str">
        <x:v>Rate</x:v>
      </x:c>
      <x:c r="E206" s="20"/>
      <x:c r="F206" s="20"/>
      <x:c r="G206" s="20"/>
      <x:c r="H206" s="40" t="str">
        <x:f>IF(D206="Rate",IF(COUNT(F206:G206)&lt;2,"",IF(G206=0,"n.a.",F206/G206)),IF(COUNT(E206)=0,"",E206))</x:f>
      </x:c>
      <x:c r="I206" s="40" t="str">
        <x:f>IF(AND(ISNUMBER(H206),ISNUMBER(C206)),H206-C206,"")</x:f>
      </x:c>
      <x:c r="J206" s="2" t="str">
        <x:v>%</x:v>
      </x:c>
      <x:c r="K206" s="2" t="str">
        <x:v>Nova</x:v>
      </x:c>
      <x:c r="L206" s="28" t="str"/>
      <x:c r="M206" s="20"/>
      <x:c r="N206" s="21"/>
      <x:c r="O206" s="26" t="str">
        <x:v>Qualified conversations actually held / unique booked conversations whose scheduled time has passed. Exclude upcoming appointments. Rebooking the same opportunity is not a second booking. A zero denominator is N/A.</x:v>
      </x:c>
      <x:c r="P206" s="26" t="str">
        <x:v>PDF §10; due-cohort denominator clarified</x:v>
      </x:c>
      <x:c r="Q206" s="2" t="n">
        <x:f>IF(ISNUMBER(H206),1,0)</x:f>
        <x:v>0</x:v>
      </x:c>
    </x:row>
    <x:row r="207" ht="46" customHeight="1">
      <x:c r="A207" s="17" t="n">
        <x:v>46328</x:v>
      </x:c>
      <x:c r="B207" s="2" t="str">
        <x:v>Positive-to-booked conversion</x:v>
      </x:c>
      <x:c r="C207" s="40" t="n">
        <x:v>0.5</x:v>
      </x:c>
      <x:c r="D207" s="2" t="str">
        <x:v>Rate</x:v>
      </x:c>
      <x:c r="E207" s="20"/>
      <x:c r="F207" s="20"/>
      <x:c r="G207" s="20"/>
      <x:c r="H207" s="40" t="str">
        <x:f>IF(D207="Rate",IF(COUNT(F207:G207)&lt;2,"",IF(G207=0,"n.a.",F207/G207)),IF(COUNT(E207)=0,"",E207))</x:f>
      </x:c>
      <x:c r="I207" s="40" t="str">
        <x:f>IF(AND(ISNUMBER(H207),ISNUMBER(C207)),H207-C207,"")</x:f>
      </x:c>
      <x:c r="J207" s="2" t="str">
        <x:v>%</x:v>
      </x:c>
      <x:c r="K207" s="2" t="str">
        <x:v>Nova</x:v>
      </x:c>
      <x:c r="L207" s="28" t="str"/>
      <x:c r="M207" s="20"/>
      <x:c r="N207" s="21"/>
      <x:c r="O207" s="26" t="str">
        <x:v>Unique email-positive opportunities booked / unique email-positive opportunities in the same reviewed cohort. Use a documented follow-up window. This differs from the all-channel 40-inquiry/20-booking planning assumption. A zero denominator is N/A.</x:v>
      </x:c>
      <x:c r="P207" s="26" t="str">
        <x:v>PDF §9</x:v>
      </x:c>
      <x:c r="Q207" s="2" t="n">
        <x:f>IF(ISNUMBER(H207),1,0)</x:f>
        <x:v>0</x:v>
      </x:c>
    </x:row>
    <x:row r="208" ht="46" customHeight="1">
      <x:c r="A208" s="17" t="n">
        <x:v>46328</x:v>
      </x:c>
      <x:c r="B208" s="2" t="str">
        <x:v>Existing-account referral asks</x:v>
      </x:c>
      <x:c r="C208" s="2" t="n">
        <x:v>5</x:v>
      </x:c>
      <x:c r="D208" s="2" t="str">
        <x:v>Cumulative total</x:v>
      </x:c>
      <x:c r="E208" s="20"/>
      <x:c r="F208" s="20"/>
      <x:c r="G208" s="20"/>
      <x:c r="H208" s="2" t="str">
        <x:f>IF(D208="Rate",IF(COUNT(F208:G208)&lt;2,"",IF(G208=0,"n.a.",F208/G208)),IF(COUNT(E208)=0,"",E208))</x:f>
      </x:c>
      <x:c r="I208" s="2" t="str">
        <x:f>IF(AND(ISNUMBER(H208),ISNUMBER(C208)),H208-C208,"")</x:f>
      </x:c>
      <x:c r="J208" s="2" t="str">
        <x:v>accounts asked</x:v>
      </x:c>
      <x:c r="K208" s="2" t="str">
        <x:v>Maseeha</x:v>
      </x:c>
      <x:c r="L208" s="28" t="str"/>
      <x:c r="M208" s="20"/>
      <x:c r="N208" s="21"/>
      <x:c r="O208" s="26" t="str">
        <x:v>Ask 25 unique A/B accounts (5 A and 20 B) by November 13; proposed pace 35 total by November 20; complete the remaining C accounts to reach 41 total by November 25. One introduction is the ask; asks and received intros are separate counts.</x:v>
      </x:c>
      <x:c r="P208" s="26" t="str">
        <x:v>PDF §16 supplies 25 A/B byNov 14 and 16 C byNov 25; Friday deadline and 35-byNov 20 pace are proposed scheduling allocations.</x:v>
      </x:c>
      <x:c r="Q208" s="2" t="n">
        <x:f>IF(ISNUMBER(H208),1,0)</x:f>
        <x:v>0</x:v>
      </x:c>
    </x:row>
    <x:row r="209" ht="46" customHeight="1">
      <x:c r="A209" s="17" t="n">
        <x:v>46328</x:v>
      </x:c>
      <x:c r="B209" s="2" t="str">
        <x:v>Approved SOPs</x:v>
      </x:c>
      <x:c r="C209" s="2"/>
      <x:c r="D209" s="2" t="str">
        <x:v>Cumulative total</x:v>
      </x:c>
      <x:c r="E209" s="20"/>
      <x:c r="F209" s="20"/>
      <x:c r="G209" s="20"/>
      <x:c r="H209" s="2" t="str">
        <x:f>IF(D209="Rate",IF(COUNT(F209:G209)&lt;2,"",IF(G209=0,"n.a.",F209/G209)),IF(COUNT(E209)=0,"",E209))</x:f>
      </x:c>
      <x:c r="I209" s="2" t="str">
        <x:f>IF(AND(ISNUMBER(H209),ISNUMBER(C209)),H209-C209,"")</x:f>
      </x:c>
      <x:c r="J209" s="2" t="str">
        <x:v>SOPs</x:v>
      </x:c>
      <x:c r="K209" s="2" t="str">
        <x:v>Wyline</x:v>
      </x:c>
      <x:c r="L209" s="28" t="str"/>
      <x:c r="M209" s="20"/>
      <x:c r="N209" s="21"/>
      <x:c r="O209" s="26" t="str">
        <x:v>10 core SOPs plus ADS-01 and SOC-01 additions; approved version and independent-run evidence required.</x:v>
      </x:c>
      <x:c r="P209" s="26" t="str">
        <x:v>PDF §8 with §§17 b–d additions</x:v>
      </x:c>
      <x:c r="Q209" s="2" t="n">
        <x:f>IF(ISNUMBER(H209),1,0)</x:f>
        <x:v>0</x:v>
      </x:c>
    </x:row>
    <x:row r="210" ht="46" customHeight="1">
      <x:c r="A210" s="17" t="n">
        <x:v>46328</x:v>
      </x:c>
      <x:c r="B210" s="2" t="str">
        <x:v>Accepted AI agents</x:v>
      </x:c>
      <x:c r="C210" s="2"/>
      <x:c r="D210" s="2" t="str">
        <x:v>Cumulative total</x:v>
      </x:c>
      <x:c r="E210" s="20"/>
      <x:c r="F210" s="20"/>
      <x:c r="G210" s="20"/>
      <x:c r="H210" s="2" t="str">
        <x:f>IF(D210="Rate",IF(COUNT(F210:G210)&lt;2,"",IF(G210=0,"n.a.",F210/G210)),IF(COUNT(E210)=0,"",E210))</x:f>
      </x:c>
      <x:c r="I210" s="2" t="str">
        <x:f>IF(AND(ISNUMBER(H210),ISNUMBER(C210)),H210-C210,"")</x:f>
      </x:c>
      <x:c r="J210" s="2" t="str">
        <x:v>agents</x:v>
      </x:c>
      <x:c r="K210" s="2" t="str">
        <x:v>Emman</x:v>
      </x:c>
      <x:c r="L210" s="28" t="str"/>
      <x:c r="M210" s="20"/>
      <x:c r="N210" s="21"/>
      <x:c r="O210" s="26" t="str">
        <x:v>Scout, Writer, Inbox, Phone Assist, LinkedIn Assist, Follow-up, Scoreboard and Client Reporter; acceptance evidence required.</x:v>
      </x:c>
      <x:c r="P210" s="26" t="str">
        <x:v>PDF §7</x:v>
      </x:c>
      <x:c r="Q210" s="2" t="n">
        <x:f>IF(ISNUMBER(H210),1,0)</x:f>
        <x:v>0</x:v>
      </x:c>
    </x:row>
    <x:row r="211" ht="46" customHeight="1">
      <x:c r="A211" s="17" t="n">
        <x:v>46329</x:v>
      </x:c>
      <x:c r="B211" s="2" t="str">
        <x:v>Qualified inquiries</x:v>
      </x:c>
      <x:c r="C211" s="2" t="n">
        <x:v>1</x:v>
      </x:c>
      <x:c r="D211" s="2" t="str">
        <x:v>Cumulative total</x:v>
      </x:c>
      <x:c r="E211" s="20"/>
      <x:c r="F211" s="20"/>
      <x:c r="G211" s="20"/>
      <x:c r="H211" s="2" t="str">
        <x:f>IF(D211="Rate",IF(COUNT(F211:G211)&lt;2,"",IF(G211=0,"n.a.",F211/G211)),IF(COUNT(E211)=0,"",E211))</x:f>
      </x:c>
      <x:c r="I211" s="2" t="str">
        <x:f>IF(AND(ISNUMBER(H211),ISNUMBER(C211)),H211-C211,"")</x:f>
      </x:c>
      <x:c r="J211" s="2" t="str">
        <x:v>inquiries</x:v>
      </x:c>
      <x:c r="K211" s="2" t="str">
        <x:v>Nova</x:v>
      </x:c>
      <x:c r="L211" s="28" t="str"/>
      <x:c r="M211" s="20"/>
      <x:c r="N211" s="21"/>
      <x:c r="O211" s="26" t="str">
        <x:v>Unique ICP-matched practices that express relevant interest, need or timing; Nova records practice type, decision-maker access, case volume, service need and readiness within 30–60 days. Raw records, opens and connection accepts do not qualify.</x:v>
      </x:c>
      <x:c r="P211" s="26" t="str">
        <x:v>Original proposal pages 2 and 4 define qualification; 40 by Dec 16 and intermediate pace are newly proposed recovery targets.</x:v>
      </x:c>
      <x:c r="Q211" s="2" t="n">
        <x:f>IF(ISNUMBER(H211),1,0)</x:f>
        <x:v>0</x:v>
      </x:c>
    </x:row>
    <x:row r="212" ht="46" customHeight="1">
      <x:c r="A212" s="17" t="n">
        <x:v>46329</x:v>
      </x:c>
      <x:c r="B212" s="2" t="str">
        <x:v>Qualified conversations booked</x:v>
      </x:c>
      <x:c r="C212" s="2" t="n">
        <x:v>0</x:v>
      </x:c>
      <x:c r="D212" s="2" t="str">
        <x:v>Cumulative total</x:v>
      </x:c>
      <x:c r="E212" s="20"/>
      <x:c r="F212" s="20"/>
      <x:c r="G212" s="20"/>
      <x:c r="H212" s="2" t="str">
        <x:f>IF(D212="Rate",IF(COUNT(F212:G212)&lt;2,"",IF(G212=0,"n.a.",F212/G212)),IF(COUNT(E212)=0,"",E212))</x:f>
      </x:c>
      <x:c r="I212" s="2" t="str">
        <x:f>IF(AND(ISNUMBER(H212),ISNUMBER(C212)),H212-C212,"")</x:f>
      </x:c>
      <x:c r="J212" s="2" t="str">
        <x:v>bookings</x:v>
      </x:c>
      <x:c r="K212" s="2" t="str">
        <x:v>Nova</x:v>
      </x:c>
      <x:c r="L212" s="28" t="str"/>
      <x:c r="M212" s="20"/>
      <x:c r="N212" s="21"/>
      <x:c r="O212" s="26" t="str">
        <x:v>Unique qualified calls/visits booked with Nic; rebooking same opportunity is not a new booking.</x:v>
      </x:c>
      <x:c r="P212" s="26" t="str">
        <x:v>PDF §10; final deadline advanced to user Dec 16</x:v>
      </x:c>
      <x:c r="Q212" s="2" t="n">
        <x:f>IF(ISNUMBER(H212),1,0)</x:f>
        <x:v>0</x:v>
      </x:c>
    </x:row>
    <x:row r="213" ht="46" customHeight="1">
      <x:c r="A213" s="17" t="n">
        <x:v>46329</x:v>
      </x:c>
      <x:c r="B213" s="2" t="str">
        <x:v>Qualified conversations held</x:v>
      </x:c>
      <x:c r="C213" s="2" t="n">
        <x:v>0</x:v>
      </x:c>
      <x:c r="D213" s="2" t="str">
        <x:v>Cumulative total</x:v>
      </x:c>
      <x:c r="E213" s="20"/>
      <x:c r="F213" s="20"/>
      <x:c r="G213" s="20"/>
      <x:c r="H213" s="2" t="str">
        <x:f>IF(D213="Rate",IF(COUNT(F213:G213)&lt;2,"",IF(G213=0,"n.a.",F213/G213)),IF(COUNT(E213)=0,"",E213))</x:f>
      </x:c>
      <x:c r="I213" s="2" t="str">
        <x:f>IF(AND(ISNUMBER(H213),ISNUMBER(C213)),H213-C213,"")</x:f>
      </x:c>
      <x:c r="J213" s="2" t="str">
        <x:v>held</x:v>
      </x:c>
      <x:c r="K213" s="2" t="str">
        <x:v>Nova</x:v>
      </x:c>
      <x:c r="L213" s="28" t="str"/>
      <x:c r="M213" s="20"/>
      <x:c r="N213" s="21"/>
      <x:c r="O213" s="26" t="str">
        <x:v>Completed qualified calls/visits; 6 and 15 are integer planning proxies for 70% of 8 and 75% of 20.</x:v>
      </x:c>
      <x:c r="P213" s="26" t="str">
        <x:v>Derived from source held-rate targets</x:v>
      </x:c>
      <x:c r="Q213" s="2" t="n">
        <x:f>IF(ISNUMBER(H213),1,0)</x:f>
        <x:v>0</x:v>
      </x:c>
    </x:row>
    <x:row r="214" ht="46" customHeight="1">
      <x:c r="A214" s="17" t="n">
        <x:v>46329</x:v>
      </x:c>
      <x:c r="B214" s="2" t="str">
        <x:v>Trial cases received by DSI</x:v>
      </x:c>
      <x:c r="C214" s="2" t="n">
        <x:v>0</x:v>
      </x:c>
      <x:c r="D214" s="2" t="str">
        <x:v>Cumulative total</x:v>
      </x:c>
      <x:c r="E214" s="20"/>
      <x:c r="F214" s="20"/>
      <x:c r="G214" s="20"/>
      <x:c r="H214" s="2" t="str">
        <x:f>IF(D214="Rate",IF(COUNT(F214:G214)&lt;2,"",IF(G214=0,"n.a.",F214/G214)),IF(COUNT(E214)=0,"",E214))</x:f>
      </x:c>
      <x:c r="I214" s="2" t="str">
        <x:f>IF(AND(ISNUMBER(H214),ISNUMBER(C214)),H214-C214,"")</x:f>
      </x:c>
      <x:c r="J214" s="2" t="str">
        <x:v>trials</x:v>
      </x:c>
      <x:c r="K214" s="2" t="str">
        <x:v>Maseeha</x:v>
      </x:c>
      <x:c r="L214" s="28" t="str"/>
      <x:c r="M214" s="20"/>
      <x:c r="N214" s="21"/>
      <x:c r="O214" s="26" t="str">
        <x:v>Practice’s first trial case received by DSI, not merely promised or shipped; subject to Maseeha capacity.</x:v>
      </x:c>
      <x:c r="P214" s="26" t="str">
        <x:v>PDF §10; final deadline advanced to user Dec 16</x:v>
      </x:c>
      <x:c r="Q214" s="2" t="n">
        <x:f>IF(ISNUMBER(H214),1,0)</x:f>
        <x:v>0</x:v>
      </x:c>
    </x:row>
    <x:row r="215" ht="46" customHeight="1">
      <x:c r="A215" s="17" t="n">
        <x:v>46329</x:v>
      </x:c>
      <x:c r="B215" s="2" t="str">
        <x:v>Recurring accounts signed</x:v>
      </x:c>
      <x:c r="C215" s="2"/>
      <x:c r="D215" s="2" t="str">
        <x:v>Cumulative total</x:v>
      </x:c>
      <x:c r="E215" s="20"/>
      <x:c r="F215" s="20"/>
      <x:c r="G215" s="20"/>
      <x:c r="H215" s="2" t="str">
        <x:f>IF(D215="Rate",IF(COUNT(F215:G215)&lt;2,"",IF(G215=0,"n.a.",F215/G215)),IF(COUNT(E215)=0,"",E215))</x:f>
      </x:c>
      <x:c r="I215" s="2" t="str">
        <x:f>IF(AND(ISNUMBER(H215),ISNUMBER(C215)),H215-C215,"")</x:f>
      </x:c>
      <x:c r="J215" s="2" t="str">
        <x:v>accounts</x:v>
      </x:c>
      <x:c r="K215" s="2" t="str">
        <x:v>Nic</x:v>
      </x:c>
      <x:c r="L215" s="28" t="str"/>
      <x:c r="M215" s="20"/>
      <x:c r="N215" s="21"/>
      <x:c r="O215" s="26" t="str">
        <x:v>Plan signed following Day-30 review; only mature trial cohorts eligible. 1–3 is a conditional range.</x:v>
      </x:c>
      <x:c r="P215" s="26" t="str">
        <x:v>PDF §10</x:v>
      </x:c>
      <x:c r="Q215" s="2" t="n">
        <x:f>IF(ISNUMBER(H215),1,0)</x:f>
        <x:v>0</x:v>
      </x:c>
    </x:row>
    <x:row r="216" ht="46" customHeight="1">
      <x:c r="A216" s="17" t="n">
        <x:v>46329</x:v>
      </x:c>
      <x:c r="B216" s="2" t="str">
        <x:v>Referral-sourced bookings</x:v>
      </x:c>
      <x:c r="C216" s="2" t="n">
        <x:v>0</x:v>
      </x:c>
      <x:c r="D216" s="2" t="str">
        <x:v>Cumulative total</x:v>
      </x:c>
      <x:c r="E216" s="20"/>
      <x:c r="F216" s="20"/>
      <x:c r="G216" s="20"/>
      <x:c r="H216" s="2" t="str">
        <x:f>IF(D216="Rate",IF(COUNT(F216:G216)&lt;2,"",IF(G216=0,"n.a.",F216/G216)),IF(COUNT(E216)=0,"",E216))</x:f>
      </x:c>
      <x:c r="I216" s="2" t="str">
        <x:f>IF(AND(ISNUMBER(H216),ISNUMBER(C216)),H216-C216,"")</x:f>
      </x:c>
      <x:c r="J216" s="2" t="str">
        <x:v>bookings</x:v>
      </x:c>
      <x:c r="K216" s="2" t="str">
        <x:v>Nova</x:v>
      </x:c>
      <x:c r="L216" s="28" t="str"/>
      <x:c r="M216" s="20"/>
      <x:c r="N216" s="21"/>
      <x:c r="O216" s="26" t="str">
        <x:v>Subset of booked total with primary Source=Referral; never added on top of all-channel bookings.</x:v>
      </x:c>
      <x:c r="P216" s="26" t="str">
        <x:v>PDF §§10, 16</x:v>
      </x:c>
      <x:c r="Q216" s="2" t="n">
        <x:f>IF(ISNUMBER(H216),1,0)</x:f>
        <x:v>0</x:v>
      </x:c>
    </x:row>
    <x:row r="217" ht="46" customHeight="1">
      <x:c r="A217" s="17" t="n">
        <x:v>46329</x:v>
      </x:c>
      <x:c r="B217" s="2" t="str">
        <x:v>LinkedIn DM-sourced bookings</x:v>
      </x:c>
      <x:c r="C217" s="2" t="n">
        <x:v>0</x:v>
      </x:c>
      <x:c r="D217" s="2" t="str">
        <x:v>Cumulative total</x:v>
      </x:c>
      <x:c r="E217" s="20"/>
      <x:c r="F217" s="20"/>
      <x:c r="G217" s="20"/>
      <x:c r="H217" s="2" t="str">
        <x:f>IF(D217="Rate",IF(COUNT(F217:G217)&lt;2,"",IF(G217=0,"n.a.",F217/G217)),IF(COUNT(E217)=0,"",E217))</x:f>
      </x:c>
      <x:c r="I217" s="2" t="str">
        <x:f>IF(AND(ISNUMBER(H217),ISNUMBER(C217)),H217-C217,"")</x:f>
      </x:c>
      <x:c r="J217" s="2" t="str">
        <x:v>bookings</x:v>
      </x:c>
      <x:c r="K217" s="2" t="str">
        <x:v>Dexter</x:v>
      </x:c>
      <x:c r="L217" s="28" t="str"/>
      <x:c r="M217" s="20"/>
      <x:c r="N217" s="21"/>
      <x:c r="O217" s="26" t="str">
        <x:v>Subset of booked total with primary Source=LinkedIn DM; assists tracked separately.</x:v>
      </x:c>
      <x:c r="P217" s="26" t="str">
        <x:v>PDF §§10, 17 a</x:v>
      </x:c>
      <x:c r="Q217" s="2" t="n">
        <x:f>IF(ISNUMBER(H217),1,0)</x:f>
        <x:v>0</x:v>
      </x:c>
    </x:row>
    <x:row r="218" ht="46" customHeight="1">
      <x:c r="A218" s="17" t="n">
        <x:v>46329</x:v>
      </x:c>
      <x:c r="B218" s="2" t="str">
        <x:v>Verified contacts ready</x:v>
      </x:c>
      <x:c r="C218" s="2" t="n">
        <x:v>350</x:v>
      </x:c>
      <x:c r="D218" s="2" t="str">
        <x:v>Cumulative total</x:v>
      </x:c>
      <x:c r="E218" s="20"/>
      <x:c r="F218" s="20"/>
      <x:c r="G218" s="20"/>
      <x:c r="H218" s="2" t="str">
        <x:f>IF(D218="Rate",IF(COUNT(F218:G218)&lt;2,"",IF(G218=0,"n.a.",F218/G218)),IF(COUNT(E218)=0,"",E218))</x:f>
      </x:c>
      <x:c r="I218" s="2" t="str">
        <x:f>IF(AND(ISNUMBER(H218),ISNUMBER(C218)),H218-C218,"")</x:f>
      </x:c>
      <x:c r="J218" s="2" t="str">
        <x:v>contacts</x:v>
      </x:c>
      <x:c r="K218" s="2" t="str">
        <x:v>Joey</x:v>
      </x:c>
      <x:c r="L218" s="28" t="str"/>
      <x:c r="M218" s="20"/>
      <x:c r="N218" s="21"/>
      <x:c r="O218" s="26" t="str">
        <x:v>Unique contacts passing Scout and loaded in CQL; count once per contact.</x:v>
      </x:c>
      <x:c r="P218" s="26" t="str">
        <x:v>PDF §§10, 14; 750 due Dec 12 moved to Fri Dec 11</x:v>
      </x:c>
      <x:c r="Q218" s="2" t="n">
        <x:f>IF(ISNUMBER(H218),1,0)</x:f>
        <x:v>0</x:v>
      </x:c>
    </x:row>
    <x:row r="219" ht="46" customHeight="1">
      <x:c r="A219" s="17" t="n">
        <x:v>46329</x:v>
      </x:c>
      <x:c r="B219" s="2" t="str">
        <x:v>Permission-based referral introductions</x:v>
      </x:c>
      <x:c r="C219" s="2" t="n">
        <x:v>1</x:v>
      </x:c>
      <x:c r="D219" s="2" t="str">
        <x:v>Cumulative total</x:v>
      </x:c>
      <x:c r="E219" s="20"/>
      <x:c r="F219" s="20"/>
      <x:c r="G219" s="20"/>
      <x:c r="H219" s="2" t="str">
        <x:f>IF(D219="Rate",IF(COUNT(F219:G219)&lt;2,"",IF(G219=0,"n.a.",F219/G219)),IF(COUNT(E219)=0,"",E219))</x:f>
      </x:c>
      <x:c r="I219" s="2" t="str">
        <x:f>IF(AND(ISNUMBER(H219),ISNUMBER(C219)),H219-C219,"")</x:f>
      </x:c>
      <x:c r="J219" s="2" t="str">
        <x:v>introductions</x:v>
      </x:c>
      <x:c r="K219" s="2" t="str">
        <x:v>Maseeha</x:v>
      </x:c>
      <x:c r="L219" s="28" t="str"/>
      <x:c r="M219" s="20"/>
      <x:c r="N219" s="21"/>
      <x:c r="O219" s="26" t="str">
        <x:v>Unique introductions with consent and referrer recorded, verified by Maseeha within 2 business days.</x:v>
      </x:c>
      <x:c r="P219" s="26" t="str">
        <x:v>PDF §§10, 16</x:v>
      </x:c>
      <x:c r="Q219" s="2" t="n">
        <x:f>IF(ISNUMBER(H219),1,0)</x:f>
        <x:v>0</x:v>
      </x:c>
    </x:row>
    <x:row r="220" ht="46" customHeight="1">
      <x:c r="A220" s="17" t="n">
        <x:v>46329</x:v>
      </x:c>
      <x:c r="B220" s="2" t="str">
        <x:v>Human reply rate</x:v>
      </x:c>
      <x:c r="C220" s="40" t="n">
        <x:v>0.02</x:v>
      </x:c>
      <x:c r="D220" s="2" t="str">
        <x:v>Rate</x:v>
      </x:c>
      <x:c r="E220" s="20"/>
      <x:c r="F220" s="20"/>
      <x:c r="G220" s="20"/>
      <x:c r="H220" s="40" t="str">
        <x:f>IF(D220="Rate",IF(COUNT(F220:G220)&lt;2,"",IF(G220=0,"n.a.",F220/G220)),IF(COUNT(E220)=0,"",E220))</x:f>
      </x:c>
      <x:c r="I220" s="40" t="str">
        <x:f>IF(AND(ISNUMBER(H220),ISNUMBER(C220)),H220-C220,"")</x:f>
      </x:c>
      <x:c r="J220" s="2" t="str">
        <x:v>%</x:v>
      </x:c>
      <x:c r="K220" s="2" t="str">
        <x:v>Kenneth</x:v>
      </x:c>
      <x:c r="L220" s="28" t="str"/>
      <x:c r="M220" s="20"/>
      <x:c r="N220" s="21"/>
      <x:c r="O220" s="26" t="str">
        <x:v>Unique emailed contacts that give a qualifying human reply / unique contacts emailed in the same send cohort. Exclude OOO, auto-replies, bounces and unsubscribe-only replies. Deduplicate contacts across sequence steps; zero denominator is N/A.</x:v>
      </x:c>
      <x:c r="P220" s="26" t="str">
        <x:v>PDF §10</x:v>
      </x:c>
      <x:c r="Q220" s="2" t="n">
        <x:f>IF(ISNUMBER(H220),1,0)</x:f>
        <x:v>0</x:v>
      </x:c>
    </x:row>
    <x:row r="221" ht="46" customHeight="1">
      <x:c r="A221" s="17" t="n">
        <x:v>46329</x:v>
      </x:c>
      <x:c r="B221" s="2" t="str">
        <x:v>Positive reply rate</x:v>
      </x:c>
      <x:c r="C221" s="40" t="n">
        <x:v>0.01</x:v>
      </x:c>
      <x:c r="D221" s="2" t="str">
        <x:v>Rate</x:v>
      </x:c>
      <x:c r="E221" s="20"/>
      <x:c r="F221" s="20"/>
      <x:c r="G221" s="20"/>
      <x:c r="H221" s="40" t="str">
        <x:f>IF(D221="Rate",IF(COUNT(F221:G221)&lt;2,"",IF(G221=0,"n.a.",F221/G221)),IF(COUNT(E221)=0,"",E221))</x:f>
      </x:c>
      <x:c r="I221" s="40" t="str">
        <x:f>IF(AND(ISNUMBER(H221),ISNUMBER(C221)),H221-C221,"")</x:f>
      </x:c>
      <x:c r="J221" s="2" t="str">
        <x:v>%</x:v>
      </x:c>
      <x:c r="K221" s="2" t="str">
        <x:v>Kenneth</x:v>
      </x:c>
      <x:c r="L221" s="28" t="str"/>
      <x:c r="M221" s="20"/>
      <x:c r="N221" s="21"/>
      <x:c r="O221" s="26" t="str">
        <x:v>Unique emailed contacts classified interested or relevant question / unique contacts emailed in the same send cohort. Deduplicate across sequence steps; zero denominator is N/A. Keep this email rate separate from all-channel qualified inquiries.</x:v>
      </x:c>
      <x:c r="P221" s="26" t="str">
        <x:v>PDF §10</x:v>
      </x:c>
      <x:c r="Q221" s="2" t="n">
        <x:f>IF(ISNUMBER(H221),1,0)</x:f>
        <x:v>0</x:v>
      </x:c>
    </x:row>
    <x:row r="222" ht="46" customHeight="1">
      <x:c r="A222" s="17" t="n">
        <x:v>46329</x:v>
      </x:c>
      <x:c r="B222" s="2" t="str">
        <x:v>Replies answered within 15 minutes</x:v>
      </x:c>
      <x:c r="C222" s="40" t="n">
        <x:v>1</x:v>
      </x:c>
      <x:c r="D222" s="2" t="str">
        <x:v>Rate</x:v>
      </x:c>
      <x:c r="E222" s="20"/>
      <x:c r="F222" s="20"/>
      <x:c r="G222" s="20"/>
      <x:c r="H222" s="40" t="str">
        <x:f>IF(D222="Rate",IF(COUNT(F222:G222)&lt;2,"",IF(G222=0,"n.a.",F222/G222)),IF(COUNT(E222)=0,"",E222))</x:f>
      </x:c>
      <x:c r="I222" s="40" t="str">
        <x:f>IF(AND(ISNUMBER(H222),ISNUMBER(C222)),H222-C222,"")</x:f>
      </x:c>
      <x:c r="J222" s="2" t="str">
        <x:v>%</x:v>
      </x:c>
      <x:c r="K222" s="2" t="str">
        <x:v>Nova</x:v>
      </x:c>
      <x:c r="L222" s="28" t="str"/>
      <x:c r="M222" s="20"/>
      <x:c r="N222" s="21"/>
      <x:c r="O222"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222" s="26" t="str">
        <x:v>PDF §9; clock convention clarified for tracker</x:v>
      </x:c>
      <x:c r="Q222" s="2" t="n">
        <x:f>IF(ISNUMBER(H222),1,0)</x:f>
        <x:v>0</x:v>
      </x:c>
    </x:row>
    <x:row r="223" ht="46" customHeight="1">
      <x:c r="A223" s="17" t="n">
        <x:v>46329</x:v>
      </x:c>
      <x:c r="B223" s="2" t="str">
        <x:v>Held rate</x:v>
      </x:c>
      <x:c r="C223" s="40" t="n">
        <x:v>0.7</x:v>
      </x:c>
      <x:c r="D223" s="2" t="str">
        <x:v>Rate</x:v>
      </x:c>
      <x:c r="E223" s="20"/>
      <x:c r="F223" s="20"/>
      <x:c r="G223" s="20"/>
      <x:c r="H223" s="40" t="str">
        <x:f>IF(D223="Rate",IF(COUNT(F223:G223)&lt;2,"",IF(G223=0,"n.a.",F223/G223)),IF(COUNT(E223)=0,"",E223))</x:f>
      </x:c>
      <x:c r="I223" s="40" t="str">
        <x:f>IF(AND(ISNUMBER(H223),ISNUMBER(C223)),H223-C223,"")</x:f>
      </x:c>
      <x:c r="J223" s="2" t="str">
        <x:v>%</x:v>
      </x:c>
      <x:c r="K223" s="2" t="str">
        <x:v>Nova</x:v>
      </x:c>
      <x:c r="L223" s="28" t="str"/>
      <x:c r="M223" s="20"/>
      <x:c r="N223" s="21"/>
      <x:c r="O223" s="26" t="str">
        <x:v>Qualified conversations actually held / unique booked conversations whose scheduled time has passed. Exclude upcoming appointments. Rebooking the same opportunity is not a second booking. A zero denominator is N/A.</x:v>
      </x:c>
      <x:c r="P223" s="26" t="str">
        <x:v>PDF §10; due-cohort denominator clarified</x:v>
      </x:c>
      <x:c r="Q223" s="2" t="n">
        <x:f>IF(ISNUMBER(H223),1,0)</x:f>
        <x:v>0</x:v>
      </x:c>
    </x:row>
    <x:row r="224" ht="46" customHeight="1">
      <x:c r="A224" s="17" t="n">
        <x:v>46329</x:v>
      </x:c>
      <x:c r="B224" s="2" t="str">
        <x:v>Positive-to-booked conversion</x:v>
      </x:c>
      <x:c r="C224" s="40" t="n">
        <x:v>0.5</x:v>
      </x:c>
      <x:c r="D224" s="2" t="str">
        <x:v>Rate</x:v>
      </x:c>
      <x:c r="E224" s="20"/>
      <x:c r="F224" s="20"/>
      <x:c r="G224" s="20"/>
      <x:c r="H224" s="40" t="str">
        <x:f>IF(D224="Rate",IF(COUNT(F224:G224)&lt;2,"",IF(G224=0,"n.a.",F224/G224)),IF(COUNT(E224)=0,"",E224))</x:f>
      </x:c>
      <x:c r="I224" s="40" t="str">
        <x:f>IF(AND(ISNUMBER(H224),ISNUMBER(C224)),H224-C224,"")</x:f>
      </x:c>
      <x:c r="J224" s="2" t="str">
        <x:v>%</x:v>
      </x:c>
      <x:c r="K224" s="2" t="str">
        <x:v>Nova</x:v>
      </x:c>
      <x:c r="L224" s="28" t="str"/>
      <x:c r="M224" s="20"/>
      <x:c r="N224" s="21"/>
      <x:c r="O224" s="26" t="str">
        <x:v>Unique email-positive opportunities booked / unique email-positive opportunities in the same reviewed cohort. Use a documented follow-up window. This differs from the all-channel 40-inquiry/20-booking planning assumption. A zero denominator is N/A.</x:v>
      </x:c>
      <x:c r="P224" s="26" t="str">
        <x:v>PDF §9</x:v>
      </x:c>
      <x:c r="Q224" s="2" t="n">
        <x:f>IF(ISNUMBER(H224),1,0)</x:f>
        <x:v>0</x:v>
      </x:c>
    </x:row>
    <x:row r="225" ht="46" customHeight="1">
      <x:c r="A225" s="17" t="n">
        <x:v>46329</x:v>
      </x:c>
      <x:c r="B225" s="2" t="str">
        <x:v>Existing-account referral asks</x:v>
      </x:c>
      <x:c r="C225" s="2" t="n">
        <x:v>9</x:v>
      </x:c>
      <x:c r="D225" s="2" t="str">
        <x:v>Cumulative total</x:v>
      </x:c>
      <x:c r="E225" s="20"/>
      <x:c r="F225" s="20"/>
      <x:c r="G225" s="20"/>
      <x:c r="H225" s="2" t="str">
        <x:f>IF(D225="Rate",IF(COUNT(F225:G225)&lt;2,"",IF(G225=0,"n.a.",F225/G225)),IF(COUNT(E225)=0,"",E225))</x:f>
      </x:c>
      <x:c r="I225" s="2" t="str">
        <x:f>IF(AND(ISNUMBER(H225),ISNUMBER(C225)),H225-C225,"")</x:f>
      </x:c>
      <x:c r="J225" s="2" t="str">
        <x:v>accounts asked</x:v>
      </x:c>
      <x:c r="K225" s="2" t="str">
        <x:v>Maseeha</x:v>
      </x:c>
      <x:c r="L225" s="28" t="str"/>
      <x:c r="M225" s="20"/>
      <x:c r="N225" s="21"/>
      <x:c r="O225" s="26" t="str">
        <x:v>Ask 25 unique A/B accounts (5 A and 20 B) by November 13; proposed pace 35 total by November 20; complete the remaining C accounts to reach 41 total by November 25. One introduction is the ask; asks and received intros are separate counts.</x:v>
      </x:c>
      <x:c r="P225" s="26" t="str">
        <x:v>PDF §16 supplies 25 A/B byNov 14 and 16 C byNov 25; Friday deadline and 35-byNov 20 pace are proposed scheduling allocations.</x:v>
      </x:c>
      <x:c r="Q225" s="2" t="n">
        <x:f>IF(ISNUMBER(H225),1,0)</x:f>
        <x:v>0</x:v>
      </x:c>
    </x:row>
    <x:row r="226" ht="46" customHeight="1">
      <x:c r="A226" s="17" t="n">
        <x:v>46329</x:v>
      </x:c>
      <x:c r="B226" s="2" t="str">
        <x:v>Approved SOPs</x:v>
      </x:c>
      <x:c r="C226" s="2"/>
      <x:c r="D226" s="2" t="str">
        <x:v>Cumulative total</x:v>
      </x:c>
      <x:c r="E226" s="20"/>
      <x:c r="F226" s="20"/>
      <x:c r="G226" s="20"/>
      <x:c r="H226" s="2" t="str">
        <x:f>IF(D226="Rate",IF(COUNT(F226:G226)&lt;2,"",IF(G226=0,"n.a.",F226/G226)),IF(COUNT(E226)=0,"",E226))</x:f>
      </x:c>
      <x:c r="I226" s="2" t="str">
        <x:f>IF(AND(ISNUMBER(H226),ISNUMBER(C226)),H226-C226,"")</x:f>
      </x:c>
      <x:c r="J226" s="2" t="str">
        <x:v>SOPs</x:v>
      </x:c>
      <x:c r="K226" s="2" t="str">
        <x:v>Wyline</x:v>
      </x:c>
      <x:c r="L226" s="28" t="str"/>
      <x:c r="M226" s="20"/>
      <x:c r="N226" s="21"/>
      <x:c r="O226" s="26" t="str">
        <x:v>10 core SOPs plus ADS-01 and SOC-01 additions; approved version and independent-run evidence required.</x:v>
      </x:c>
      <x:c r="P226" s="26" t="str">
        <x:v>PDF §8 with §§17 b–d additions</x:v>
      </x:c>
      <x:c r="Q226" s="2" t="n">
        <x:f>IF(ISNUMBER(H226),1,0)</x:f>
        <x:v>0</x:v>
      </x:c>
    </x:row>
    <x:row r="227" ht="46" customHeight="1">
      <x:c r="A227" s="17" t="n">
        <x:v>46329</x:v>
      </x:c>
      <x:c r="B227" s="2" t="str">
        <x:v>Accepted AI agents</x:v>
      </x:c>
      <x:c r="C227" s="2"/>
      <x:c r="D227" s="2" t="str">
        <x:v>Cumulative total</x:v>
      </x:c>
      <x:c r="E227" s="20"/>
      <x:c r="F227" s="20"/>
      <x:c r="G227" s="20"/>
      <x:c r="H227" s="2" t="str">
        <x:f>IF(D227="Rate",IF(COUNT(F227:G227)&lt;2,"",IF(G227=0,"n.a.",F227/G227)),IF(COUNT(E227)=0,"",E227))</x:f>
      </x:c>
      <x:c r="I227" s="2" t="str">
        <x:f>IF(AND(ISNUMBER(H227),ISNUMBER(C227)),H227-C227,"")</x:f>
      </x:c>
      <x:c r="J227" s="2" t="str">
        <x:v>agents</x:v>
      </x:c>
      <x:c r="K227" s="2" t="str">
        <x:v>Emman</x:v>
      </x:c>
      <x:c r="L227" s="28" t="str"/>
      <x:c r="M227" s="20"/>
      <x:c r="N227" s="21"/>
      <x:c r="O227" s="26" t="str">
        <x:v>Scout, Writer, Inbox, Phone Assist, LinkedIn Assist, Follow-up, Scoreboard and Client Reporter; acceptance evidence required.</x:v>
      </x:c>
      <x:c r="P227" s="26" t="str">
        <x:v>PDF §7</x:v>
      </x:c>
      <x:c r="Q227" s="2" t="n">
        <x:f>IF(ISNUMBER(H227),1,0)</x:f>
        <x:v>0</x:v>
      </x:c>
    </x:row>
    <x:row r="228" ht="46" customHeight="1">
      <x:c r="A228" s="17" t="n">
        <x:v>46330</x:v>
      </x:c>
      <x:c r="B228" s="2" t="str">
        <x:v>Qualified inquiries</x:v>
      </x:c>
      <x:c r="C228" s="2" t="n">
        <x:v>2</x:v>
      </x:c>
      <x:c r="D228" s="2" t="str">
        <x:v>Cumulative total</x:v>
      </x:c>
      <x:c r="E228" s="20"/>
      <x:c r="F228" s="20"/>
      <x:c r="G228" s="20"/>
      <x:c r="H228" s="2" t="str">
        <x:f>IF(D228="Rate",IF(COUNT(F228:G228)&lt;2,"",IF(G228=0,"n.a.",F228/G228)),IF(COUNT(E228)=0,"",E228))</x:f>
      </x:c>
      <x:c r="I228" s="2" t="str">
        <x:f>IF(AND(ISNUMBER(H228),ISNUMBER(C228)),H228-C228,"")</x:f>
      </x:c>
      <x:c r="J228" s="2" t="str">
        <x:v>inquiries</x:v>
      </x:c>
      <x:c r="K228" s="2" t="str">
        <x:v>Nova</x:v>
      </x:c>
      <x:c r="L228" s="28" t="str"/>
      <x:c r="M228" s="20"/>
      <x:c r="N228" s="21"/>
      <x:c r="O228" s="26" t="str">
        <x:v>Unique ICP-matched practices that express relevant interest, need or timing; Nova records practice type, decision-maker access, case volume, service need and readiness within 30–60 days. Raw records, opens and connection accepts do not qualify.</x:v>
      </x:c>
      <x:c r="P228" s="26" t="str">
        <x:v>Original proposal pages 2 and 4 define qualification; 40 by Dec 16 and intermediate pace are newly proposed recovery targets.</x:v>
      </x:c>
      <x:c r="Q228" s="2" t="n">
        <x:f>IF(ISNUMBER(H228),1,0)</x:f>
        <x:v>0</x:v>
      </x:c>
    </x:row>
    <x:row r="229" ht="46" customHeight="1">
      <x:c r="A229" s="17" t="n">
        <x:v>46330</x:v>
      </x:c>
      <x:c r="B229" s="2" t="str">
        <x:v>Qualified conversations booked</x:v>
      </x:c>
      <x:c r="C229" s="2" t="n">
        <x:v>1</x:v>
      </x:c>
      <x:c r="D229" s="2" t="str">
        <x:v>Cumulative total</x:v>
      </x:c>
      <x:c r="E229" s="20"/>
      <x:c r="F229" s="20"/>
      <x:c r="G229" s="20"/>
      <x:c r="H229" s="2" t="str">
        <x:f>IF(D229="Rate",IF(COUNT(F229:G229)&lt;2,"",IF(G229=0,"n.a.",F229/G229)),IF(COUNT(E229)=0,"",E229))</x:f>
      </x:c>
      <x:c r="I229" s="2" t="str">
        <x:f>IF(AND(ISNUMBER(H229),ISNUMBER(C229)),H229-C229,"")</x:f>
      </x:c>
      <x:c r="J229" s="2" t="str">
        <x:v>bookings</x:v>
      </x:c>
      <x:c r="K229" s="2" t="str">
        <x:v>Nova</x:v>
      </x:c>
      <x:c r="L229" s="28" t="str"/>
      <x:c r="M229" s="20"/>
      <x:c r="N229" s="21"/>
      <x:c r="O229" s="26" t="str">
        <x:v>Unique qualified calls/visits booked with Nic; rebooking same opportunity is not a new booking.</x:v>
      </x:c>
      <x:c r="P229" s="26" t="str">
        <x:v>PDF §10; final deadline advanced to user Dec 16</x:v>
      </x:c>
      <x:c r="Q229" s="2" t="n">
        <x:f>IF(ISNUMBER(H229),1,0)</x:f>
        <x:v>0</x:v>
      </x:c>
    </x:row>
    <x:row r="230" ht="46" customHeight="1">
      <x:c r="A230" s="17" t="n">
        <x:v>46330</x:v>
      </x:c>
      <x:c r="B230" s="2" t="str">
        <x:v>Qualified conversations held</x:v>
      </x:c>
      <x:c r="C230" s="2" t="n">
        <x:v>0</x:v>
      </x:c>
      <x:c r="D230" s="2" t="str">
        <x:v>Cumulative total</x:v>
      </x:c>
      <x:c r="E230" s="20"/>
      <x:c r="F230" s="20"/>
      <x:c r="G230" s="20"/>
      <x:c r="H230" s="2" t="str">
        <x:f>IF(D230="Rate",IF(COUNT(F230:G230)&lt;2,"",IF(G230=0,"n.a.",F230/G230)),IF(COUNT(E230)=0,"",E230))</x:f>
      </x:c>
      <x:c r="I230" s="2" t="str">
        <x:f>IF(AND(ISNUMBER(H230),ISNUMBER(C230)),H230-C230,"")</x:f>
      </x:c>
      <x:c r="J230" s="2" t="str">
        <x:v>held</x:v>
      </x:c>
      <x:c r="K230" s="2" t="str">
        <x:v>Nova</x:v>
      </x:c>
      <x:c r="L230" s="28" t="str"/>
      <x:c r="M230" s="20"/>
      <x:c r="N230" s="21"/>
      <x:c r="O230" s="26" t="str">
        <x:v>Completed qualified calls/visits; 6 and 15 are integer planning proxies for 70% of 8 and 75% of 20.</x:v>
      </x:c>
      <x:c r="P230" s="26" t="str">
        <x:v>Derived from source held-rate targets</x:v>
      </x:c>
      <x:c r="Q230" s="2" t="n">
        <x:f>IF(ISNUMBER(H230),1,0)</x:f>
        <x:v>0</x:v>
      </x:c>
    </x:row>
    <x:row r="231" ht="46" customHeight="1">
      <x:c r="A231" s="17" t="n">
        <x:v>46330</x:v>
      </x:c>
      <x:c r="B231" s="2" t="str">
        <x:v>Trial cases received by DSI</x:v>
      </x:c>
      <x:c r="C231" s="2" t="n">
        <x:v>0</x:v>
      </x:c>
      <x:c r="D231" s="2" t="str">
        <x:v>Cumulative total</x:v>
      </x:c>
      <x:c r="E231" s="20"/>
      <x:c r="F231" s="20"/>
      <x:c r="G231" s="20"/>
      <x:c r="H231" s="2" t="str">
        <x:f>IF(D231="Rate",IF(COUNT(F231:G231)&lt;2,"",IF(G231=0,"n.a.",F231/G231)),IF(COUNT(E231)=0,"",E231))</x:f>
      </x:c>
      <x:c r="I231" s="2" t="str">
        <x:f>IF(AND(ISNUMBER(H231),ISNUMBER(C231)),H231-C231,"")</x:f>
      </x:c>
      <x:c r="J231" s="2" t="str">
        <x:v>trials</x:v>
      </x:c>
      <x:c r="K231" s="2" t="str">
        <x:v>Maseeha</x:v>
      </x:c>
      <x:c r="L231" s="28" t="str"/>
      <x:c r="M231" s="20"/>
      <x:c r="N231" s="21"/>
      <x:c r="O231" s="26" t="str">
        <x:v>Practice’s first trial case received by DSI, not merely promised or shipped; subject to Maseeha capacity.</x:v>
      </x:c>
      <x:c r="P231" s="26" t="str">
        <x:v>PDF §10; final deadline advanced to user Dec 16</x:v>
      </x:c>
      <x:c r="Q231" s="2" t="n">
        <x:f>IF(ISNUMBER(H231),1,0)</x:f>
        <x:v>0</x:v>
      </x:c>
    </x:row>
    <x:row r="232" ht="46" customHeight="1">
      <x:c r="A232" s="17" t="n">
        <x:v>46330</x:v>
      </x:c>
      <x:c r="B232" s="2" t="str">
        <x:v>Recurring accounts signed</x:v>
      </x:c>
      <x:c r="C232" s="2"/>
      <x:c r="D232" s="2" t="str">
        <x:v>Cumulative total</x:v>
      </x:c>
      <x:c r="E232" s="20"/>
      <x:c r="F232" s="20"/>
      <x:c r="G232" s="20"/>
      <x:c r="H232" s="2" t="str">
        <x:f>IF(D232="Rate",IF(COUNT(F232:G232)&lt;2,"",IF(G232=0,"n.a.",F232/G232)),IF(COUNT(E232)=0,"",E232))</x:f>
      </x:c>
      <x:c r="I232" s="2" t="str">
        <x:f>IF(AND(ISNUMBER(H232),ISNUMBER(C232)),H232-C232,"")</x:f>
      </x:c>
      <x:c r="J232" s="2" t="str">
        <x:v>accounts</x:v>
      </x:c>
      <x:c r="K232" s="2" t="str">
        <x:v>Nic</x:v>
      </x:c>
      <x:c r="L232" s="28" t="str"/>
      <x:c r="M232" s="20"/>
      <x:c r="N232" s="21"/>
      <x:c r="O232" s="26" t="str">
        <x:v>Plan signed following Day-30 review; only mature trial cohorts eligible. 1–3 is a conditional range.</x:v>
      </x:c>
      <x:c r="P232" s="26" t="str">
        <x:v>PDF §10</x:v>
      </x:c>
      <x:c r="Q232" s="2" t="n">
        <x:f>IF(ISNUMBER(H232),1,0)</x:f>
        <x:v>0</x:v>
      </x:c>
    </x:row>
    <x:row r="233" ht="46" customHeight="1">
      <x:c r="A233" s="17" t="n">
        <x:v>46330</x:v>
      </x:c>
      <x:c r="B233" s="2" t="str">
        <x:v>Referral-sourced bookings</x:v>
      </x:c>
      <x:c r="C233" s="2" t="n">
        <x:v>0</x:v>
      </x:c>
      <x:c r="D233" s="2" t="str">
        <x:v>Cumulative total</x:v>
      </x:c>
      <x:c r="E233" s="20"/>
      <x:c r="F233" s="20"/>
      <x:c r="G233" s="20"/>
      <x:c r="H233" s="2" t="str">
        <x:f>IF(D233="Rate",IF(COUNT(F233:G233)&lt;2,"",IF(G233=0,"n.a.",F233/G233)),IF(COUNT(E233)=0,"",E233))</x:f>
      </x:c>
      <x:c r="I233" s="2" t="str">
        <x:f>IF(AND(ISNUMBER(H233),ISNUMBER(C233)),H233-C233,"")</x:f>
      </x:c>
      <x:c r="J233" s="2" t="str">
        <x:v>bookings</x:v>
      </x:c>
      <x:c r="K233" s="2" t="str">
        <x:v>Nova</x:v>
      </x:c>
      <x:c r="L233" s="28" t="str"/>
      <x:c r="M233" s="20"/>
      <x:c r="N233" s="21"/>
      <x:c r="O233" s="26" t="str">
        <x:v>Subset of booked total with primary Source=Referral; never added on top of all-channel bookings.</x:v>
      </x:c>
      <x:c r="P233" s="26" t="str">
        <x:v>PDF §§10, 16</x:v>
      </x:c>
      <x:c r="Q233" s="2" t="n">
        <x:f>IF(ISNUMBER(H233),1,0)</x:f>
        <x:v>0</x:v>
      </x:c>
    </x:row>
    <x:row r="234" ht="46" customHeight="1">
      <x:c r="A234" s="17" t="n">
        <x:v>46330</x:v>
      </x:c>
      <x:c r="B234" s="2" t="str">
        <x:v>LinkedIn DM-sourced bookings</x:v>
      </x:c>
      <x:c r="C234" s="2" t="n">
        <x:v>0</x:v>
      </x:c>
      <x:c r="D234" s="2" t="str">
        <x:v>Cumulative total</x:v>
      </x:c>
      <x:c r="E234" s="20"/>
      <x:c r="F234" s="20"/>
      <x:c r="G234" s="20"/>
      <x:c r="H234" s="2" t="str">
        <x:f>IF(D234="Rate",IF(COUNT(F234:G234)&lt;2,"",IF(G234=0,"n.a.",F234/G234)),IF(COUNT(E234)=0,"",E234))</x:f>
      </x:c>
      <x:c r="I234" s="2" t="str">
        <x:f>IF(AND(ISNUMBER(H234),ISNUMBER(C234)),H234-C234,"")</x:f>
      </x:c>
      <x:c r="J234" s="2" t="str">
        <x:v>bookings</x:v>
      </x:c>
      <x:c r="K234" s="2" t="str">
        <x:v>Dexter</x:v>
      </x:c>
      <x:c r="L234" s="28" t="str"/>
      <x:c r="M234" s="20"/>
      <x:c r="N234" s="21"/>
      <x:c r="O234" s="26" t="str">
        <x:v>Subset of booked total with primary Source=LinkedIn DM; assists tracked separately.</x:v>
      </x:c>
      <x:c r="P234" s="26" t="str">
        <x:v>PDF §§10, 17 a</x:v>
      </x:c>
      <x:c r="Q234" s="2" t="n">
        <x:f>IF(ISNUMBER(H234),1,0)</x:f>
        <x:v>0</x:v>
      </x:c>
    </x:row>
    <x:row r="235" ht="46" customHeight="1">
      <x:c r="A235" s="17" t="n">
        <x:v>46330</x:v>
      </x:c>
      <x:c r="B235" s="2" t="str">
        <x:v>Verified contacts ready</x:v>
      </x:c>
      <x:c r="C235" s="2" t="n">
        <x:v>400</x:v>
      </x:c>
      <x:c r="D235" s="2" t="str">
        <x:v>Cumulative total</x:v>
      </x:c>
      <x:c r="E235" s="20"/>
      <x:c r="F235" s="20"/>
      <x:c r="G235" s="20"/>
      <x:c r="H235" s="2" t="str">
        <x:f>IF(D235="Rate",IF(COUNT(F235:G235)&lt;2,"",IF(G235=0,"n.a.",F235/G235)),IF(COUNT(E235)=0,"",E235))</x:f>
      </x:c>
      <x:c r="I235" s="2" t="str">
        <x:f>IF(AND(ISNUMBER(H235),ISNUMBER(C235)),H235-C235,"")</x:f>
      </x:c>
      <x:c r="J235" s="2" t="str">
        <x:v>contacts</x:v>
      </x:c>
      <x:c r="K235" s="2" t="str">
        <x:v>Joey</x:v>
      </x:c>
      <x:c r="L235" s="28" t="str"/>
      <x:c r="M235" s="20"/>
      <x:c r="N235" s="21"/>
      <x:c r="O235" s="26" t="str">
        <x:v>Unique contacts passing Scout and loaded in CQL; count once per contact.</x:v>
      </x:c>
      <x:c r="P235" s="26" t="str">
        <x:v>PDF §§10, 14; 750 due Dec 12 moved to Fri Dec 11</x:v>
      </x:c>
      <x:c r="Q235" s="2" t="n">
        <x:f>IF(ISNUMBER(H235),1,0)</x:f>
        <x:v>0</x:v>
      </x:c>
    </x:row>
    <x:row r="236" ht="46" customHeight="1">
      <x:c r="A236" s="17" t="n">
        <x:v>46330</x:v>
      </x:c>
      <x:c r="B236" s="2" t="str">
        <x:v>Permission-based referral introductions</x:v>
      </x:c>
      <x:c r="C236" s="2" t="n">
        <x:v>1</x:v>
      </x:c>
      <x:c r="D236" s="2" t="str">
        <x:v>Cumulative total</x:v>
      </x:c>
      <x:c r="E236" s="20"/>
      <x:c r="F236" s="20"/>
      <x:c r="G236" s="20"/>
      <x:c r="H236" s="2" t="str">
        <x:f>IF(D236="Rate",IF(COUNT(F236:G236)&lt;2,"",IF(G236=0,"n.a.",F236/G236)),IF(COUNT(E236)=0,"",E236))</x:f>
      </x:c>
      <x:c r="I236" s="2" t="str">
        <x:f>IF(AND(ISNUMBER(H236),ISNUMBER(C236)),H236-C236,"")</x:f>
      </x:c>
      <x:c r="J236" s="2" t="str">
        <x:v>introductions</x:v>
      </x:c>
      <x:c r="K236" s="2" t="str">
        <x:v>Maseeha</x:v>
      </x:c>
      <x:c r="L236" s="28" t="str"/>
      <x:c r="M236" s="20"/>
      <x:c r="N236" s="21"/>
      <x:c r="O236" s="26" t="str">
        <x:v>Unique introductions with consent and referrer recorded, verified by Maseeha within 2 business days.</x:v>
      </x:c>
      <x:c r="P236" s="26" t="str">
        <x:v>PDF §§10, 16</x:v>
      </x:c>
      <x:c r="Q236" s="2" t="n">
        <x:f>IF(ISNUMBER(H236),1,0)</x:f>
        <x:v>0</x:v>
      </x:c>
    </x:row>
    <x:row r="237" ht="46" customHeight="1">
      <x:c r="A237" s="17" t="n">
        <x:v>46330</x:v>
      </x:c>
      <x:c r="B237" s="2" t="str">
        <x:v>Human reply rate</x:v>
      </x:c>
      <x:c r="C237" s="40" t="n">
        <x:v>0.02</x:v>
      </x:c>
      <x:c r="D237" s="2" t="str">
        <x:v>Rate</x:v>
      </x:c>
      <x:c r="E237" s="20"/>
      <x:c r="F237" s="20"/>
      <x:c r="G237" s="20"/>
      <x:c r="H237" s="40" t="str">
        <x:f>IF(D237="Rate",IF(COUNT(F237:G237)&lt;2,"",IF(G237=0,"n.a.",F237/G237)),IF(COUNT(E237)=0,"",E237))</x:f>
      </x:c>
      <x:c r="I237" s="40" t="str">
        <x:f>IF(AND(ISNUMBER(H237),ISNUMBER(C237)),H237-C237,"")</x:f>
      </x:c>
      <x:c r="J237" s="2" t="str">
        <x:v>%</x:v>
      </x:c>
      <x:c r="K237" s="2" t="str">
        <x:v>Kenneth</x:v>
      </x:c>
      <x:c r="L237" s="28" t="str"/>
      <x:c r="M237" s="20"/>
      <x:c r="N237" s="21"/>
      <x:c r="O237" s="26" t="str">
        <x:v>Unique emailed contacts that give a qualifying human reply / unique contacts emailed in the same send cohort. Exclude OOO, auto-replies, bounces and unsubscribe-only replies. Deduplicate contacts across sequence steps; zero denominator is N/A.</x:v>
      </x:c>
      <x:c r="P237" s="26" t="str">
        <x:v>PDF §10</x:v>
      </x:c>
      <x:c r="Q237" s="2" t="n">
        <x:f>IF(ISNUMBER(H237),1,0)</x:f>
        <x:v>0</x:v>
      </x:c>
    </x:row>
    <x:row r="238" ht="46" customHeight="1">
      <x:c r="A238" s="17" t="n">
        <x:v>46330</x:v>
      </x:c>
      <x:c r="B238" s="2" t="str">
        <x:v>Positive reply rate</x:v>
      </x:c>
      <x:c r="C238" s="40" t="n">
        <x:v>0.01</x:v>
      </x:c>
      <x:c r="D238" s="2" t="str">
        <x:v>Rate</x:v>
      </x:c>
      <x:c r="E238" s="20"/>
      <x:c r="F238" s="20"/>
      <x:c r="G238" s="20"/>
      <x:c r="H238" s="40" t="str">
        <x:f>IF(D238="Rate",IF(COUNT(F238:G238)&lt;2,"",IF(G238=0,"n.a.",F238/G238)),IF(COUNT(E238)=0,"",E238))</x:f>
      </x:c>
      <x:c r="I238" s="40" t="str">
        <x:f>IF(AND(ISNUMBER(H238),ISNUMBER(C238)),H238-C238,"")</x:f>
      </x:c>
      <x:c r="J238" s="2" t="str">
        <x:v>%</x:v>
      </x:c>
      <x:c r="K238" s="2" t="str">
        <x:v>Kenneth</x:v>
      </x:c>
      <x:c r="L238" s="28" t="str"/>
      <x:c r="M238" s="20"/>
      <x:c r="N238" s="21"/>
      <x:c r="O238" s="26" t="str">
        <x:v>Unique emailed contacts classified interested or relevant question / unique contacts emailed in the same send cohort. Deduplicate across sequence steps; zero denominator is N/A. Keep this email rate separate from all-channel qualified inquiries.</x:v>
      </x:c>
      <x:c r="P238" s="26" t="str">
        <x:v>PDF §10</x:v>
      </x:c>
      <x:c r="Q238" s="2" t="n">
        <x:f>IF(ISNUMBER(H238),1,0)</x:f>
        <x:v>0</x:v>
      </x:c>
    </x:row>
    <x:row r="239" ht="46" customHeight="1">
      <x:c r="A239" s="17" t="n">
        <x:v>46330</x:v>
      </x:c>
      <x:c r="B239" s="2" t="str">
        <x:v>Replies answered within 15 minutes</x:v>
      </x:c>
      <x:c r="C239" s="40" t="n">
        <x:v>1</x:v>
      </x:c>
      <x:c r="D239" s="2" t="str">
        <x:v>Rate</x:v>
      </x:c>
      <x:c r="E239" s="20"/>
      <x:c r="F239" s="20"/>
      <x:c r="G239" s="20"/>
      <x:c r="H239" s="40" t="str">
        <x:f>IF(D239="Rate",IF(COUNT(F239:G239)&lt;2,"",IF(G239=0,"n.a.",F239/G239)),IF(COUNT(E239)=0,"",E239))</x:f>
      </x:c>
      <x:c r="I239" s="40" t="str">
        <x:f>IF(AND(ISNUMBER(H239),ISNUMBER(C239)),H239-C239,"")</x:f>
      </x:c>
      <x:c r="J239" s="2" t="str">
        <x:v>%</x:v>
      </x:c>
      <x:c r="K239" s="2" t="str">
        <x:v>Nova</x:v>
      </x:c>
      <x:c r="L239" s="28" t="str"/>
      <x:c r="M239" s="20"/>
      <x:c r="N239" s="21"/>
      <x:c r="O239"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239" s="26" t="str">
        <x:v>PDF §9; clock convention clarified for tracker</x:v>
      </x:c>
      <x:c r="Q239" s="2" t="n">
        <x:f>IF(ISNUMBER(H239),1,0)</x:f>
        <x:v>0</x:v>
      </x:c>
    </x:row>
    <x:row r="240" ht="46" customHeight="1">
      <x:c r="A240" s="17" t="n">
        <x:v>46330</x:v>
      </x:c>
      <x:c r="B240" s="2" t="str">
        <x:v>Held rate</x:v>
      </x:c>
      <x:c r="C240" s="40" t="n">
        <x:v>0.7</x:v>
      </x:c>
      <x:c r="D240" s="2" t="str">
        <x:v>Rate</x:v>
      </x:c>
      <x:c r="E240" s="20"/>
      <x:c r="F240" s="20"/>
      <x:c r="G240" s="20"/>
      <x:c r="H240" s="40" t="str">
        <x:f>IF(D240="Rate",IF(COUNT(F240:G240)&lt;2,"",IF(G240=0,"n.a.",F240/G240)),IF(COUNT(E240)=0,"",E240))</x:f>
      </x:c>
      <x:c r="I240" s="40" t="str">
        <x:f>IF(AND(ISNUMBER(H240),ISNUMBER(C240)),H240-C240,"")</x:f>
      </x:c>
      <x:c r="J240" s="2" t="str">
        <x:v>%</x:v>
      </x:c>
      <x:c r="K240" s="2" t="str">
        <x:v>Nova</x:v>
      </x:c>
      <x:c r="L240" s="28" t="str"/>
      <x:c r="M240" s="20"/>
      <x:c r="N240" s="21"/>
      <x:c r="O240" s="26" t="str">
        <x:v>Qualified conversations actually held / unique booked conversations whose scheduled time has passed. Exclude upcoming appointments. Rebooking the same opportunity is not a second booking. A zero denominator is N/A.</x:v>
      </x:c>
      <x:c r="P240" s="26" t="str">
        <x:v>PDF §10; due-cohort denominator clarified</x:v>
      </x:c>
      <x:c r="Q240" s="2" t="n">
        <x:f>IF(ISNUMBER(H240),1,0)</x:f>
        <x:v>0</x:v>
      </x:c>
    </x:row>
    <x:row r="241" ht="46" customHeight="1">
      <x:c r="A241" s="17" t="n">
        <x:v>46330</x:v>
      </x:c>
      <x:c r="B241" s="2" t="str">
        <x:v>Positive-to-booked conversion</x:v>
      </x:c>
      <x:c r="C241" s="40" t="n">
        <x:v>0.5</x:v>
      </x:c>
      <x:c r="D241" s="2" t="str">
        <x:v>Rate</x:v>
      </x:c>
      <x:c r="E241" s="20"/>
      <x:c r="F241" s="20"/>
      <x:c r="G241" s="20"/>
      <x:c r="H241" s="40" t="str">
        <x:f>IF(D241="Rate",IF(COUNT(F241:G241)&lt;2,"",IF(G241=0,"n.a.",F241/G241)),IF(COUNT(E241)=0,"",E241))</x:f>
      </x:c>
      <x:c r="I241" s="40" t="str">
        <x:f>IF(AND(ISNUMBER(H241),ISNUMBER(C241)),H241-C241,"")</x:f>
      </x:c>
      <x:c r="J241" s="2" t="str">
        <x:v>%</x:v>
      </x:c>
      <x:c r="K241" s="2" t="str">
        <x:v>Nova</x:v>
      </x:c>
      <x:c r="L241" s="28" t="str"/>
      <x:c r="M241" s="20"/>
      <x:c r="N241" s="21"/>
      <x:c r="O241" s="26" t="str">
        <x:v>Unique email-positive opportunities booked / unique email-positive opportunities in the same reviewed cohort. Use a documented follow-up window. This differs from the all-channel 40-inquiry/20-booking planning assumption. A zero denominator is N/A.</x:v>
      </x:c>
      <x:c r="P241" s="26" t="str">
        <x:v>PDF §9</x:v>
      </x:c>
      <x:c r="Q241" s="2" t="n">
        <x:f>IF(ISNUMBER(H241),1,0)</x:f>
        <x:v>0</x:v>
      </x:c>
    </x:row>
    <x:row r="242" ht="46" customHeight="1">
      <x:c r="A242" s="17" t="n">
        <x:v>46330</x:v>
      </x:c>
      <x:c r="B242" s="2" t="str">
        <x:v>Existing-account referral asks</x:v>
      </x:c>
      <x:c r="C242" s="2" t="n">
        <x:v>11</x:v>
      </x:c>
      <x:c r="D242" s="2" t="str">
        <x:v>Cumulative total</x:v>
      </x:c>
      <x:c r="E242" s="20"/>
      <x:c r="F242" s="20"/>
      <x:c r="G242" s="20"/>
      <x:c r="H242" s="2" t="str">
        <x:f>IF(D242="Rate",IF(COUNT(F242:G242)&lt;2,"",IF(G242=0,"n.a.",F242/G242)),IF(COUNT(E242)=0,"",E242))</x:f>
      </x:c>
      <x:c r="I242" s="2" t="str">
        <x:f>IF(AND(ISNUMBER(H242),ISNUMBER(C242)),H242-C242,"")</x:f>
      </x:c>
      <x:c r="J242" s="2" t="str">
        <x:v>accounts asked</x:v>
      </x:c>
      <x:c r="K242" s="2" t="str">
        <x:v>Maseeha</x:v>
      </x:c>
      <x:c r="L242" s="28" t="str"/>
      <x:c r="M242" s="20"/>
      <x:c r="N242" s="21"/>
      <x:c r="O242" s="26" t="str">
        <x:v>Ask 25 unique A/B accounts (5 A and 20 B) by November 13; proposed pace 35 total by November 20; complete the remaining C accounts to reach 41 total by November 25. One introduction is the ask; asks and received intros are separate counts.</x:v>
      </x:c>
      <x:c r="P242" s="26" t="str">
        <x:v>PDF §16 supplies 25 A/B byNov 14 and 16 C byNov 25; Friday deadline and 35-byNov 20 pace are proposed scheduling allocations.</x:v>
      </x:c>
      <x:c r="Q242" s="2" t="n">
        <x:f>IF(ISNUMBER(H242),1,0)</x:f>
        <x:v>0</x:v>
      </x:c>
    </x:row>
    <x:row r="243" ht="46" customHeight="1">
      <x:c r="A243" s="17" t="n">
        <x:v>46330</x:v>
      </x:c>
      <x:c r="B243" s="2" t="str">
        <x:v>Approved SOPs</x:v>
      </x:c>
      <x:c r="C243" s="2"/>
      <x:c r="D243" s="2" t="str">
        <x:v>Cumulative total</x:v>
      </x:c>
      <x:c r="E243" s="20"/>
      <x:c r="F243" s="20"/>
      <x:c r="G243" s="20"/>
      <x:c r="H243" s="2" t="str">
        <x:f>IF(D243="Rate",IF(COUNT(F243:G243)&lt;2,"",IF(G243=0,"n.a.",F243/G243)),IF(COUNT(E243)=0,"",E243))</x:f>
      </x:c>
      <x:c r="I243" s="2" t="str">
        <x:f>IF(AND(ISNUMBER(H243),ISNUMBER(C243)),H243-C243,"")</x:f>
      </x:c>
      <x:c r="J243" s="2" t="str">
        <x:v>SOPs</x:v>
      </x:c>
      <x:c r="K243" s="2" t="str">
        <x:v>Wyline</x:v>
      </x:c>
      <x:c r="L243" s="28" t="str"/>
      <x:c r="M243" s="20"/>
      <x:c r="N243" s="21"/>
      <x:c r="O243" s="26" t="str">
        <x:v>10 core SOPs plus ADS-01 and SOC-01 additions; approved version and independent-run evidence required.</x:v>
      </x:c>
      <x:c r="P243" s="26" t="str">
        <x:v>PDF §8 with §§17 b–d additions</x:v>
      </x:c>
      <x:c r="Q243" s="2" t="n">
        <x:f>IF(ISNUMBER(H243),1,0)</x:f>
        <x:v>0</x:v>
      </x:c>
    </x:row>
    <x:row r="244" ht="46" customHeight="1">
      <x:c r="A244" s="17" t="n">
        <x:v>46330</x:v>
      </x:c>
      <x:c r="B244" s="2" t="str">
        <x:v>Accepted AI agents</x:v>
      </x:c>
      <x:c r="C244" s="2"/>
      <x:c r="D244" s="2" t="str">
        <x:v>Cumulative total</x:v>
      </x:c>
      <x:c r="E244" s="20"/>
      <x:c r="F244" s="20"/>
      <x:c r="G244" s="20"/>
      <x:c r="H244" s="2" t="str">
        <x:f>IF(D244="Rate",IF(COUNT(F244:G244)&lt;2,"",IF(G244=0,"n.a.",F244/G244)),IF(COUNT(E244)=0,"",E244))</x:f>
      </x:c>
      <x:c r="I244" s="2" t="str">
        <x:f>IF(AND(ISNUMBER(H244),ISNUMBER(C244)),H244-C244,"")</x:f>
      </x:c>
      <x:c r="J244" s="2" t="str">
        <x:v>agents</x:v>
      </x:c>
      <x:c r="K244" s="2" t="str">
        <x:v>Emman</x:v>
      </x:c>
      <x:c r="L244" s="28" t="str"/>
      <x:c r="M244" s="20"/>
      <x:c r="N244" s="21"/>
      <x:c r="O244" s="26" t="str">
        <x:v>Scout, Writer, Inbox, Phone Assist, LinkedIn Assist, Follow-up, Scoreboard and Client Reporter; acceptance evidence required.</x:v>
      </x:c>
      <x:c r="P244" s="26" t="str">
        <x:v>PDF §7</x:v>
      </x:c>
      <x:c r="Q244" s="2" t="n">
        <x:f>IF(ISNUMBER(H244),1,0)</x:f>
        <x:v>0</x:v>
      </x:c>
    </x:row>
    <x:row r="245" ht="46" customHeight="1">
      <x:c r="A245" s="17" t="n">
        <x:v>46331</x:v>
      </x:c>
      <x:c r="B245" s="2" t="str">
        <x:v>Qualified inquiries</x:v>
      </x:c>
      <x:c r="C245" s="2" t="n">
        <x:v>3</x:v>
      </x:c>
      <x:c r="D245" s="2" t="str">
        <x:v>Cumulative total</x:v>
      </x:c>
      <x:c r="E245" s="20"/>
      <x:c r="F245" s="20"/>
      <x:c r="G245" s="20"/>
      <x:c r="H245" s="2" t="str">
        <x:f>IF(D245="Rate",IF(COUNT(F245:G245)&lt;2,"",IF(G245=0,"n.a.",F245/G245)),IF(COUNT(E245)=0,"",E245))</x:f>
      </x:c>
      <x:c r="I245" s="2" t="str">
        <x:f>IF(AND(ISNUMBER(H245),ISNUMBER(C245)),H245-C245,"")</x:f>
      </x:c>
      <x:c r="J245" s="2" t="str">
        <x:v>inquiries</x:v>
      </x:c>
      <x:c r="K245" s="2" t="str">
        <x:v>Nova</x:v>
      </x:c>
      <x:c r="L245" s="28" t="str"/>
      <x:c r="M245" s="20"/>
      <x:c r="N245" s="21"/>
      <x:c r="O245" s="26" t="str">
        <x:v>Unique ICP-matched practices that express relevant interest, need or timing; Nova records practice type, decision-maker access, case volume, service need and readiness within 30–60 days. Raw records, opens and connection accepts do not qualify.</x:v>
      </x:c>
      <x:c r="P245" s="26" t="str">
        <x:v>Original proposal pages 2 and 4 define qualification; 40 by Dec 16 and intermediate pace are newly proposed recovery targets.</x:v>
      </x:c>
      <x:c r="Q245" s="2" t="n">
        <x:f>IF(ISNUMBER(H245),1,0)</x:f>
        <x:v>0</x:v>
      </x:c>
    </x:row>
    <x:row r="246" ht="46" customHeight="1">
      <x:c r="A246" s="17" t="n">
        <x:v>46331</x:v>
      </x:c>
      <x:c r="B246" s="2" t="str">
        <x:v>Qualified conversations booked</x:v>
      </x:c>
      <x:c r="C246" s="2" t="n">
        <x:v>1</x:v>
      </x:c>
      <x:c r="D246" s="2" t="str">
        <x:v>Cumulative total</x:v>
      </x:c>
      <x:c r="E246" s="20"/>
      <x:c r="F246" s="20"/>
      <x:c r="G246" s="20"/>
      <x:c r="H246" s="2" t="str">
        <x:f>IF(D246="Rate",IF(COUNT(F246:G246)&lt;2,"",IF(G246=0,"n.a.",F246/G246)),IF(COUNT(E246)=0,"",E246))</x:f>
      </x:c>
      <x:c r="I246" s="2" t="str">
        <x:f>IF(AND(ISNUMBER(H246),ISNUMBER(C246)),H246-C246,"")</x:f>
      </x:c>
      <x:c r="J246" s="2" t="str">
        <x:v>bookings</x:v>
      </x:c>
      <x:c r="K246" s="2" t="str">
        <x:v>Nova</x:v>
      </x:c>
      <x:c r="L246" s="28" t="str"/>
      <x:c r="M246" s="20"/>
      <x:c r="N246" s="21"/>
      <x:c r="O246" s="26" t="str">
        <x:v>Unique qualified calls/visits booked with Nic; rebooking same opportunity is not a new booking.</x:v>
      </x:c>
      <x:c r="P246" s="26" t="str">
        <x:v>PDF §10; final deadline advanced to user Dec 16</x:v>
      </x:c>
      <x:c r="Q246" s="2" t="n">
        <x:f>IF(ISNUMBER(H246),1,0)</x:f>
        <x:v>0</x:v>
      </x:c>
    </x:row>
    <x:row r="247" ht="46" customHeight="1">
      <x:c r="A247" s="17" t="n">
        <x:v>46331</x:v>
      </x:c>
      <x:c r="B247" s="2" t="str">
        <x:v>Qualified conversations held</x:v>
      </x:c>
      <x:c r="C247" s="2" t="n">
        <x:v>0</x:v>
      </x:c>
      <x:c r="D247" s="2" t="str">
        <x:v>Cumulative total</x:v>
      </x:c>
      <x:c r="E247" s="20"/>
      <x:c r="F247" s="20"/>
      <x:c r="G247" s="20"/>
      <x:c r="H247" s="2" t="str">
        <x:f>IF(D247="Rate",IF(COUNT(F247:G247)&lt;2,"",IF(G247=0,"n.a.",F247/G247)),IF(COUNT(E247)=0,"",E247))</x:f>
      </x:c>
      <x:c r="I247" s="2" t="str">
        <x:f>IF(AND(ISNUMBER(H247),ISNUMBER(C247)),H247-C247,"")</x:f>
      </x:c>
      <x:c r="J247" s="2" t="str">
        <x:v>held</x:v>
      </x:c>
      <x:c r="K247" s="2" t="str">
        <x:v>Nova</x:v>
      </x:c>
      <x:c r="L247" s="28" t="str"/>
      <x:c r="M247" s="20"/>
      <x:c r="N247" s="21"/>
      <x:c r="O247" s="26" t="str">
        <x:v>Completed qualified calls/visits; 6 and 15 are integer planning proxies for 70% of 8 and 75% of 20.</x:v>
      </x:c>
      <x:c r="P247" s="26" t="str">
        <x:v>Derived from source held-rate targets</x:v>
      </x:c>
      <x:c r="Q247" s="2" t="n">
        <x:f>IF(ISNUMBER(H247),1,0)</x:f>
        <x:v>0</x:v>
      </x:c>
    </x:row>
    <x:row r="248" ht="46" customHeight="1">
      <x:c r="A248" s="17" t="n">
        <x:v>46331</x:v>
      </x:c>
      <x:c r="B248" s="2" t="str">
        <x:v>Trial cases received by DSI</x:v>
      </x:c>
      <x:c r="C248" s="2" t="n">
        <x:v>0</x:v>
      </x:c>
      <x:c r="D248" s="2" t="str">
        <x:v>Cumulative total</x:v>
      </x:c>
      <x:c r="E248" s="20"/>
      <x:c r="F248" s="20"/>
      <x:c r="G248" s="20"/>
      <x:c r="H248" s="2" t="str">
        <x:f>IF(D248="Rate",IF(COUNT(F248:G248)&lt;2,"",IF(G248=0,"n.a.",F248/G248)),IF(COUNT(E248)=0,"",E248))</x:f>
      </x:c>
      <x:c r="I248" s="2" t="str">
        <x:f>IF(AND(ISNUMBER(H248),ISNUMBER(C248)),H248-C248,"")</x:f>
      </x:c>
      <x:c r="J248" s="2" t="str">
        <x:v>trials</x:v>
      </x:c>
      <x:c r="K248" s="2" t="str">
        <x:v>Maseeha</x:v>
      </x:c>
      <x:c r="L248" s="28" t="str"/>
      <x:c r="M248" s="20"/>
      <x:c r="N248" s="21"/>
      <x:c r="O248" s="26" t="str">
        <x:v>Practice’s first trial case received by DSI, not merely promised or shipped; subject to Maseeha capacity.</x:v>
      </x:c>
      <x:c r="P248" s="26" t="str">
        <x:v>PDF §10; final deadline advanced to user Dec 16</x:v>
      </x:c>
      <x:c r="Q248" s="2" t="n">
        <x:f>IF(ISNUMBER(H248),1,0)</x:f>
        <x:v>0</x:v>
      </x:c>
    </x:row>
    <x:row r="249" ht="46" customHeight="1">
      <x:c r="A249" s="17" t="n">
        <x:v>46331</x:v>
      </x:c>
      <x:c r="B249" s="2" t="str">
        <x:v>Recurring accounts signed</x:v>
      </x:c>
      <x:c r="C249" s="2"/>
      <x:c r="D249" s="2" t="str">
        <x:v>Cumulative total</x:v>
      </x:c>
      <x:c r="E249" s="20"/>
      <x:c r="F249" s="20"/>
      <x:c r="G249" s="20"/>
      <x:c r="H249" s="2" t="str">
        <x:f>IF(D249="Rate",IF(COUNT(F249:G249)&lt;2,"",IF(G249=0,"n.a.",F249/G249)),IF(COUNT(E249)=0,"",E249))</x:f>
      </x:c>
      <x:c r="I249" s="2" t="str">
        <x:f>IF(AND(ISNUMBER(H249),ISNUMBER(C249)),H249-C249,"")</x:f>
      </x:c>
      <x:c r="J249" s="2" t="str">
        <x:v>accounts</x:v>
      </x:c>
      <x:c r="K249" s="2" t="str">
        <x:v>Nic</x:v>
      </x:c>
      <x:c r="L249" s="28" t="str"/>
      <x:c r="M249" s="20"/>
      <x:c r="N249" s="21"/>
      <x:c r="O249" s="26" t="str">
        <x:v>Plan signed following Day-30 review; only mature trial cohorts eligible. 1–3 is a conditional range.</x:v>
      </x:c>
      <x:c r="P249" s="26" t="str">
        <x:v>PDF §10</x:v>
      </x:c>
      <x:c r="Q249" s="2" t="n">
        <x:f>IF(ISNUMBER(H249),1,0)</x:f>
        <x:v>0</x:v>
      </x:c>
    </x:row>
    <x:row r="250" ht="46" customHeight="1">
      <x:c r="A250" s="17" t="n">
        <x:v>46331</x:v>
      </x:c>
      <x:c r="B250" s="2" t="str">
        <x:v>Referral-sourced bookings</x:v>
      </x:c>
      <x:c r="C250" s="2" t="n">
        <x:v>0</x:v>
      </x:c>
      <x:c r="D250" s="2" t="str">
        <x:v>Cumulative total</x:v>
      </x:c>
      <x:c r="E250" s="20"/>
      <x:c r="F250" s="20"/>
      <x:c r="G250" s="20"/>
      <x:c r="H250" s="2" t="str">
        <x:f>IF(D250="Rate",IF(COUNT(F250:G250)&lt;2,"",IF(G250=0,"n.a.",F250/G250)),IF(COUNT(E250)=0,"",E250))</x:f>
      </x:c>
      <x:c r="I250" s="2" t="str">
        <x:f>IF(AND(ISNUMBER(H250),ISNUMBER(C250)),H250-C250,"")</x:f>
      </x:c>
      <x:c r="J250" s="2" t="str">
        <x:v>bookings</x:v>
      </x:c>
      <x:c r="K250" s="2" t="str">
        <x:v>Nova</x:v>
      </x:c>
      <x:c r="L250" s="28" t="str"/>
      <x:c r="M250" s="20"/>
      <x:c r="N250" s="21"/>
      <x:c r="O250" s="26" t="str">
        <x:v>Subset of booked total with primary Source=Referral; never added on top of all-channel bookings.</x:v>
      </x:c>
      <x:c r="P250" s="26" t="str">
        <x:v>PDF §§10, 16</x:v>
      </x:c>
      <x:c r="Q250" s="2" t="n">
        <x:f>IF(ISNUMBER(H250),1,0)</x:f>
        <x:v>0</x:v>
      </x:c>
    </x:row>
    <x:row r="251" ht="46" customHeight="1">
      <x:c r="A251" s="17" t="n">
        <x:v>46331</x:v>
      </x:c>
      <x:c r="B251" s="2" t="str">
        <x:v>LinkedIn DM-sourced bookings</x:v>
      </x:c>
      <x:c r="C251" s="2" t="n">
        <x:v>0</x:v>
      </x:c>
      <x:c r="D251" s="2" t="str">
        <x:v>Cumulative total</x:v>
      </x:c>
      <x:c r="E251" s="20"/>
      <x:c r="F251" s="20"/>
      <x:c r="G251" s="20"/>
      <x:c r="H251" s="2" t="str">
        <x:f>IF(D251="Rate",IF(COUNT(F251:G251)&lt;2,"",IF(G251=0,"n.a.",F251/G251)),IF(COUNT(E251)=0,"",E251))</x:f>
      </x:c>
      <x:c r="I251" s="2" t="str">
        <x:f>IF(AND(ISNUMBER(H251),ISNUMBER(C251)),H251-C251,"")</x:f>
      </x:c>
      <x:c r="J251" s="2" t="str">
        <x:v>bookings</x:v>
      </x:c>
      <x:c r="K251" s="2" t="str">
        <x:v>Dexter</x:v>
      </x:c>
      <x:c r="L251" s="28" t="str"/>
      <x:c r="M251" s="20"/>
      <x:c r="N251" s="21"/>
      <x:c r="O251" s="26" t="str">
        <x:v>Subset of booked total with primary Source=LinkedIn DM; assists tracked separately.</x:v>
      </x:c>
      <x:c r="P251" s="26" t="str">
        <x:v>PDF §§10, 17 a</x:v>
      </x:c>
      <x:c r="Q251" s="2" t="n">
        <x:f>IF(ISNUMBER(H251),1,0)</x:f>
        <x:v>0</x:v>
      </x:c>
    </x:row>
    <x:row r="252" ht="46" customHeight="1">
      <x:c r="A252" s="17" t="n">
        <x:v>46331</x:v>
      </x:c>
      <x:c r="B252" s="2" t="str">
        <x:v>Verified contacts ready</x:v>
      </x:c>
      <x:c r="C252" s="2" t="n">
        <x:v>450</x:v>
      </x:c>
      <x:c r="D252" s="2" t="str">
        <x:v>Cumulative total</x:v>
      </x:c>
      <x:c r="E252" s="20"/>
      <x:c r="F252" s="20"/>
      <x:c r="G252" s="20"/>
      <x:c r="H252" s="2" t="str">
        <x:f>IF(D252="Rate",IF(COUNT(F252:G252)&lt;2,"",IF(G252=0,"n.a.",F252/G252)),IF(COUNT(E252)=0,"",E252))</x:f>
      </x:c>
      <x:c r="I252" s="2" t="str">
        <x:f>IF(AND(ISNUMBER(H252),ISNUMBER(C252)),H252-C252,"")</x:f>
      </x:c>
      <x:c r="J252" s="2" t="str">
        <x:v>contacts</x:v>
      </x:c>
      <x:c r="K252" s="2" t="str">
        <x:v>Joey</x:v>
      </x:c>
      <x:c r="L252" s="28" t="str"/>
      <x:c r="M252" s="20"/>
      <x:c r="N252" s="21"/>
      <x:c r="O252" s="26" t="str">
        <x:v>Unique contacts passing Scout and loaded in CQL; count once per contact.</x:v>
      </x:c>
      <x:c r="P252" s="26" t="str">
        <x:v>PDF §§10, 14; 750 due Dec 12 moved to Fri Dec 11</x:v>
      </x:c>
      <x:c r="Q252" s="2" t="n">
        <x:f>IF(ISNUMBER(H252),1,0)</x:f>
        <x:v>0</x:v>
      </x:c>
    </x:row>
    <x:row r="253" ht="46" customHeight="1">
      <x:c r="A253" s="17" t="n">
        <x:v>46331</x:v>
      </x:c>
      <x:c r="B253" s="2" t="str">
        <x:v>Permission-based referral introductions</x:v>
      </x:c>
      <x:c r="C253" s="2" t="n">
        <x:v>2</x:v>
      </x:c>
      <x:c r="D253" s="2" t="str">
        <x:v>Cumulative total</x:v>
      </x:c>
      <x:c r="E253" s="20"/>
      <x:c r="F253" s="20"/>
      <x:c r="G253" s="20"/>
      <x:c r="H253" s="2" t="str">
        <x:f>IF(D253="Rate",IF(COUNT(F253:G253)&lt;2,"",IF(G253=0,"n.a.",F253/G253)),IF(COUNT(E253)=0,"",E253))</x:f>
      </x:c>
      <x:c r="I253" s="2" t="str">
        <x:f>IF(AND(ISNUMBER(H253),ISNUMBER(C253)),H253-C253,"")</x:f>
      </x:c>
      <x:c r="J253" s="2" t="str">
        <x:v>introductions</x:v>
      </x:c>
      <x:c r="K253" s="2" t="str">
        <x:v>Maseeha</x:v>
      </x:c>
      <x:c r="L253" s="28" t="str"/>
      <x:c r="M253" s="20"/>
      <x:c r="N253" s="21"/>
      <x:c r="O253" s="26" t="str">
        <x:v>Unique introductions with consent and referrer recorded, verified by Maseeha within 2 business days.</x:v>
      </x:c>
      <x:c r="P253" s="26" t="str">
        <x:v>PDF §§10, 16</x:v>
      </x:c>
      <x:c r="Q253" s="2" t="n">
        <x:f>IF(ISNUMBER(H253),1,0)</x:f>
        <x:v>0</x:v>
      </x:c>
    </x:row>
    <x:row r="254" ht="46" customHeight="1">
      <x:c r="A254" s="17" t="n">
        <x:v>46331</x:v>
      </x:c>
      <x:c r="B254" s="2" t="str">
        <x:v>Human reply rate</x:v>
      </x:c>
      <x:c r="C254" s="40" t="n">
        <x:v>0.02</x:v>
      </x:c>
      <x:c r="D254" s="2" t="str">
        <x:v>Rate</x:v>
      </x:c>
      <x:c r="E254" s="20"/>
      <x:c r="F254" s="20"/>
      <x:c r="G254" s="20"/>
      <x:c r="H254" s="40" t="str">
        <x:f>IF(D254="Rate",IF(COUNT(F254:G254)&lt;2,"",IF(G254=0,"n.a.",F254/G254)),IF(COUNT(E254)=0,"",E254))</x:f>
      </x:c>
      <x:c r="I254" s="40" t="str">
        <x:f>IF(AND(ISNUMBER(H254),ISNUMBER(C254)),H254-C254,"")</x:f>
      </x:c>
      <x:c r="J254" s="2" t="str">
        <x:v>%</x:v>
      </x:c>
      <x:c r="K254" s="2" t="str">
        <x:v>Kenneth</x:v>
      </x:c>
      <x:c r="L254" s="28" t="str"/>
      <x:c r="M254" s="20"/>
      <x:c r="N254" s="21"/>
      <x:c r="O254" s="26" t="str">
        <x:v>Unique emailed contacts that give a qualifying human reply / unique contacts emailed in the same send cohort. Exclude OOO, auto-replies, bounces and unsubscribe-only replies. Deduplicate contacts across sequence steps; zero denominator is N/A.</x:v>
      </x:c>
      <x:c r="P254" s="26" t="str">
        <x:v>PDF §10</x:v>
      </x:c>
      <x:c r="Q254" s="2" t="n">
        <x:f>IF(ISNUMBER(H254),1,0)</x:f>
        <x:v>0</x:v>
      </x:c>
    </x:row>
    <x:row r="255" ht="46" customHeight="1">
      <x:c r="A255" s="17" t="n">
        <x:v>46331</x:v>
      </x:c>
      <x:c r="B255" s="2" t="str">
        <x:v>Positive reply rate</x:v>
      </x:c>
      <x:c r="C255" s="40" t="n">
        <x:v>0.01</x:v>
      </x:c>
      <x:c r="D255" s="2" t="str">
        <x:v>Rate</x:v>
      </x:c>
      <x:c r="E255" s="20"/>
      <x:c r="F255" s="20"/>
      <x:c r="G255" s="20"/>
      <x:c r="H255" s="40" t="str">
        <x:f>IF(D255="Rate",IF(COUNT(F255:G255)&lt;2,"",IF(G255=0,"n.a.",F255/G255)),IF(COUNT(E255)=0,"",E255))</x:f>
      </x:c>
      <x:c r="I255" s="40" t="str">
        <x:f>IF(AND(ISNUMBER(H255),ISNUMBER(C255)),H255-C255,"")</x:f>
      </x:c>
      <x:c r="J255" s="2" t="str">
        <x:v>%</x:v>
      </x:c>
      <x:c r="K255" s="2" t="str">
        <x:v>Kenneth</x:v>
      </x:c>
      <x:c r="L255" s="28" t="str"/>
      <x:c r="M255" s="20"/>
      <x:c r="N255" s="21"/>
      <x:c r="O255" s="26" t="str">
        <x:v>Unique emailed contacts classified interested or relevant question / unique contacts emailed in the same send cohort. Deduplicate across sequence steps; zero denominator is N/A. Keep this email rate separate from all-channel qualified inquiries.</x:v>
      </x:c>
      <x:c r="P255" s="26" t="str">
        <x:v>PDF §10</x:v>
      </x:c>
      <x:c r="Q255" s="2" t="n">
        <x:f>IF(ISNUMBER(H255),1,0)</x:f>
        <x:v>0</x:v>
      </x:c>
    </x:row>
    <x:row r="256" ht="46" customHeight="1">
      <x:c r="A256" s="17" t="n">
        <x:v>46331</x:v>
      </x:c>
      <x:c r="B256" s="2" t="str">
        <x:v>Replies answered within 15 minutes</x:v>
      </x:c>
      <x:c r="C256" s="40" t="n">
        <x:v>1</x:v>
      </x:c>
      <x:c r="D256" s="2" t="str">
        <x:v>Rate</x:v>
      </x:c>
      <x:c r="E256" s="20"/>
      <x:c r="F256" s="20"/>
      <x:c r="G256" s="20"/>
      <x:c r="H256" s="40" t="str">
        <x:f>IF(D256="Rate",IF(COUNT(F256:G256)&lt;2,"",IF(G256=0,"n.a.",F256/G256)),IF(COUNT(E256)=0,"",E256))</x:f>
      </x:c>
      <x:c r="I256" s="40" t="str">
        <x:f>IF(AND(ISNUMBER(H256),ISNUMBER(C256)),H256-C256,"")</x:f>
      </x:c>
      <x:c r="J256" s="2" t="str">
        <x:v>%</x:v>
      </x:c>
      <x:c r="K256" s="2" t="str">
        <x:v>Nova</x:v>
      </x:c>
      <x:c r="L256" s="28" t="str"/>
      <x:c r="M256" s="20"/>
      <x:c r="N256" s="21"/>
      <x:c r="O256"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256" s="26" t="str">
        <x:v>PDF §9; clock convention clarified for tracker</x:v>
      </x:c>
      <x:c r="Q256" s="2" t="n">
        <x:f>IF(ISNUMBER(H256),1,0)</x:f>
        <x:v>0</x:v>
      </x:c>
    </x:row>
    <x:row r="257" ht="46" customHeight="1">
      <x:c r="A257" s="17" t="n">
        <x:v>46331</x:v>
      </x:c>
      <x:c r="B257" s="2" t="str">
        <x:v>Held rate</x:v>
      </x:c>
      <x:c r="C257" s="40" t="n">
        <x:v>0.7</x:v>
      </x:c>
      <x:c r="D257" s="2" t="str">
        <x:v>Rate</x:v>
      </x:c>
      <x:c r="E257" s="20"/>
      <x:c r="F257" s="20"/>
      <x:c r="G257" s="20"/>
      <x:c r="H257" s="40" t="str">
        <x:f>IF(D257="Rate",IF(COUNT(F257:G257)&lt;2,"",IF(G257=0,"n.a.",F257/G257)),IF(COUNT(E257)=0,"",E257))</x:f>
      </x:c>
      <x:c r="I257" s="40" t="str">
        <x:f>IF(AND(ISNUMBER(H257),ISNUMBER(C257)),H257-C257,"")</x:f>
      </x:c>
      <x:c r="J257" s="2" t="str">
        <x:v>%</x:v>
      </x:c>
      <x:c r="K257" s="2" t="str">
        <x:v>Nova</x:v>
      </x:c>
      <x:c r="L257" s="28" t="str"/>
      <x:c r="M257" s="20"/>
      <x:c r="N257" s="21"/>
      <x:c r="O257" s="26" t="str">
        <x:v>Qualified conversations actually held / unique booked conversations whose scheduled time has passed. Exclude upcoming appointments. Rebooking the same opportunity is not a second booking. A zero denominator is N/A.</x:v>
      </x:c>
      <x:c r="P257" s="26" t="str">
        <x:v>PDF §10; due-cohort denominator clarified</x:v>
      </x:c>
      <x:c r="Q257" s="2" t="n">
        <x:f>IF(ISNUMBER(H257),1,0)</x:f>
        <x:v>0</x:v>
      </x:c>
    </x:row>
    <x:row r="258" ht="46" customHeight="1">
      <x:c r="A258" s="17" t="n">
        <x:v>46331</x:v>
      </x:c>
      <x:c r="B258" s="2" t="str">
        <x:v>Positive-to-booked conversion</x:v>
      </x:c>
      <x:c r="C258" s="40" t="n">
        <x:v>0.5</x:v>
      </x:c>
      <x:c r="D258" s="2" t="str">
        <x:v>Rate</x:v>
      </x:c>
      <x:c r="E258" s="20"/>
      <x:c r="F258" s="20"/>
      <x:c r="G258" s="20"/>
      <x:c r="H258" s="40" t="str">
        <x:f>IF(D258="Rate",IF(COUNT(F258:G258)&lt;2,"",IF(G258=0,"n.a.",F258/G258)),IF(COUNT(E258)=0,"",E258))</x:f>
      </x:c>
      <x:c r="I258" s="40" t="str">
        <x:f>IF(AND(ISNUMBER(H258),ISNUMBER(C258)),H258-C258,"")</x:f>
      </x:c>
      <x:c r="J258" s="2" t="str">
        <x:v>%</x:v>
      </x:c>
      <x:c r="K258" s="2" t="str">
        <x:v>Nova</x:v>
      </x:c>
      <x:c r="L258" s="28" t="str"/>
      <x:c r="M258" s="20"/>
      <x:c r="N258" s="21"/>
      <x:c r="O258" s="26" t="str">
        <x:v>Unique email-positive opportunities booked / unique email-positive opportunities in the same reviewed cohort. Use a documented follow-up window. This differs from the all-channel 40-inquiry/20-booking planning assumption. A zero denominator is N/A.</x:v>
      </x:c>
      <x:c r="P258" s="26" t="str">
        <x:v>PDF §9</x:v>
      </x:c>
      <x:c r="Q258" s="2" t="n">
        <x:f>IF(ISNUMBER(H258),1,0)</x:f>
        <x:v>0</x:v>
      </x:c>
    </x:row>
    <x:row r="259" ht="46" customHeight="1">
      <x:c r="A259" s="17" t="n">
        <x:v>46331</x:v>
      </x:c>
      <x:c r="B259" s="2" t="str">
        <x:v>Existing-account referral asks</x:v>
      </x:c>
      <x:c r="C259" s="2" t="n">
        <x:v>13</x:v>
      </x:c>
      <x:c r="D259" s="2" t="str">
        <x:v>Cumulative total</x:v>
      </x:c>
      <x:c r="E259" s="20"/>
      <x:c r="F259" s="20"/>
      <x:c r="G259" s="20"/>
      <x:c r="H259" s="2" t="str">
        <x:f>IF(D259="Rate",IF(COUNT(F259:G259)&lt;2,"",IF(G259=0,"n.a.",F259/G259)),IF(COUNT(E259)=0,"",E259))</x:f>
      </x:c>
      <x:c r="I259" s="2" t="str">
        <x:f>IF(AND(ISNUMBER(H259),ISNUMBER(C259)),H259-C259,"")</x:f>
      </x:c>
      <x:c r="J259" s="2" t="str">
        <x:v>accounts asked</x:v>
      </x:c>
      <x:c r="K259" s="2" t="str">
        <x:v>Maseeha</x:v>
      </x:c>
      <x:c r="L259" s="28" t="str"/>
      <x:c r="M259" s="20"/>
      <x:c r="N259" s="21"/>
      <x:c r="O259" s="26" t="str">
        <x:v>Ask 25 unique A/B accounts (5 A and 20 B) by November 13; proposed pace 35 total by November 20; complete the remaining C accounts to reach 41 total by November 25. One introduction is the ask; asks and received intros are separate counts.</x:v>
      </x:c>
      <x:c r="P259" s="26" t="str">
        <x:v>PDF §16 supplies 25 A/B byNov 14 and 16 C byNov 25; Friday deadline and 35-byNov 20 pace are proposed scheduling allocations.</x:v>
      </x:c>
      <x:c r="Q259" s="2" t="n">
        <x:f>IF(ISNUMBER(H259),1,0)</x:f>
        <x:v>0</x:v>
      </x:c>
    </x:row>
    <x:row r="260" ht="46" customHeight="1">
      <x:c r="A260" s="17" t="n">
        <x:v>46331</x:v>
      </x:c>
      <x:c r="B260" s="2" t="str">
        <x:v>Approved SOPs</x:v>
      </x:c>
      <x:c r="C260" s="2"/>
      <x:c r="D260" s="2" t="str">
        <x:v>Cumulative total</x:v>
      </x:c>
      <x:c r="E260" s="20"/>
      <x:c r="F260" s="20"/>
      <x:c r="G260" s="20"/>
      <x:c r="H260" s="2" t="str">
        <x:f>IF(D260="Rate",IF(COUNT(F260:G260)&lt;2,"",IF(G260=0,"n.a.",F260/G260)),IF(COUNT(E260)=0,"",E260))</x:f>
      </x:c>
      <x:c r="I260" s="2" t="str">
        <x:f>IF(AND(ISNUMBER(H260),ISNUMBER(C260)),H260-C260,"")</x:f>
      </x:c>
      <x:c r="J260" s="2" t="str">
        <x:v>SOPs</x:v>
      </x:c>
      <x:c r="K260" s="2" t="str">
        <x:v>Wyline</x:v>
      </x:c>
      <x:c r="L260" s="28" t="str"/>
      <x:c r="M260" s="20"/>
      <x:c r="N260" s="21"/>
      <x:c r="O260" s="26" t="str">
        <x:v>10 core SOPs plus ADS-01 and SOC-01 additions; approved version and independent-run evidence required.</x:v>
      </x:c>
      <x:c r="P260" s="26" t="str">
        <x:v>PDF §8 with §§17 b–d additions</x:v>
      </x:c>
      <x:c r="Q260" s="2" t="n">
        <x:f>IF(ISNUMBER(H260),1,0)</x:f>
        <x:v>0</x:v>
      </x:c>
    </x:row>
    <x:row r="261" ht="46" customHeight="1">
      <x:c r="A261" s="17" t="n">
        <x:v>46331</x:v>
      </x:c>
      <x:c r="B261" s="2" t="str">
        <x:v>Accepted AI agents</x:v>
      </x:c>
      <x:c r="C261" s="2"/>
      <x:c r="D261" s="2" t="str">
        <x:v>Cumulative total</x:v>
      </x:c>
      <x:c r="E261" s="20"/>
      <x:c r="F261" s="20"/>
      <x:c r="G261" s="20"/>
      <x:c r="H261" s="2" t="str">
        <x:f>IF(D261="Rate",IF(COUNT(F261:G261)&lt;2,"",IF(G261=0,"n.a.",F261/G261)),IF(COUNT(E261)=0,"",E261))</x:f>
      </x:c>
      <x:c r="I261" s="2" t="str">
        <x:f>IF(AND(ISNUMBER(H261),ISNUMBER(C261)),H261-C261,"")</x:f>
      </x:c>
      <x:c r="J261" s="2" t="str">
        <x:v>agents</x:v>
      </x:c>
      <x:c r="K261" s="2" t="str">
        <x:v>Emman</x:v>
      </x:c>
      <x:c r="L261" s="28" t="str"/>
      <x:c r="M261" s="20"/>
      <x:c r="N261" s="21"/>
      <x:c r="O261" s="26" t="str">
        <x:v>Scout, Writer, Inbox, Phone Assist, LinkedIn Assist, Follow-up, Scoreboard and Client Reporter; acceptance evidence required.</x:v>
      </x:c>
      <x:c r="P261" s="26" t="str">
        <x:v>PDF §7</x:v>
      </x:c>
      <x:c r="Q261" s="2" t="n">
        <x:f>IF(ISNUMBER(H261),1,0)</x:f>
        <x:v>0</x:v>
      </x:c>
    </x:row>
    <x:row r="262" ht="46" customHeight="1">
      <x:c r="A262" s="17" t="n">
        <x:v>46332</x:v>
      </x:c>
      <x:c r="B262" s="2" t="str">
        <x:v>Qualified inquiries</x:v>
      </x:c>
      <x:c r="C262" s="2" t="n">
        <x:v>4</x:v>
      </x:c>
      <x:c r="D262" s="2" t="str">
        <x:v>Cumulative total</x:v>
      </x:c>
      <x:c r="E262" s="20"/>
      <x:c r="F262" s="20"/>
      <x:c r="G262" s="20"/>
      <x:c r="H262" s="2" t="str">
        <x:f>IF(D262="Rate",IF(COUNT(F262:G262)&lt;2,"",IF(G262=0,"n.a.",F262/G262)),IF(COUNT(E262)=0,"",E262))</x:f>
      </x:c>
      <x:c r="I262" s="2" t="str">
        <x:f>IF(AND(ISNUMBER(H262),ISNUMBER(C262)),H262-C262,"")</x:f>
      </x:c>
      <x:c r="J262" s="2" t="str">
        <x:v>inquiries</x:v>
      </x:c>
      <x:c r="K262" s="2" t="str">
        <x:v>Nova</x:v>
      </x:c>
      <x:c r="L262" s="28" t="str"/>
      <x:c r="M262" s="20"/>
      <x:c r="N262" s="21"/>
      <x:c r="O262" s="26" t="str">
        <x:v>Unique ICP-matched practices that express relevant interest, need or timing; Nova records practice type, decision-maker access, case volume, service need and readiness within 30–60 days. Raw records, opens and connection accepts do not qualify.</x:v>
      </x:c>
      <x:c r="P262" s="26" t="str">
        <x:v>Original proposal pages 2 and 4 define qualification; 40 by Dec 16 and intermediate pace are newly proposed recovery targets.</x:v>
      </x:c>
      <x:c r="Q262" s="2" t="n">
        <x:f>IF(ISNUMBER(H262),1,0)</x:f>
        <x:v>0</x:v>
      </x:c>
    </x:row>
    <x:row r="263" ht="46" customHeight="1">
      <x:c r="A263" s="17" t="n">
        <x:v>46332</x:v>
      </x:c>
      <x:c r="B263" s="2" t="str">
        <x:v>Qualified conversations booked</x:v>
      </x:c>
      <x:c r="C263" s="2" t="n">
        <x:v>2</x:v>
      </x:c>
      <x:c r="D263" s="2" t="str">
        <x:v>Cumulative total</x:v>
      </x:c>
      <x:c r="E263" s="20"/>
      <x:c r="F263" s="20"/>
      <x:c r="G263" s="20"/>
      <x:c r="H263" s="2" t="str">
        <x:f>IF(D263="Rate",IF(COUNT(F263:G263)&lt;2,"",IF(G263=0,"n.a.",F263/G263)),IF(COUNT(E263)=0,"",E263))</x:f>
      </x:c>
      <x:c r="I263" s="2" t="str">
        <x:f>IF(AND(ISNUMBER(H263),ISNUMBER(C263)),H263-C263,"")</x:f>
      </x:c>
      <x:c r="J263" s="2" t="str">
        <x:v>bookings</x:v>
      </x:c>
      <x:c r="K263" s="2" t="str">
        <x:v>Nova</x:v>
      </x:c>
      <x:c r="L263" s="28" t="str"/>
      <x:c r="M263" s="20"/>
      <x:c r="N263" s="21"/>
      <x:c r="O263" s="26" t="str">
        <x:v>Unique qualified calls/visits booked with Nic; rebooking same opportunity is not a new booking.</x:v>
      </x:c>
      <x:c r="P263" s="26" t="str">
        <x:v>PDF §10; final deadline advanced to user Dec 16</x:v>
      </x:c>
      <x:c r="Q263" s="2" t="n">
        <x:f>IF(ISNUMBER(H263),1,0)</x:f>
        <x:v>0</x:v>
      </x:c>
    </x:row>
    <x:row r="264" ht="46" customHeight="1">
      <x:c r="A264" s="17" t="n">
        <x:v>46332</x:v>
      </x:c>
      <x:c r="B264" s="2" t="str">
        <x:v>Qualified conversations held</x:v>
      </x:c>
      <x:c r="C264" s="2" t="n">
        <x:v>1</x:v>
      </x:c>
      <x:c r="D264" s="2" t="str">
        <x:v>Cumulative total</x:v>
      </x:c>
      <x:c r="E264" s="20"/>
      <x:c r="F264" s="20"/>
      <x:c r="G264" s="20"/>
      <x:c r="H264" s="2" t="str">
        <x:f>IF(D264="Rate",IF(COUNT(F264:G264)&lt;2,"",IF(G264=0,"n.a.",F264/G264)),IF(COUNT(E264)=0,"",E264))</x:f>
      </x:c>
      <x:c r="I264" s="2" t="str">
        <x:f>IF(AND(ISNUMBER(H264),ISNUMBER(C264)),H264-C264,"")</x:f>
      </x:c>
      <x:c r="J264" s="2" t="str">
        <x:v>held</x:v>
      </x:c>
      <x:c r="K264" s="2" t="str">
        <x:v>Nova</x:v>
      </x:c>
      <x:c r="L264" s="28" t="str"/>
      <x:c r="M264" s="20"/>
      <x:c r="N264" s="21"/>
      <x:c r="O264" s="26" t="str">
        <x:v>Completed qualified calls/visits; 6 and 15 are integer planning proxies for 70% of 8 and 75% of 20.</x:v>
      </x:c>
      <x:c r="P264" s="26" t="str">
        <x:v>Derived from source held-rate targets</x:v>
      </x:c>
      <x:c r="Q264" s="2" t="n">
        <x:f>IF(ISNUMBER(H264),1,0)</x:f>
        <x:v>0</x:v>
      </x:c>
    </x:row>
    <x:row r="265" ht="46" customHeight="1">
      <x:c r="A265" s="17" t="n">
        <x:v>46332</x:v>
      </x:c>
      <x:c r="B265" s="2" t="str">
        <x:v>Trial cases received by DSI</x:v>
      </x:c>
      <x:c r="C265" s="2" t="n">
        <x:v>0</x:v>
      </x:c>
      <x:c r="D265" s="2" t="str">
        <x:v>Cumulative total</x:v>
      </x:c>
      <x:c r="E265" s="20"/>
      <x:c r="F265" s="20"/>
      <x:c r="G265" s="20"/>
      <x:c r="H265" s="2" t="str">
        <x:f>IF(D265="Rate",IF(COUNT(F265:G265)&lt;2,"",IF(G265=0,"n.a.",F265/G265)),IF(COUNT(E265)=0,"",E265))</x:f>
      </x:c>
      <x:c r="I265" s="2" t="str">
        <x:f>IF(AND(ISNUMBER(H265),ISNUMBER(C265)),H265-C265,"")</x:f>
      </x:c>
      <x:c r="J265" s="2" t="str">
        <x:v>trials</x:v>
      </x:c>
      <x:c r="K265" s="2" t="str">
        <x:v>Maseeha</x:v>
      </x:c>
      <x:c r="L265" s="28" t="str"/>
      <x:c r="M265" s="20"/>
      <x:c r="N265" s="21"/>
      <x:c r="O265" s="26" t="str">
        <x:v>Practice’s first trial case received by DSI, not merely promised or shipped; subject to Maseeha capacity.</x:v>
      </x:c>
      <x:c r="P265" s="26" t="str">
        <x:v>PDF §10; final deadline advanced to user Dec 16</x:v>
      </x:c>
      <x:c r="Q265" s="2" t="n">
        <x:f>IF(ISNUMBER(H265),1,0)</x:f>
        <x:v>0</x:v>
      </x:c>
    </x:row>
    <x:row r="266" ht="46" customHeight="1">
      <x:c r="A266" s="17" t="n">
        <x:v>46332</x:v>
      </x:c>
      <x:c r="B266" s="2" t="str">
        <x:v>Recurring accounts signed</x:v>
      </x:c>
      <x:c r="C266" s="2"/>
      <x:c r="D266" s="2" t="str">
        <x:v>Cumulative total</x:v>
      </x:c>
      <x:c r="E266" s="20"/>
      <x:c r="F266" s="20"/>
      <x:c r="G266" s="20"/>
      <x:c r="H266" s="2" t="str">
        <x:f>IF(D266="Rate",IF(COUNT(F266:G266)&lt;2,"",IF(G266=0,"n.a.",F266/G266)),IF(COUNT(E266)=0,"",E266))</x:f>
      </x:c>
      <x:c r="I266" s="2" t="str">
        <x:f>IF(AND(ISNUMBER(H266),ISNUMBER(C266)),H266-C266,"")</x:f>
      </x:c>
      <x:c r="J266" s="2" t="str">
        <x:v>accounts</x:v>
      </x:c>
      <x:c r="K266" s="2" t="str">
        <x:v>Nic</x:v>
      </x:c>
      <x:c r="L266" s="28" t="str"/>
      <x:c r="M266" s="20"/>
      <x:c r="N266" s="21"/>
      <x:c r="O266" s="26" t="str">
        <x:v>Plan signed following Day-30 review; only mature trial cohorts eligible. 1–3 is a conditional range.</x:v>
      </x:c>
      <x:c r="P266" s="26" t="str">
        <x:v>PDF §10</x:v>
      </x:c>
      <x:c r="Q266" s="2" t="n">
        <x:f>IF(ISNUMBER(H266),1,0)</x:f>
        <x:v>0</x:v>
      </x:c>
    </x:row>
    <x:row r="267" ht="46" customHeight="1">
      <x:c r="A267" s="17" t="n">
        <x:v>46332</x:v>
      </x:c>
      <x:c r="B267" s="2" t="str">
        <x:v>Referral-sourced bookings</x:v>
      </x:c>
      <x:c r="C267" s="2" t="n">
        <x:v>1</x:v>
      </x:c>
      <x:c r="D267" s="2" t="str">
        <x:v>Cumulative total</x:v>
      </x:c>
      <x:c r="E267" s="20"/>
      <x:c r="F267" s="20"/>
      <x:c r="G267" s="20"/>
      <x:c r="H267" s="2" t="str">
        <x:f>IF(D267="Rate",IF(COUNT(F267:G267)&lt;2,"",IF(G267=0,"n.a.",F267/G267)),IF(COUNT(E267)=0,"",E267))</x:f>
      </x:c>
      <x:c r="I267" s="2" t="str">
        <x:f>IF(AND(ISNUMBER(H267),ISNUMBER(C267)),H267-C267,"")</x:f>
      </x:c>
      <x:c r="J267" s="2" t="str">
        <x:v>bookings</x:v>
      </x:c>
      <x:c r="K267" s="2" t="str">
        <x:v>Nova</x:v>
      </x:c>
      <x:c r="L267" s="28" t="str"/>
      <x:c r="M267" s="20"/>
      <x:c r="N267" s="21"/>
      <x:c r="O267" s="26" t="str">
        <x:v>Subset of booked total with primary Source=Referral; never added on top of all-channel bookings.</x:v>
      </x:c>
      <x:c r="P267" s="26" t="str">
        <x:v>PDF §§10, 16</x:v>
      </x:c>
      <x:c r="Q267" s="2" t="n">
        <x:f>IF(ISNUMBER(H267),1,0)</x:f>
        <x:v>0</x:v>
      </x:c>
    </x:row>
    <x:row r="268" ht="46" customHeight="1">
      <x:c r="A268" s="17" t="n">
        <x:v>46332</x:v>
      </x:c>
      <x:c r="B268" s="2" t="str">
        <x:v>LinkedIn DM-sourced bookings</x:v>
      </x:c>
      <x:c r="C268" s="2" t="n">
        <x:v>1</x:v>
      </x:c>
      <x:c r="D268" s="2" t="str">
        <x:v>Cumulative total</x:v>
      </x:c>
      <x:c r="E268" s="20"/>
      <x:c r="F268" s="20"/>
      <x:c r="G268" s="20"/>
      <x:c r="H268" s="2" t="str">
        <x:f>IF(D268="Rate",IF(COUNT(F268:G268)&lt;2,"",IF(G268=0,"n.a.",F268/G268)),IF(COUNT(E268)=0,"",E268))</x:f>
      </x:c>
      <x:c r="I268" s="2" t="str">
        <x:f>IF(AND(ISNUMBER(H268),ISNUMBER(C268)),H268-C268,"")</x:f>
      </x:c>
      <x:c r="J268" s="2" t="str">
        <x:v>bookings</x:v>
      </x:c>
      <x:c r="K268" s="2" t="str">
        <x:v>Dexter</x:v>
      </x:c>
      <x:c r="L268" s="28" t="str"/>
      <x:c r="M268" s="20"/>
      <x:c r="N268" s="21"/>
      <x:c r="O268" s="26" t="str">
        <x:v>Subset of booked total with primary Source=LinkedIn DM; assists tracked separately.</x:v>
      </x:c>
      <x:c r="P268" s="26" t="str">
        <x:v>PDF §§10, 17 a</x:v>
      </x:c>
      <x:c r="Q268" s="2" t="n">
        <x:f>IF(ISNUMBER(H268),1,0)</x:f>
        <x:v>0</x:v>
      </x:c>
    </x:row>
    <x:row r="269" ht="46" customHeight="1">
      <x:c r="A269" s="17" t="n">
        <x:v>46332</x:v>
      </x:c>
      <x:c r="B269" s="2" t="str">
        <x:v>Verified contacts ready</x:v>
      </x:c>
      <x:c r="C269" s="2" t="n">
        <x:v>500</x:v>
      </x:c>
      <x:c r="D269" s="2" t="str">
        <x:v>Cumulative total</x:v>
      </x:c>
      <x:c r="E269" s="20"/>
      <x:c r="F269" s="20"/>
      <x:c r="G269" s="20"/>
      <x:c r="H269" s="2" t="str">
        <x:f>IF(D269="Rate",IF(COUNT(F269:G269)&lt;2,"",IF(G269=0,"n.a.",F269/G269)),IF(COUNT(E269)=0,"",E269))</x:f>
      </x:c>
      <x:c r="I269" s="2" t="str">
        <x:f>IF(AND(ISNUMBER(H269),ISNUMBER(C269)),H269-C269,"")</x:f>
      </x:c>
      <x:c r="J269" s="2" t="str">
        <x:v>contacts</x:v>
      </x:c>
      <x:c r="K269" s="2" t="str">
        <x:v>Joey</x:v>
      </x:c>
      <x:c r="L269" s="28" t="str"/>
      <x:c r="M269" s="20"/>
      <x:c r="N269" s="21"/>
      <x:c r="O269" s="26" t="str">
        <x:v>Unique contacts passing Scout and loaded in CQL; count once per contact.</x:v>
      </x:c>
      <x:c r="P269" s="26" t="str">
        <x:v>PDF §§10, 14; 750 due Dec 12 moved to Fri Dec 11</x:v>
      </x:c>
      <x:c r="Q269" s="2" t="n">
        <x:f>IF(ISNUMBER(H269),1,0)</x:f>
        <x:v>0</x:v>
      </x:c>
    </x:row>
    <x:row r="270" ht="46" customHeight="1">
      <x:c r="A270" s="17" t="n">
        <x:v>46332</x:v>
      </x:c>
      <x:c r="B270" s="2" t="str">
        <x:v>Permission-based referral introductions</x:v>
      </x:c>
      <x:c r="C270" s="2" t="n">
        <x:v>3</x:v>
      </x:c>
      <x:c r="D270" s="2" t="str">
        <x:v>Cumulative total</x:v>
      </x:c>
      <x:c r="E270" s="20"/>
      <x:c r="F270" s="20"/>
      <x:c r="G270" s="20"/>
      <x:c r="H270" s="2" t="str">
        <x:f>IF(D270="Rate",IF(COUNT(F270:G270)&lt;2,"",IF(G270=0,"n.a.",F270/G270)),IF(COUNT(E270)=0,"",E270))</x:f>
      </x:c>
      <x:c r="I270" s="2" t="str">
        <x:f>IF(AND(ISNUMBER(H270),ISNUMBER(C270)),H270-C270,"")</x:f>
      </x:c>
      <x:c r="J270" s="2" t="str">
        <x:v>introductions</x:v>
      </x:c>
      <x:c r="K270" s="2" t="str">
        <x:v>Maseeha</x:v>
      </x:c>
      <x:c r="L270" s="28" t="str"/>
      <x:c r="M270" s="20"/>
      <x:c r="N270" s="21"/>
      <x:c r="O270" s="26" t="str">
        <x:v>Unique introductions with consent and referrer recorded, verified by Maseeha within 2 business days.</x:v>
      </x:c>
      <x:c r="P270" s="26" t="str">
        <x:v>PDF §§10, 16</x:v>
      </x:c>
      <x:c r="Q270" s="2" t="n">
        <x:f>IF(ISNUMBER(H270),1,0)</x:f>
        <x:v>0</x:v>
      </x:c>
    </x:row>
    <x:row r="271" ht="46" customHeight="1">
      <x:c r="A271" s="17" t="n">
        <x:v>46332</x:v>
      </x:c>
      <x:c r="B271" s="2" t="str">
        <x:v>Human reply rate</x:v>
      </x:c>
      <x:c r="C271" s="40" t="n">
        <x:v>0.02</x:v>
      </x:c>
      <x:c r="D271" s="2" t="str">
        <x:v>Rate</x:v>
      </x:c>
      <x:c r="E271" s="20"/>
      <x:c r="F271" s="20"/>
      <x:c r="G271" s="20"/>
      <x:c r="H271" s="40" t="str">
        <x:f>IF(D271="Rate",IF(COUNT(F271:G271)&lt;2,"",IF(G271=0,"n.a.",F271/G271)),IF(COUNT(E271)=0,"",E271))</x:f>
      </x:c>
      <x:c r="I271" s="40" t="str">
        <x:f>IF(AND(ISNUMBER(H271),ISNUMBER(C271)),H271-C271,"")</x:f>
      </x:c>
      <x:c r="J271" s="2" t="str">
        <x:v>%</x:v>
      </x:c>
      <x:c r="K271" s="2" t="str">
        <x:v>Kenneth</x:v>
      </x:c>
      <x:c r="L271" s="28" t="str"/>
      <x:c r="M271" s="20"/>
      <x:c r="N271" s="21"/>
      <x:c r="O271" s="26" t="str">
        <x:v>Unique emailed contacts that give a qualifying human reply / unique contacts emailed in the same send cohort. Exclude OOO, auto-replies, bounces and unsubscribe-only replies. Deduplicate contacts across sequence steps; zero denominator is N/A.</x:v>
      </x:c>
      <x:c r="P271" s="26" t="str">
        <x:v>PDF §10</x:v>
      </x:c>
      <x:c r="Q271" s="2" t="n">
        <x:f>IF(ISNUMBER(H271),1,0)</x:f>
        <x:v>0</x:v>
      </x:c>
    </x:row>
    <x:row r="272" ht="46" customHeight="1">
      <x:c r="A272" s="17" t="n">
        <x:v>46332</x:v>
      </x:c>
      <x:c r="B272" s="2" t="str">
        <x:v>Positive reply rate</x:v>
      </x:c>
      <x:c r="C272" s="40" t="n">
        <x:v>0.01</x:v>
      </x:c>
      <x:c r="D272" s="2" t="str">
        <x:v>Rate</x:v>
      </x:c>
      <x:c r="E272" s="20"/>
      <x:c r="F272" s="20"/>
      <x:c r="G272" s="20"/>
      <x:c r="H272" s="40" t="str">
        <x:f>IF(D272="Rate",IF(COUNT(F272:G272)&lt;2,"",IF(G272=0,"n.a.",F272/G272)),IF(COUNT(E272)=0,"",E272))</x:f>
      </x:c>
      <x:c r="I272" s="40" t="str">
        <x:f>IF(AND(ISNUMBER(H272),ISNUMBER(C272)),H272-C272,"")</x:f>
      </x:c>
      <x:c r="J272" s="2" t="str">
        <x:v>%</x:v>
      </x:c>
      <x:c r="K272" s="2" t="str">
        <x:v>Kenneth</x:v>
      </x:c>
      <x:c r="L272" s="28" t="str"/>
      <x:c r="M272" s="20"/>
      <x:c r="N272" s="21"/>
      <x:c r="O272" s="26" t="str">
        <x:v>Unique emailed contacts classified interested or relevant question / unique contacts emailed in the same send cohort. Deduplicate across sequence steps; zero denominator is N/A. Keep this email rate separate from all-channel qualified inquiries.</x:v>
      </x:c>
      <x:c r="P272" s="26" t="str">
        <x:v>PDF §10</x:v>
      </x:c>
      <x:c r="Q272" s="2" t="n">
        <x:f>IF(ISNUMBER(H272),1,0)</x:f>
        <x:v>0</x:v>
      </x:c>
    </x:row>
    <x:row r="273" ht="46" customHeight="1">
      <x:c r="A273" s="17" t="n">
        <x:v>46332</x:v>
      </x:c>
      <x:c r="B273" s="2" t="str">
        <x:v>Replies answered within 15 minutes</x:v>
      </x:c>
      <x:c r="C273" s="40" t="n">
        <x:v>1</x:v>
      </x:c>
      <x:c r="D273" s="2" t="str">
        <x:v>Rate</x:v>
      </x:c>
      <x:c r="E273" s="20"/>
      <x:c r="F273" s="20"/>
      <x:c r="G273" s="20"/>
      <x:c r="H273" s="40" t="str">
        <x:f>IF(D273="Rate",IF(COUNT(F273:G273)&lt;2,"",IF(G273=0,"n.a.",F273/G273)),IF(COUNT(E273)=0,"",E273))</x:f>
      </x:c>
      <x:c r="I273" s="40" t="str">
        <x:f>IF(AND(ISNUMBER(H273),ISNUMBER(C273)),H273-C273,"")</x:f>
      </x:c>
      <x:c r="J273" s="2" t="str">
        <x:v>%</x:v>
      </x:c>
      <x:c r="K273" s="2" t="str">
        <x:v>Nova</x:v>
      </x:c>
      <x:c r="L273" s="28" t="str"/>
      <x:c r="M273" s="20"/>
      <x:c r="N273" s="21"/>
      <x:c r="O273"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273" s="26" t="str">
        <x:v>PDF §9; clock convention clarified for tracker</x:v>
      </x:c>
      <x:c r="Q273" s="2" t="n">
        <x:f>IF(ISNUMBER(H273),1,0)</x:f>
        <x:v>0</x:v>
      </x:c>
    </x:row>
    <x:row r="274" ht="46" customHeight="1">
      <x:c r="A274" s="17" t="n">
        <x:v>46332</x:v>
      </x:c>
      <x:c r="B274" s="2" t="str">
        <x:v>Held rate</x:v>
      </x:c>
      <x:c r="C274" s="40" t="n">
        <x:v>0.7</x:v>
      </x:c>
      <x:c r="D274" s="2" t="str">
        <x:v>Rate</x:v>
      </x:c>
      <x:c r="E274" s="20"/>
      <x:c r="F274" s="20"/>
      <x:c r="G274" s="20"/>
      <x:c r="H274" s="40" t="str">
        <x:f>IF(D274="Rate",IF(COUNT(F274:G274)&lt;2,"",IF(G274=0,"n.a.",F274/G274)),IF(COUNT(E274)=0,"",E274))</x:f>
      </x:c>
      <x:c r="I274" s="40" t="str">
        <x:f>IF(AND(ISNUMBER(H274),ISNUMBER(C274)),H274-C274,"")</x:f>
      </x:c>
      <x:c r="J274" s="2" t="str">
        <x:v>%</x:v>
      </x:c>
      <x:c r="K274" s="2" t="str">
        <x:v>Nova</x:v>
      </x:c>
      <x:c r="L274" s="28" t="str"/>
      <x:c r="M274" s="20"/>
      <x:c r="N274" s="21"/>
      <x:c r="O274" s="26" t="str">
        <x:v>Qualified conversations actually held / unique booked conversations whose scheduled time has passed. Exclude upcoming appointments. Rebooking the same opportunity is not a second booking. A zero denominator is N/A.</x:v>
      </x:c>
      <x:c r="P274" s="26" t="str">
        <x:v>PDF §10; due-cohort denominator clarified</x:v>
      </x:c>
      <x:c r="Q274" s="2" t="n">
        <x:f>IF(ISNUMBER(H274),1,0)</x:f>
        <x:v>0</x:v>
      </x:c>
    </x:row>
    <x:row r="275" ht="46" customHeight="1">
      <x:c r="A275" s="17" t="n">
        <x:v>46332</x:v>
      </x:c>
      <x:c r="B275" s="2" t="str">
        <x:v>Positive-to-booked conversion</x:v>
      </x:c>
      <x:c r="C275" s="40" t="n">
        <x:v>0.5</x:v>
      </x:c>
      <x:c r="D275" s="2" t="str">
        <x:v>Rate</x:v>
      </x:c>
      <x:c r="E275" s="20"/>
      <x:c r="F275" s="20"/>
      <x:c r="G275" s="20"/>
      <x:c r="H275" s="40" t="str">
        <x:f>IF(D275="Rate",IF(COUNT(F275:G275)&lt;2,"",IF(G275=0,"n.a.",F275/G275)),IF(COUNT(E275)=0,"",E275))</x:f>
      </x:c>
      <x:c r="I275" s="40" t="str">
        <x:f>IF(AND(ISNUMBER(H275),ISNUMBER(C275)),H275-C275,"")</x:f>
      </x:c>
      <x:c r="J275" s="2" t="str">
        <x:v>%</x:v>
      </x:c>
      <x:c r="K275" s="2" t="str">
        <x:v>Nova</x:v>
      </x:c>
      <x:c r="L275" s="28" t="str"/>
      <x:c r="M275" s="20"/>
      <x:c r="N275" s="21"/>
      <x:c r="O275" s="26" t="str">
        <x:v>Unique email-positive opportunities booked / unique email-positive opportunities in the same reviewed cohort. Use a documented follow-up window. This differs from the all-channel 40-inquiry/20-booking planning assumption. A zero denominator is N/A.</x:v>
      </x:c>
      <x:c r="P275" s="26" t="str">
        <x:v>PDF §9</x:v>
      </x:c>
      <x:c r="Q275" s="2" t="n">
        <x:f>IF(ISNUMBER(H275),1,0)</x:f>
        <x:v>0</x:v>
      </x:c>
    </x:row>
    <x:row r="276" ht="46" customHeight="1">
      <x:c r="A276" s="17" t="n">
        <x:v>46332</x:v>
      </x:c>
      <x:c r="B276" s="2" t="str">
        <x:v>Existing-account referral asks</x:v>
      </x:c>
      <x:c r="C276" s="2" t="n">
        <x:v>15</x:v>
      </x:c>
      <x:c r="D276" s="2" t="str">
        <x:v>Cumulative total</x:v>
      </x:c>
      <x:c r="E276" s="20"/>
      <x:c r="F276" s="20"/>
      <x:c r="G276" s="20"/>
      <x:c r="H276" s="2" t="str">
        <x:f>IF(D276="Rate",IF(COUNT(F276:G276)&lt;2,"",IF(G276=0,"n.a.",F276/G276)),IF(COUNT(E276)=0,"",E276))</x:f>
      </x:c>
      <x:c r="I276" s="2" t="str">
        <x:f>IF(AND(ISNUMBER(H276),ISNUMBER(C276)),H276-C276,"")</x:f>
      </x:c>
      <x:c r="J276" s="2" t="str">
        <x:v>accounts asked</x:v>
      </x:c>
      <x:c r="K276" s="2" t="str">
        <x:v>Maseeha</x:v>
      </x:c>
      <x:c r="L276" s="28" t="str"/>
      <x:c r="M276" s="20"/>
      <x:c r="N276" s="21"/>
      <x:c r="O276" s="26" t="str">
        <x:v>Ask 25 unique A/B accounts (5 A and 20 B) by November 13; proposed pace 35 total by November 20; complete the remaining C accounts to reach 41 total by November 25. One introduction is the ask; asks and received intros are separate counts.</x:v>
      </x:c>
      <x:c r="P276" s="26" t="str">
        <x:v>PDF §16 supplies 25 A/B byNov 14 and 16 C byNov 25; Friday deadline and 35-byNov 20 pace are proposed scheduling allocations.</x:v>
      </x:c>
      <x:c r="Q276" s="2" t="n">
        <x:f>IF(ISNUMBER(H276),1,0)</x:f>
        <x:v>0</x:v>
      </x:c>
    </x:row>
    <x:row r="277" ht="46" customHeight="1">
      <x:c r="A277" s="17" t="n">
        <x:v>46332</x:v>
      </x:c>
      <x:c r="B277" s="2" t="str">
        <x:v>Approved SOPs</x:v>
      </x:c>
      <x:c r="C277" s="2"/>
      <x:c r="D277" s="2" t="str">
        <x:v>Cumulative total</x:v>
      </x:c>
      <x:c r="E277" s="20"/>
      <x:c r="F277" s="20"/>
      <x:c r="G277" s="20"/>
      <x:c r="H277" s="2" t="str">
        <x:f>IF(D277="Rate",IF(COUNT(F277:G277)&lt;2,"",IF(G277=0,"n.a.",F277/G277)),IF(COUNT(E277)=0,"",E277))</x:f>
      </x:c>
      <x:c r="I277" s="2" t="str">
        <x:f>IF(AND(ISNUMBER(H277),ISNUMBER(C277)),H277-C277,"")</x:f>
      </x:c>
      <x:c r="J277" s="2" t="str">
        <x:v>SOPs</x:v>
      </x:c>
      <x:c r="K277" s="2" t="str">
        <x:v>Wyline</x:v>
      </x:c>
      <x:c r="L277" s="28" t="str"/>
      <x:c r="M277" s="20"/>
      <x:c r="N277" s="21"/>
      <x:c r="O277" s="26" t="str">
        <x:v>10 core SOPs plus ADS-01 and SOC-01 additions; approved version and independent-run evidence required.</x:v>
      </x:c>
      <x:c r="P277" s="26" t="str">
        <x:v>PDF §8 with §§17 b–d additions</x:v>
      </x:c>
      <x:c r="Q277" s="2" t="n">
        <x:f>IF(ISNUMBER(H277),1,0)</x:f>
        <x:v>0</x:v>
      </x:c>
    </x:row>
    <x:row r="278" ht="46" customHeight="1">
      <x:c r="A278" s="17" t="n">
        <x:v>46332</x:v>
      </x:c>
      <x:c r="B278" s="2" t="str">
        <x:v>Accepted AI agents</x:v>
      </x:c>
      <x:c r="C278" s="2"/>
      <x:c r="D278" s="2" t="str">
        <x:v>Cumulative total</x:v>
      </x:c>
      <x:c r="E278" s="20"/>
      <x:c r="F278" s="20"/>
      <x:c r="G278" s="20"/>
      <x:c r="H278" s="2" t="str">
        <x:f>IF(D278="Rate",IF(COUNT(F278:G278)&lt;2,"",IF(G278=0,"n.a.",F278/G278)),IF(COUNT(E278)=0,"",E278))</x:f>
      </x:c>
      <x:c r="I278" s="2" t="str">
        <x:f>IF(AND(ISNUMBER(H278),ISNUMBER(C278)),H278-C278,"")</x:f>
      </x:c>
      <x:c r="J278" s="2" t="str">
        <x:v>agents</x:v>
      </x:c>
      <x:c r="K278" s="2" t="str">
        <x:v>Emman</x:v>
      </x:c>
      <x:c r="L278" s="28" t="str"/>
      <x:c r="M278" s="20"/>
      <x:c r="N278" s="21"/>
      <x:c r="O278" s="26" t="str">
        <x:v>Scout, Writer, Inbox, Phone Assist, LinkedIn Assist, Follow-up, Scoreboard and Client Reporter; acceptance evidence required.</x:v>
      </x:c>
      <x:c r="P278" s="26" t="str">
        <x:v>PDF §7</x:v>
      </x:c>
      <x:c r="Q278" s="2" t="n">
        <x:f>IF(ISNUMBER(H278),1,0)</x:f>
        <x:v>0</x:v>
      </x:c>
    </x:row>
    <x:row r="279" ht="46" customHeight="1">
      <x:c r="A279" s="17" t="n">
        <x:v>46333</x:v>
      </x:c>
      <x:c r="B279" s="2" t="str">
        <x:v>Qualified inquiries</x:v>
      </x:c>
      <x:c r="C279" s="2" t="n">
        <x:v>4</x:v>
      </x:c>
      <x:c r="D279" s="2" t="str">
        <x:v>Cumulative total</x:v>
      </x:c>
      <x:c r="E279" s="20"/>
      <x:c r="F279" s="20"/>
      <x:c r="G279" s="20"/>
      <x:c r="H279" s="2" t="str">
        <x:f>IF(D279="Rate",IF(COUNT(F279:G279)&lt;2,"",IF(G279=0,"n.a.",F279/G279)),IF(COUNT(E279)=0,"",E279))</x:f>
      </x:c>
      <x:c r="I279" s="2" t="str">
        <x:f>IF(AND(ISNUMBER(H279),ISNUMBER(C279)),H279-C279,"")</x:f>
      </x:c>
      <x:c r="J279" s="2" t="str">
        <x:v>inquiries</x:v>
      </x:c>
      <x:c r="K279" s="2" t="str">
        <x:v>Nova</x:v>
      </x:c>
      <x:c r="L279" s="28" t="str"/>
      <x:c r="M279" s="20"/>
      <x:c r="N279" s="21"/>
      <x:c r="O279" s="26" t="str">
        <x:v>Unique ICP-matched practices that express relevant interest, need or timing; Nova records practice type, decision-maker access, case volume, service need and readiness within 30–60 days. Raw records, opens and connection accepts do not qualify.</x:v>
      </x:c>
      <x:c r="P279" s="26" t="str">
        <x:v>Original proposal pages 2 and 4 define qualification; 40 by Dec 16 and intermediate pace are newly proposed recovery targets.</x:v>
      </x:c>
      <x:c r="Q279" s="2" t="n">
        <x:f>IF(ISNUMBER(H279),1,0)</x:f>
        <x:v>0</x:v>
      </x:c>
    </x:row>
    <x:row r="280" ht="46" customHeight="1">
      <x:c r="A280" s="17" t="n">
        <x:v>46333</x:v>
      </x:c>
      <x:c r="B280" s="2" t="str">
        <x:v>Qualified conversations booked</x:v>
      </x:c>
      <x:c r="C280" s="2" t="n">
        <x:v>2</x:v>
      </x:c>
      <x:c r="D280" s="2" t="str">
        <x:v>Cumulative total</x:v>
      </x:c>
      <x:c r="E280" s="20"/>
      <x:c r="F280" s="20"/>
      <x:c r="G280" s="20"/>
      <x:c r="H280" s="2" t="str">
        <x:f>IF(D280="Rate",IF(COUNT(F280:G280)&lt;2,"",IF(G280=0,"n.a.",F280/G280)),IF(COUNT(E280)=0,"",E280))</x:f>
      </x:c>
      <x:c r="I280" s="2" t="str">
        <x:f>IF(AND(ISNUMBER(H280),ISNUMBER(C280)),H280-C280,"")</x:f>
      </x:c>
      <x:c r="J280" s="2" t="str">
        <x:v>bookings</x:v>
      </x:c>
      <x:c r="K280" s="2" t="str">
        <x:v>Nova</x:v>
      </x:c>
      <x:c r="L280" s="28" t="str"/>
      <x:c r="M280" s="20"/>
      <x:c r="N280" s="21"/>
      <x:c r="O280" s="26" t="str">
        <x:v>Unique qualified calls/visits booked with Nic; rebooking same opportunity is not a new booking.</x:v>
      </x:c>
      <x:c r="P280" s="26" t="str">
        <x:v>PDF §10; final deadline advanced to user Dec 16</x:v>
      </x:c>
      <x:c r="Q280" s="2" t="n">
        <x:f>IF(ISNUMBER(H280),1,0)</x:f>
        <x:v>0</x:v>
      </x:c>
    </x:row>
    <x:row r="281" ht="46" customHeight="1">
      <x:c r="A281" s="17" t="n">
        <x:v>46333</x:v>
      </x:c>
      <x:c r="B281" s="2" t="str">
        <x:v>Qualified conversations held</x:v>
      </x:c>
      <x:c r="C281" s="2" t="n">
        <x:v>1</x:v>
      </x:c>
      <x:c r="D281" s="2" t="str">
        <x:v>Cumulative total</x:v>
      </x:c>
      <x:c r="E281" s="20"/>
      <x:c r="F281" s="20"/>
      <x:c r="G281" s="20"/>
      <x:c r="H281" s="2" t="str">
        <x:f>IF(D281="Rate",IF(COUNT(F281:G281)&lt;2,"",IF(G281=0,"n.a.",F281/G281)),IF(COUNT(E281)=0,"",E281))</x:f>
      </x:c>
      <x:c r="I281" s="2" t="str">
        <x:f>IF(AND(ISNUMBER(H281),ISNUMBER(C281)),H281-C281,"")</x:f>
      </x:c>
      <x:c r="J281" s="2" t="str">
        <x:v>held</x:v>
      </x:c>
      <x:c r="K281" s="2" t="str">
        <x:v>Nova</x:v>
      </x:c>
      <x:c r="L281" s="28" t="str"/>
      <x:c r="M281" s="20"/>
      <x:c r="N281" s="21"/>
      <x:c r="O281" s="26" t="str">
        <x:v>Completed qualified calls/visits; 6 and 15 are integer planning proxies for 70% of 8 and 75% of 20.</x:v>
      </x:c>
      <x:c r="P281" s="26" t="str">
        <x:v>Derived from source held-rate targets</x:v>
      </x:c>
      <x:c r="Q281" s="2" t="n">
        <x:f>IF(ISNUMBER(H281),1,0)</x:f>
        <x:v>0</x:v>
      </x:c>
    </x:row>
    <x:row r="282" ht="46" customHeight="1">
      <x:c r="A282" s="17" t="n">
        <x:v>46333</x:v>
      </x:c>
      <x:c r="B282" s="2" t="str">
        <x:v>Trial cases received by DSI</x:v>
      </x:c>
      <x:c r="C282" s="2" t="n">
        <x:v>0</x:v>
      </x:c>
      <x:c r="D282" s="2" t="str">
        <x:v>Cumulative total</x:v>
      </x:c>
      <x:c r="E282" s="20"/>
      <x:c r="F282" s="20"/>
      <x:c r="G282" s="20"/>
      <x:c r="H282" s="2" t="str">
        <x:f>IF(D282="Rate",IF(COUNT(F282:G282)&lt;2,"",IF(G282=0,"n.a.",F282/G282)),IF(COUNT(E282)=0,"",E282))</x:f>
      </x:c>
      <x:c r="I282" s="2" t="str">
        <x:f>IF(AND(ISNUMBER(H282),ISNUMBER(C282)),H282-C282,"")</x:f>
      </x:c>
      <x:c r="J282" s="2" t="str">
        <x:v>trials</x:v>
      </x:c>
      <x:c r="K282" s="2" t="str">
        <x:v>Maseeha</x:v>
      </x:c>
      <x:c r="L282" s="28" t="str"/>
      <x:c r="M282" s="20"/>
      <x:c r="N282" s="21"/>
      <x:c r="O282" s="26" t="str">
        <x:v>Practice’s first trial case received by DSI, not merely promised or shipped; subject to Maseeha capacity.</x:v>
      </x:c>
      <x:c r="P282" s="26" t="str">
        <x:v>PDF §10; final deadline advanced to user Dec 16</x:v>
      </x:c>
      <x:c r="Q282" s="2" t="n">
        <x:f>IF(ISNUMBER(H282),1,0)</x:f>
        <x:v>0</x:v>
      </x:c>
    </x:row>
    <x:row r="283" ht="46" customHeight="1">
      <x:c r="A283" s="17" t="n">
        <x:v>46333</x:v>
      </x:c>
      <x:c r="B283" s="2" t="str">
        <x:v>Recurring accounts signed</x:v>
      </x:c>
      <x:c r="C283" s="2"/>
      <x:c r="D283" s="2" t="str">
        <x:v>Cumulative total</x:v>
      </x:c>
      <x:c r="E283" s="20"/>
      <x:c r="F283" s="20"/>
      <x:c r="G283" s="20"/>
      <x:c r="H283" s="2" t="str">
        <x:f>IF(D283="Rate",IF(COUNT(F283:G283)&lt;2,"",IF(G283=0,"n.a.",F283/G283)),IF(COUNT(E283)=0,"",E283))</x:f>
      </x:c>
      <x:c r="I283" s="2" t="str">
        <x:f>IF(AND(ISNUMBER(H283),ISNUMBER(C283)),H283-C283,"")</x:f>
      </x:c>
      <x:c r="J283" s="2" t="str">
        <x:v>accounts</x:v>
      </x:c>
      <x:c r="K283" s="2" t="str">
        <x:v>Nic</x:v>
      </x:c>
      <x:c r="L283" s="28" t="str"/>
      <x:c r="M283" s="20"/>
      <x:c r="N283" s="21"/>
      <x:c r="O283" s="26" t="str">
        <x:v>Plan signed following Day-30 review; only mature trial cohorts eligible. 1–3 is a conditional range.</x:v>
      </x:c>
      <x:c r="P283" s="26" t="str">
        <x:v>PDF §10</x:v>
      </x:c>
      <x:c r="Q283" s="2" t="n">
        <x:f>IF(ISNUMBER(H283),1,0)</x:f>
        <x:v>0</x:v>
      </x:c>
    </x:row>
    <x:row r="284" ht="46" customHeight="1">
      <x:c r="A284" s="17" t="n">
        <x:v>46333</x:v>
      </x:c>
      <x:c r="B284" s="2" t="str">
        <x:v>Referral-sourced bookings</x:v>
      </x:c>
      <x:c r="C284" s="2" t="n">
        <x:v>1</x:v>
      </x:c>
      <x:c r="D284" s="2" t="str">
        <x:v>Cumulative total</x:v>
      </x:c>
      <x:c r="E284" s="20"/>
      <x:c r="F284" s="20"/>
      <x:c r="G284" s="20"/>
      <x:c r="H284" s="2" t="str">
        <x:f>IF(D284="Rate",IF(COUNT(F284:G284)&lt;2,"",IF(G284=0,"n.a.",F284/G284)),IF(COUNT(E284)=0,"",E284))</x:f>
      </x:c>
      <x:c r="I284" s="2" t="str">
        <x:f>IF(AND(ISNUMBER(H284),ISNUMBER(C284)),H284-C284,"")</x:f>
      </x:c>
      <x:c r="J284" s="2" t="str">
        <x:v>bookings</x:v>
      </x:c>
      <x:c r="K284" s="2" t="str">
        <x:v>Nova</x:v>
      </x:c>
      <x:c r="L284" s="28" t="str"/>
      <x:c r="M284" s="20"/>
      <x:c r="N284" s="21"/>
      <x:c r="O284" s="26" t="str">
        <x:v>Subset of booked total with primary Source=Referral; never added on top of all-channel bookings.</x:v>
      </x:c>
      <x:c r="P284" s="26" t="str">
        <x:v>PDF §§10, 16</x:v>
      </x:c>
      <x:c r="Q284" s="2" t="n">
        <x:f>IF(ISNUMBER(H284),1,0)</x:f>
        <x:v>0</x:v>
      </x:c>
    </x:row>
    <x:row r="285" ht="46" customHeight="1">
      <x:c r="A285" s="17" t="n">
        <x:v>46333</x:v>
      </x:c>
      <x:c r="B285" s="2" t="str">
        <x:v>LinkedIn DM-sourced bookings</x:v>
      </x:c>
      <x:c r="C285" s="2" t="n">
        <x:v>1</x:v>
      </x:c>
      <x:c r="D285" s="2" t="str">
        <x:v>Cumulative total</x:v>
      </x:c>
      <x:c r="E285" s="20"/>
      <x:c r="F285" s="20"/>
      <x:c r="G285" s="20"/>
      <x:c r="H285" s="2" t="str">
        <x:f>IF(D285="Rate",IF(COUNT(F285:G285)&lt;2,"",IF(G285=0,"n.a.",F285/G285)),IF(COUNT(E285)=0,"",E285))</x:f>
      </x:c>
      <x:c r="I285" s="2" t="str">
        <x:f>IF(AND(ISNUMBER(H285),ISNUMBER(C285)),H285-C285,"")</x:f>
      </x:c>
      <x:c r="J285" s="2" t="str">
        <x:v>bookings</x:v>
      </x:c>
      <x:c r="K285" s="2" t="str">
        <x:v>Dexter</x:v>
      </x:c>
      <x:c r="L285" s="28" t="str"/>
      <x:c r="M285" s="20"/>
      <x:c r="N285" s="21"/>
      <x:c r="O285" s="26" t="str">
        <x:v>Subset of booked total with primary Source=LinkedIn DM; assists tracked separately.</x:v>
      </x:c>
      <x:c r="P285" s="26" t="str">
        <x:v>PDF §§10, 17 a</x:v>
      </x:c>
      <x:c r="Q285" s="2" t="n">
        <x:f>IF(ISNUMBER(H285),1,0)</x:f>
        <x:v>0</x:v>
      </x:c>
    </x:row>
    <x:row r="286" ht="46" customHeight="1">
      <x:c r="A286" s="17" t="n">
        <x:v>46333</x:v>
      </x:c>
      <x:c r="B286" s="2" t="str">
        <x:v>Verified contacts ready</x:v>
      </x:c>
      <x:c r="C286" s="2" t="n">
        <x:v>500</x:v>
      </x:c>
      <x:c r="D286" s="2" t="str">
        <x:v>Cumulative total</x:v>
      </x:c>
      <x:c r="E286" s="20"/>
      <x:c r="F286" s="20"/>
      <x:c r="G286" s="20"/>
      <x:c r="H286" s="2" t="str">
        <x:f>IF(D286="Rate",IF(COUNT(F286:G286)&lt;2,"",IF(G286=0,"n.a.",F286/G286)),IF(COUNT(E286)=0,"",E286))</x:f>
      </x:c>
      <x:c r="I286" s="2" t="str">
        <x:f>IF(AND(ISNUMBER(H286),ISNUMBER(C286)),H286-C286,"")</x:f>
      </x:c>
      <x:c r="J286" s="2" t="str">
        <x:v>contacts</x:v>
      </x:c>
      <x:c r="K286" s="2" t="str">
        <x:v>Joey</x:v>
      </x:c>
      <x:c r="L286" s="28" t="str"/>
      <x:c r="M286" s="20"/>
      <x:c r="N286" s="21"/>
      <x:c r="O286" s="26" t="str">
        <x:v>Unique contacts passing Scout and loaded in CQL; count once per contact.</x:v>
      </x:c>
      <x:c r="P286" s="26" t="str">
        <x:v>PDF §§10, 14; 750 due Dec 12 moved to Fri Dec 11</x:v>
      </x:c>
      <x:c r="Q286" s="2" t="n">
        <x:f>IF(ISNUMBER(H286),1,0)</x:f>
        <x:v>0</x:v>
      </x:c>
    </x:row>
    <x:row r="287" ht="46" customHeight="1">
      <x:c r="A287" s="17" t="n">
        <x:v>46333</x:v>
      </x:c>
      <x:c r="B287" s="2" t="str">
        <x:v>Permission-based referral introductions</x:v>
      </x:c>
      <x:c r="C287" s="2" t="n">
        <x:v>3</x:v>
      </x:c>
      <x:c r="D287" s="2" t="str">
        <x:v>Cumulative total</x:v>
      </x:c>
      <x:c r="E287" s="20"/>
      <x:c r="F287" s="20"/>
      <x:c r="G287" s="20"/>
      <x:c r="H287" s="2" t="str">
        <x:f>IF(D287="Rate",IF(COUNT(F287:G287)&lt;2,"",IF(G287=0,"n.a.",F287/G287)),IF(COUNT(E287)=0,"",E287))</x:f>
      </x:c>
      <x:c r="I287" s="2" t="str">
        <x:f>IF(AND(ISNUMBER(H287),ISNUMBER(C287)),H287-C287,"")</x:f>
      </x:c>
      <x:c r="J287" s="2" t="str">
        <x:v>introductions</x:v>
      </x:c>
      <x:c r="K287" s="2" t="str">
        <x:v>Maseeha</x:v>
      </x:c>
      <x:c r="L287" s="28" t="str"/>
      <x:c r="M287" s="20"/>
      <x:c r="N287" s="21"/>
      <x:c r="O287" s="26" t="str">
        <x:v>Unique introductions with consent and referrer recorded, verified by Maseeha within 2 business days.</x:v>
      </x:c>
      <x:c r="P287" s="26" t="str">
        <x:v>PDF §§10, 16</x:v>
      </x:c>
      <x:c r="Q287" s="2" t="n">
        <x:f>IF(ISNUMBER(H287),1,0)</x:f>
        <x:v>0</x:v>
      </x:c>
    </x:row>
    <x:row r="288" ht="46" customHeight="1">
      <x:c r="A288" s="17" t="n">
        <x:v>46333</x:v>
      </x:c>
      <x:c r="B288" s="2" t="str">
        <x:v>Human reply rate</x:v>
      </x:c>
      <x:c r="C288" s="40" t="n">
        <x:v>0.02</x:v>
      </x:c>
      <x:c r="D288" s="2" t="str">
        <x:v>Rate</x:v>
      </x:c>
      <x:c r="E288" s="20"/>
      <x:c r="F288" s="20"/>
      <x:c r="G288" s="20"/>
      <x:c r="H288" s="40" t="str">
        <x:f>IF(D288="Rate",IF(COUNT(F288:G288)&lt;2,"",IF(G288=0,"n.a.",F288/G288)),IF(COUNT(E288)=0,"",E288))</x:f>
      </x:c>
      <x:c r="I288" s="40" t="str">
        <x:f>IF(AND(ISNUMBER(H288),ISNUMBER(C288)),H288-C288,"")</x:f>
      </x:c>
      <x:c r="J288" s="2" t="str">
        <x:v>%</x:v>
      </x:c>
      <x:c r="K288" s="2" t="str">
        <x:v>Kenneth</x:v>
      </x:c>
      <x:c r="L288" s="28" t="str"/>
      <x:c r="M288" s="20"/>
      <x:c r="N288" s="21"/>
      <x:c r="O288" s="26" t="str">
        <x:v>Unique emailed contacts that give a qualifying human reply / unique contacts emailed in the same send cohort. Exclude OOO, auto-replies, bounces and unsubscribe-only replies. Deduplicate contacts across sequence steps; zero denominator is N/A.</x:v>
      </x:c>
      <x:c r="P288" s="26" t="str">
        <x:v>PDF §10</x:v>
      </x:c>
      <x:c r="Q288" s="2" t="n">
        <x:f>IF(ISNUMBER(H288),1,0)</x:f>
        <x:v>0</x:v>
      </x:c>
    </x:row>
    <x:row r="289" ht="46" customHeight="1">
      <x:c r="A289" s="17" t="n">
        <x:v>46333</x:v>
      </x:c>
      <x:c r="B289" s="2" t="str">
        <x:v>Positive reply rate</x:v>
      </x:c>
      <x:c r="C289" s="40" t="n">
        <x:v>0.01</x:v>
      </x:c>
      <x:c r="D289" s="2" t="str">
        <x:v>Rate</x:v>
      </x:c>
      <x:c r="E289" s="20"/>
      <x:c r="F289" s="20"/>
      <x:c r="G289" s="20"/>
      <x:c r="H289" s="40" t="str">
        <x:f>IF(D289="Rate",IF(COUNT(F289:G289)&lt;2,"",IF(G289=0,"n.a.",F289/G289)),IF(COUNT(E289)=0,"",E289))</x:f>
      </x:c>
      <x:c r="I289" s="40" t="str">
        <x:f>IF(AND(ISNUMBER(H289),ISNUMBER(C289)),H289-C289,"")</x:f>
      </x:c>
      <x:c r="J289" s="2" t="str">
        <x:v>%</x:v>
      </x:c>
      <x:c r="K289" s="2" t="str">
        <x:v>Kenneth</x:v>
      </x:c>
      <x:c r="L289" s="28" t="str"/>
      <x:c r="M289" s="20"/>
      <x:c r="N289" s="21"/>
      <x:c r="O289" s="26" t="str">
        <x:v>Unique emailed contacts classified interested or relevant question / unique contacts emailed in the same send cohort. Deduplicate across sequence steps; zero denominator is N/A. Keep this email rate separate from all-channel qualified inquiries.</x:v>
      </x:c>
      <x:c r="P289" s="26" t="str">
        <x:v>PDF §10</x:v>
      </x:c>
      <x:c r="Q289" s="2" t="n">
        <x:f>IF(ISNUMBER(H289),1,0)</x:f>
        <x:v>0</x:v>
      </x:c>
    </x:row>
    <x:row r="290" ht="46" customHeight="1">
      <x:c r="A290" s="17" t="n">
        <x:v>46333</x:v>
      </x:c>
      <x:c r="B290" s="2" t="str">
        <x:v>Replies answered within 15 minutes</x:v>
      </x:c>
      <x:c r="C290" s="40" t="n">
        <x:v>1</x:v>
      </x:c>
      <x:c r="D290" s="2" t="str">
        <x:v>Rate</x:v>
      </x:c>
      <x:c r="E290" s="20"/>
      <x:c r="F290" s="20"/>
      <x:c r="G290" s="20"/>
      <x:c r="H290" s="40" t="str">
        <x:f>IF(D290="Rate",IF(COUNT(F290:G290)&lt;2,"",IF(G290=0,"n.a.",F290/G290)),IF(COUNT(E290)=0,"",E290))</x:f>
      </x:c>
      <x:c r="I290" s="40" t="str">
        <x:f>IF(AND(ISNUMBER(H290),ISNUMBER(C290)),H290-C290,"")</x:f>
      </x:c>
      <x:c r="J290" s="2" t="str">
        <x:v>%</x:v>
      </x:c>
      <x:c r="K290" s="2" t="str">
        <x:v>Nova</x:v>
      </x:c>
      <x:c r="L290" s="28" t="str"/>
      <x:c r="M290" s="20"/>
      <x:c r="N290" s="21"/>
      <x:c r="O290"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290" s="26" t="str">
        <x:v>PDF §9; clock convention clarified for tracker</x:v>
      </x:c>
      <x:c r="Q290" s="2" t="n">
        <x:f>IF(ISNUMBER(H290),1,0)</x:f>
        <x:v>0</x:v>
      </x:c>
    </x:row>
    <x:row r="291" ht="46" customHeight="1">
      <x:c r="A291" s="17" t="n">
        <x:v>46333</x:v>
      </x:c>
      <x:c r="B291" s="2" t="str">
        <x:v>Held rate</x:v>
      </x:c>
      <x:c r="C291" s="40" t="n">
        <x:v>0.7</x:v>
      </x:c>
      <x:c r="D291" s="2" t="str">
        <x:v>Rate</x:v>
      </x:c>
      <x:c r="E291" s="20"/>
      <x:c r="F291" s="20"/>
      <x:c r="G291" s="20"/>
      <x:c r="H291" s="40" t="str">
        <x:f>IF(D291="Rate",IF(COUNT(F291:G291)&lt;2,"",IF(G291=0,"n.a.",F291/G291)),IF(COUNT(E291)=0,"",E291))</x:f>
      </x:c>
      <x:c r="I291" s="40" t="str">
        <x:f>IF(AND(ISNUMBER(H291),ISNUMBER(C291)),H291-C291,"")</x:f>
      </x:c>
      <x:c r="J291" s="2" t="str">
        <x:v>%</x:v>
      </x:c>
      <x:c r="K291" s="2" t="str">
        <x:v>Nova</x:v>
      </x:c>
      <x:c r="L291" s="28" t="str"/>
      <x:c r="M291" s="20"/>
      <x:c r="N291" s="21"/>
      <x:c r="O291" s="26" t="str">
        <x:v>Qualified conversations actually held / unique booked conversations whose scheduled time has passed. Exclude upcoming appointments. Rebooking the same opportunity is not a second booking. A zero denominator is N/A.</x:v>
      </x:c>
      <x:c r="P291" s="26" t="str">
        <x:v>PDF §10; due-cohort denominator clarified</x:v>
      </x:c>
      <x:c r="Q291" s="2" t="n">
        <x:f>IF(ISNUMBER(H291),1,0)</x:f>
        <x:v>0</x:v>
      </x:c>
    </x:row>
    <x:row r="292" ht="46" customHeight="1">
      <x:c r="A292" s="17" t="n">
        <x:v>46333</x:v>
      </x:c>
      <x:c r="B292" s="2" t="str">
        <x:v>Positive-to-booked conversion</x:v>
      </x:c>
      <x:c r="C292" s="40" t="n">
        <x:v>0.5</x:v>
      </x:c>
      <x:c r="D292" s="2" t="str">
        <x:v>Rate</x:v>
      </x:c>
      <x:c r="E292" s="20"/>
      <x:c r="F292" s="20"/>
      <x:c r="G292" s="20"/>
      <x:c r="H292" s="40" t="str">
        <x:f>IF(D292="Rate",IF(COUNT(F292:G292)&lt;2,"",IF(G292=0,"n.a.",F292/G292)),IF(COUNT(E292)=0,"",E292))</x:f>
      </x:c>
      <x:c r="I292" s="40" t="str">
        <x:f>IF(AND(ISNUMBER(H292),ISNUMBER(C292)),H292-C292,"")</x:f>
      </x:c>
      <x:c r="J292" s="2" t="str">
        <x:v>%</x:v>
      </x:c>
      <x:c r="K292" s="2" t="str">
        <x:v>Nova</x:v>
      </x:c>
      <x:c r="L292" s="28" t="str"/>
      <x:c r="M292" s="20"/>
      <x:c r="N292" s="21"/>
      <x:c r="O292" s="26" t="str">
        <x:v>Unique email-positive opportunities booked / unique email-positive opportunities in the same reviewed cohort. Use a documented follow-up window. This differs from the all-channel 40-inquiry/20-booking planning assumption. A zero denominator is N/A.</x:v>
      </x:c>
      <x:c r="P292" s="26" t="str">
        <x:v>PDF §9</x:v>
      </x:c>
      <x:c r="Q292" s="2" t="n">
        <x:f>IF(ISNUMBER(H292),1,0)</x:f>
        <x:v>0</x:v>
      </x:c>
    </x:row>
    <x:row r="293" ht="46" customHeight="1">
      <x:c r="A293" s="17" t="n">
        <x:v>46333</x:v>
      </x:c>
      <x:c r="B293" s="2" t="str">
        <x:v>Existing-account referral asks</x:v>
      </x:c>
      <x:c r="C293" s="2" t="n">
        <x:v>15</x:v>
      </x:c>
      <x:c r="D293" s="2" t="str">
        <x:v>Cumulative total</x:v>
      </x:c>
      <x:c r="E293" s="20"/>
      <x:c r="F293" s="20"/>
      <x:c r="G293" s="20"/>
      <x:c r="H293" s="2" t="str">
        <x:f>IF(D293="Rate",IF(COUNT(F293:G293)&lt;2,"",IF(G293=0,"n.a.",F293/G293)),IF(COUNT(E293)=0,"",E293))</x:f>
      </x:c>
      <x:c r="I293" s="2" t="str">
        <x:f>IF(AND(ISNUMBER(H293),ISNUMBER(C293)),H293-C293,"")</x:f>
      </x:c>
      <x:c r="J293" s="2" t="str">
        <x:v>accounts asked</x:v>
      </x:c>
      <x:c r="K293" s="2" t="str">
        <x:v>Maseeha</x:v>
      </x:c>
      <x:c r="L293" s="28" t="str"/>
      <x:c r="M293" s="20"/>
      <x:c r="N293" s="21"/>
      <x:c r="O293" s="26" t="str">
        <x:v>Ask 25 unique A/B accounts (5 A and 20 B) by November 13; proposed pace 35 total by November 20; complete the remaining C accounts to reach 41 total by November 25. One introduction is the ask; asks and received intros are separate counts.</x:v>
      </x:c>
      <x:c r="P293" s="26" t="str">
        <x:v>PDF §16 supplies 25 A/B byNov 14 and 16 C byNov 25; Friday deadline and 35-byNov 20 pace are proposed scheduling allocations.</x:v>
      </x:c>
      <x:c r="Q293" s="2" t="n">
        <x:f>IF(ISNUMBER(H293),1,0)</x:f>
        <x:v>0</x:v>
      </x:c>
    </x:row>
    <x:row r="294" ht="46" customHeight="1">
      <x:c r="A294" s="17" t="n">
        <x:v>46333</x:v>
      </x:c>
      <x:c r="B294" s="2" t="str">
        <x:v>Approved SOPs</x:v>
      </x:c>
      <x:c r="C294" s="2"/>
      <x:c r="D294" s="2" t="str">
        <x:v>Cumulative total</x:v>
      </x:c>
      <x:c r="E294" s="20"/>
      <x:c r="F294" s="20"/>
      <x:c r="G294" s="20"/>
      <x:c r="H294" s="2" t="str">
        <x:f>IF(D294="Rate",IF(COUNT(F294:G294)&lt;2,"",IF(G294=0,"n.a.",F294/G294)),IF(COUNT(E294)=0,"",E294))</x:f>
      </x:c>
      <x:c r="I294" s="2" t="str">
        <x:f>IF(AND(ISNUMBER(H294),ISNUMBER(C294)),H294-C294,"")</x:f>
      </x:c>
      <x:c r="J294" s="2" t="str">
        <x:v>SOPs</x:v>
      </x:c>
      <x:c r="K294" s="2" t="str">
        <x:v>Wyline</x:v>
      </x:c>
      <x:c r="L294" s="28" t="str"/>
      <x:c r="M294" s="20"/>
      <x:c r="N294" s="21"/>
      <x:c r="O294" s="26" t="str">
        <x:v>10 core SOPs plus ADS-01 and SOC-01 additions; approved version and independent-run evidence required.</x:v>
      </x:c>
      <x:c r="P294" s="26" t="str">
        <x:v>PDF §8 with §§17 b–d additions</x:v>
      </x:c>
      <x:c r="Q294" s="2" t="n">
        <x:f>IF(ISNUMBER(H294),1,0)</x:f>
        <x:v>0</x:v>
      </x:c>
    </x:row>
    <x:row r="295" ht="46" customHeight="1">
      <x:c r="A295" s="17" t="n">
        <x:v>46333</x:v>
      </x:c>
      <x:c r="B295" s="2" t="str">
        <x:v>Accepted AI agents</x:v>
      </x:c>
      <x:c r="C295" s="2"/>
      <x:c r="D295" s="2" t="str">
        <x:v>Cumulative total</x:v>
      </x:c>
      <x:c r="E295" s="20"/>
      <x:c r="F295" s="20"/>
      <x:c r="G295" s="20"/>
      <x:c r="H295" s="2" t="str">
        <x:f>IF(D295="Rate",IF(COUNT(F295:G295)&lt;2,"",IF(G295=0,"n.a.",F295/G295)),IF(COUNT(E295)=0,"",E295))</x:f>
      </x:c>
      <x:c r="I295" s="2" t="str">
        <x:f>IF(AND(ISNUMBER(H295),ISNUMBER(C295)),H295-C295,"")</x:f>
      </x:c>
      <x:c r="J295" s="2" t="str">
        <x:v>agents</x:v>
      </x:c>
      <x:c r="K295" s="2" t="str">
        <x:v>Emman</x:v>
      </x:c>
      <x:c r="L295" s="28" t="str"/>
      <x:c r="M295" s="20"/>
      <x:c r="N295" s="21"/>
      <x:c r="O295" s="26" t="str">
        <x:v>Scout, Writer, Inbox, Phone Assist, LinkedIn Assist, Follow-up, Scoreboard and Client Reporter; acceptance evidence required.</x:v>
      </x:c>
      <x:c r="P295" s="26" t="str">
        <x:v>PDF §7</x:v>
      </x:c>
      <x:c r="Q295" s="2" t="n">
        <x:f>IF(ISNUMBER(H295),1,0)</x:f>
        <x:v>0</x:v>
      </x:c>
    </x:row>
    <x:row r="296" ht="46" customHeight="1">
      <x:c r="A296" s="17" t="n">
        <x:v>46334</x:v>
      </x:c>
      <x:c r="B296" s="2" t="str">
        <x:v>Qualified inquiries</x:v>
      </x:c>
      <x:c r="C296" s="2" t="n">
        <x:v>4</x:v>
      </x:c>
      <x:c r="D296" s="2" t="str">
        <x:v>Cumulative total</x:v>
      </x:c>
      <x:c r="E296" s="20"/>
      <x:c r="F296" s="20"/>
      <x:c r="G296" s="20"/>
      <x:c r="H296" s="2" t="str">
        <x:f>IF(D296="Rate",IF(COUNT(F296:G296)&lt;2,"",IF(G296=0,"n.a.",F296/G296)),IF(COUNT(E296)=0,"",E296))</x:f>
      </x:c>
      <x:c r="I296" s="2" t="str">
        <x:f>IF(AND(ISNUMBER(H296),ISNUMBER(C296)),H296-C296,"")</x:f>
      </x:c>
      <x:c r="J296" s="2" t="str">
        <x:v>inquiries</x:v>
      </x:c>
      <x:c r="K296" s="2" t="str">
        <x:v>Nova</x:v>
      </x:c>
      <x:c r="L296" s="28" t="str"/>
      <x:c r="M296" s="20"/>
      <x:c r="N296" s="21"/>
      <x:c r="O296" s="26" t="str">
        <x:v>Unique ICP-matched practices that express relevant interest, need or timing; Nova records practice type, decision-maker access, case volume, service need and readiness within 30–60 days. Raw records, opens and connection accepts do not qualify.</x:v>
      </x:c>
      <x:c r="P296" s="26" t="str">
        <x:v>Original proposal pages 2 and 4 define qualification; 40 by Dec 16 and intermediate pace are newly proposed recovery targets.</x:v>
      </x:c>
      <x:c r="Q296" s="2" t="n">
        <x:f>IF(ISNUMBER(H296),1,0)</x:f>
        <x:v>0</x:v>
      </x:c>
    </x:row>
    <x:row r="297" ht="46" customHeight="1">
      <x:c r="A297" s="17" t="n">
        <x:v>46334</x:v>
      </x:c>
      <x:c r="B297" s="2" t="str">
        <x:v>Qualified conversations booked</x:v>
      </x:c>
      <x:c r="C297" s="2" t="n">
        <x:v>2</x:v>
      </x:c>
      <x:c r="D297" s="2" t="str">
        <x:v>Cumulative total</x:v>
      </x:c>
      <x:c r="E297" s="20"/>
      <x:c r="F297" s="20"/>
      <x:c r="G297" s="20"/>
      <x:c r="H297" s="2" t="str">
        <x:f>IF(D297="Rate",IF(COUNT(F297:G297)&lt;2,"",IF(G297=0,"n.a.",F297/G297)),IF(COUNT(E297)=0,"",E297))</x:f>
      </x:c>
      <x:c r="I297" s="2" t="str">
        <x:f>IF(AND(ISNUMBER(H297),ISNUMBER(C297)),H297-C297,"")</x:f>
      </x:c>
      <x:c r="J297" s="2" t="str">
        <x:v>bookings</x:v>
      </x:c>
      <x:c r="K297" s="2" t="str">
        <x:v>Nova</x:v>
      </x:c>
      <x:c r="L297" s="28" t="str"/>
      <x:c r="M297" s="20"/>
      <x:c r="N297" s="21"/>
      <x:c r="O297" s="26" t="str">
        <x:v>Unique qualified calls/visits booked with Nic; rebooking same opportunity is not a new booking.</x:v>
      </x:c>
      <x:c r="P297" s="26" t="str">
        <x:v>PDF §10; final deadline advanced to user Dec 16</x:v>
      </x:c>
      <x:c r="Q297" s="2" t="n">
        <x:f>IF(ISNUMBER(H297),1,0)</x:f>
        <x:v>0</x:v>
      </x:c>
    </x:row>
    <x:row r="298" ht="46" customHeight="1">
      <x:c r="A298" s="17" t="n">
        <x:v>46334</x:v>
      </x:c>
      <x:c r="B298" s="2" t="str">
        <x:v>Qualified conversations held</x:v>
      </x:c>
      <x:c r="C298" s="2" t="n">
        <x:v>1</x:v>
      </x:c>
      <x:c r="D298" s="2" t="str">
        <x:v>Cumulative total</x:v>
      </x:c>
      <x:c r="E298" s="20"/>
      <x:c r="F298" s="20"/>
      <x:c r="G298" s="20"/>
      <x:c r="H298" s="2" t="str">
        <x:f>IF(D298="Rate",IF(COUNT(F298:G298)&lt;2,"",IF(G298=0,"n.a.",F298/G298)),IF(COUNT(E298)=0,"",E298))</x:f>
      </x:c>
      <x:c r="I298" s="2" t="str">
        <x:f>IF(AND(ISNUMBER(H298),ISNUMBER(C298)),H298-C298,"")</x:f>
      </x:c>
      <x:c r="J298" s="2" t="str">
        <x:v>held</x:v>
      </x:c>
      <x:c r="K298" s="2" t="str">
        <x:v>Nova</x:v>
      </x:c>
      <x:c r="L298" s="28" t="str"/>
      <x:c r="M298" s="20"/>
      <x:c r="N298" s="21"/>
      <x:c r="O298" s="26" t="str">
        <x:v>Completed qualified calls/visits; 6 and 15 are integer planning proxies for 70% of 8 and 75% of 20.</x:v>
      </x:c>
      <x:c r="P298" s="26" t="str">
        <x:v>Derived from source held-rate targets</x:v>
      </x:c>
      <x:c r="Q298" s="2" t="n">
        <x:f>IF(ISNUMBER(H298),1,0)</x:f>
        <x:v>0</x:v>
      </x:c>
    </x:row>
    <x:row r="299" ht="46" customHeight="1">
      <x:c r="A299" s="17" t="n">
        <x:v>46334</x:v>
      </x:c>
      <x:c r="B299" s="2" t="str">
        <x:v>Trial cases received by DSI</x:v>
      </x:c>
      <x:c r="C299" s="2" t="n">
        <x:v>0</x:v>
      </x:c>
      <x:c r="D299" s="2" t="str">
        <x:v>Cumulative total</x:v>
      </x:c>
      <x:c r="E299" s="20"/>
      <x:c r="F299" s="20"/>
      <x:c r="G299" s="20"/>
      <x:c r="H299" s="2" t="str">
        <x:f>IF(D299="Rate",IF(COUNT(F299:G299)&lt;2,"",IF(G299=0,"n.a.",F299/G299)),IF(COUNT(E299)=0,"",E299))</x:f>
      </x:c>
      <x:c r="I299" s="2" t="str">
        <x:f>IF(AND(ISNUMBER(H299),ISNUMBER(C299)),H299-C299,"")</x:f>
      </x:c>
      <x:c r="J299" s="2" t="str">
        <x:v>trials</x:v>
      </x:c>
      <x:c r="K299" s="2" t="str">
        <x:v>Maseeha</x:v>
      </x:c>
      <x:c r="L299" s="28" t="str"/>
      <x:c r="M299" s="20"/>
      <x:c r="N299" s="21"/>
      <x:c r="O299" s="26" t="str">
        <x:v>Practice’s first trial case received by DSI, not merely promised or shipped; subject to Maseeha capacity.</x:v>
      </x:c>
      <x:c r="P299" s="26" t="str">
        <x:v>PDF §10; final deadline advanced to user Dec 16</x:v>
      </x:c>
      <x:c r="Q299" s="2" t="n">
        <x:f>IF(ISNUMBER(H299),1,0)</x:f>
        <x:v>0</x:v>
      </x:c>
    </x:row>
    <x:row r="300" ht="46" customHeight="1">
      <x:c r="A300" s="17" t="n">
        <x:v>46334</x:v>
      </x:c>
      <x:c r="B300" s="2" t="str">
        <x:v>Recurring accounts signed</x:v>
      </x:c>
      <x:c r="C300" s="2"/>
      <x:c r="D300" s="2" t="str">
        <x:v>Cumulative total</x:v>
      </x:c>
      <x:c r="E300" s="20"/>
      <x:c r="F300" s="20"/>
      <x:c r="G300" s="20"/>
      <x:c r="H300" s="2" t="str">
        <x:f>IF(D300="Rate",IF(COUNT(F300:G300)&lt;2,"",IF(G300=0,"n.a.",F300/G300)),IF(COUNT(E300)=0,"",E300))</x:f>
      </x:c>
      <x:c r="I300" s="2" t="str">
        <x:f>IF(AND(ISNUMBER(H300),ISNUMBER(C300)),H300-C300,"")</x:f>
      </x:c>
      <x:c r="J300" s="2" t="str">
        <x:v>accounts</x:v>
      </x:c>
      <x:c r="K300" s="2" t="str">
        <x:v>Nic</x:v>
      </x:c>
      <x:c r="L300" s="28" t="str"/>
      <x:c r="M300" s="20"/>
      <x:c r="N300" s="21"/>
      <x:c r="O300" s="26" t="str">
        <x:v>Plan signed following Day-30 review; only mature trial cohorts eligible. 1–3 is a conditional range.</x:v>
      </x:c>
      <x:c r="P300" s="26" t="str">
        <x:v>PDF §10</x:v>
      </x:c>
      <x:c r="Q300" s="2" t="n">
        <x:f>IF(ISNUMBER(H300),1,0)</x:f>
        <x:v>0</x:v>
      </x:c>
    </x:row>
    <x:row r="301" ht="46" customHeight="1">
      <x:c r="A301" s="17" t="n">
        <x:v>46334</x:v>
      </x:c>
      <x:c r="B301" s="2" t="str">
        <x:v>Referral-sourced bookings</x:v>
      </x:c>
      <x:c r="C301" s="2" t="n">
        <x:v>1</x:v>
      </x:c>
      <x:c r="D301" s="2" t="str">
        <x:v>Cumulative total</x:v>
      </x:c>
      <x:c r="E301" s="20"/>
      <x:c r="F301" s="20"/>
      <x:c r="G301" s="20"/>
      <x:c r="H301" s="2" t="str">
        <x:f>IF(D301="Rate",IF(COUNT(F301:G301)&lt;2,"",IF(G301=0,"n.a.",F301/G301)),IF(COUNT(E301)=0,"",E301))</x:f>
      </x:c>
      <x:c r="I301" s="2" t="str">
        <x:f>IF(AND(ISNUMBER(H301),ISNUMBER(C301)),H301-C301,"")</x:f>
      </x:c>
      <x:c r="J301" s="2" t="str">
        <x:v>bookings</x:v>
      </x:c>
      <x:c r="K301" s="2" t="str">
        <x:v>Nova</x:v>
      </x:c>
      <x:c r="L301" s="28" t="str"/>
      <x:c r="M301" s="20"/>
      <x:c r="N301" s="21"/>
      <x:c r="O301" s="26" t="str">
        <x:v>Subset of booked total with primary Source=Referral; never added on top of all-channel bookings.</x:v>
      </x:c>
      <x:c r="P301" s="26" t="str">
        <x:v>PDF §§10, 16</x:v>
      </x:c>
      <x:c r="Q301" s="2" t="n">
        <x:f>IF(ISNUMBER(H301),1,0)</x:f>
        <x:v>0</x:v>
      </x:c>
    </x:row>
    <x:row r="302" ht="46" customHeight="1">
      <x:c r="A302" s="17" t="n">
        <x:v>46334</x:v>
      </x:c>
      <x:c r="B302" s="2" t="str">
        <x:v>LinkedIn DM-sourced bookings</x:v>
      </x:c>
      <x:c r="C302" s="2" t="n">
        <x:v>1</x:v>
      </x:c>
      <x:c r="D302" s="2" t="str">
        <x:v>Cumulative total</x:v>
      </x:c>
      <x:c r="E302" s="20"/>
      <x:c r="F302" s="20"/>
      <x:c r="G302" s="20"/>
      <x:c r="H302" s="2" t="str">
        <x:f>IF(D302="Rate",IF(COUNT(F302:G302)&lt;2,"",IF(G302=0,"n.a.",F302/G302)),IF(COUNT(E302)=0,"",E302))</x:f>
      </x:c>
      <x:c r="I302" s="2" t="str">
        <x:f>IF(AND(ISNUMBER(H302),ISNUMBER(C302)),H302-C302,"")</x:f>
      </x:c>
      <x:c r="J302" s="2" t="str">
        <x:v>bookings</x:v>
      </x:c>
      <x:c r="K302" s="2" t="str">
        <x:v>Dexter</x:v>
      </x:c>
      <x:c r="L302" s="28" t="str"/>
      <x:c r="M302" s="20"/>
      <x:c r="N302" s="21"/>
      <x:c r="O302" s="26" t="str">
        <x:v>Subset of booked total with primary Source=LinkedIn DM; assists tracked separately.</x:v>
      </x:c>
      <x:c r="P302" s="26" t="str">
        <x:v>PDF §§10, 17 a</x:v>
      </x:c>
      <x:c r="Q302" s="2" t="n">
        <x:f>IF(ISNUMBER(H302),1,0)</x:f>
        <x:v>0</x:v>
      </x:c>
    </x:row>
    <x:row r="303" ht="46" customHeight="1">
      <x:c r="A303" s="17" t="n">
        <x:v>46334</x:v>
      </x:c>
      <x:c r="B303" s="2" t="str">
        <x:v>Verified contacts ready</x:v>
      </x:c>
      <x:c r="C303" s="2" t="n">
        <x:v>500</x:v>
      </x:c>
      <x:c r="D303" s="2" t="str">
        <x:v>Cumulative total</x:v>
      </x:c>
      <x:c r="E303" s="20"/>
      <x:c r="F303" s="20"/>
      <x:c r="G303" s="20"/>
      <x:c r="H303" s="2" t="str">
        <x:f>IF(D303="Rate",IF(COUNT(F303:G303)&lt;2,"",IF(G303=0,"n.a.",F303/G303)),IF(COUNT(E303)=0,"",E303))</x:f>
      </x:c>
      <x:c r="I303" s="2" t="str">
        <x:f>IF(AND(ISNUMBER(H303),ISNUMBER(C303)),H303-C303,"")</x:f>
      </x:c>
      <x:c r="J303" s="2" t="str">
        <x:v>contacts</x:v>
      </x:c>
      <x:c r="K303" s="2" t="str">
        <x:v>Joey</x:v>
      </x:c>
      <x:c r="L303" s="28" t="str"/>
      <x:c r="M303" s="20"/>
      <x:c r="N303" s="21"/>
      <x:c r="O303" s="26" t="str">
        <x:v>Unique contacts passing Scout and loaded in CQL; count once per contact.</x:v>
      </x:c>
      <x:c r="P303" s="26" t="str">
        <x:v>PDF §§10, 14; 750 due Dec 12 moved to Fri Dec 11</x:v>
      </x:c>
      <x:c r="Q303" s="2" t="n">
        <x:f>IF(ISNUMBER(H303),1,0)</x:f>
        <x:v>0</x:v>
      </x:c>
    </x:row>
    <x:row r="304" ht="46" customHeight="1">
      <x:c r="A304" s="17" t="n">
        <x:v>46334</x:v>
      </x:c>
      <x:c r="B304" s="2" t="str">
        <x:v>Permission-based referral introductions</x:v>
      </x:c>
      <x:c r="C304" s="2" t="n">
        <x:v>3</x:v>
      </x:c>
      <x:c r="D304" s="2" t="str">
        <x:v>Cumulative total</x:v>
      </x:c>
      <x:c r="E304" s="20"/>
      <x:c r="F304" s="20"/>
      <x:c r="G304" s="20"/>
      <x:c r="H304" s="2" t="str">
        <x:f>IF(D304="Rate",IF(COUNT(F304:G304)&lt;2,"",IF(G304=0,"n.a.",F304/G304)),IF(COUNT(E304)=0,"",E304))</x:f>
      </x:c>
      <x:c r="I304" s="2" t="str">
        <x:f>IF(AND(ISNUMBER(H304),ISNUMBER(C304)),H304-C304,"")</x:f>
      </x:c>
      <x:c r="J304" s="2" t="str">
        <x:v>introductions</x:v>
      </x:c>
      <x:c r="K304" s="2" t="str">
        <x:v>Maseeha</x:v>
      </x:c>
      <x:c r="L304" s="28" t="str"/>
      <x:c r="M304" s="20"/>
      <x:c r="N304" s="21"/>
      <x:c r="O304" s="26" t="str">
        <x:v>Unique introductions with consent and referrer recorded, verified by Maseeha within 2 business days.</x:v>
      </x:c>
      <x:c r="P304" s="26" t="str">
        <x:v>PDF §§10, 16</x:v>
      </x:c>
      <x:c r="Q304" s="2" t="n">
        <x:f>IF(ISNUMBER(H304),1,0)</x:f>
        <x:v>0</x:v>
      </x:c>
    </x:row>
    <x:row r="305" ht="46" customHeight="1">
      <x:c r="A305" s="17" t="n">
        <x:v>46334</x:v>
      </x:c>
      <x:c r="B305" s="2" t="str">
        <x:v>Human reply rate</x:v>
      </x:c>
      <x:c r="C305" s="40" t="n">
        <x:v>0.02</x:v>
      </x:c>
      <x:c r="D305" s="2" t="str">
        <x:v>Rate</x:v>
      </x:c>
      <x:c r="E305" s="20"/>
      <x:c r="F305" s="20"/>
      <x:c r="G305" s="20"/>
      <x:c r="H305" s="40" t="str">
        <x:f>IF(D305="Rate",IF(COUNT(F305:G305)&lt;2,"",IF(G305=0,"n.a.",F305/G305)),IF(COUNT(E305)=0,"",E305))</x:f>
      </x:c>
      <x:c r="I305" s="40" t="str">
        <x:f>IF(AND(ISNUMBER(H305),ISNUMBER(C305)),H305-C305,"")</x:f>
      </x:c>
      <x:c r="J305" s="2" t="str">
        <x:v>%</x:v>
      </x:c>
      <x:c r="K305" s="2" t="str">
        <x:v>Kenneth</x:v>
      </x:c>
      <x:c r="L305" s="28" t="str"/>
      <x:c r="M305" s="20"/>
      <x:c r="N305" s="21"/>
      <x:c r="O305" s="26" t="str">
        <x:v>Unique emailed contacts that give a qualifying human reply / unique contacts emailed in the same send cohort. Exclude OOO, auto-replies, bounces and unsubscribe-only replies. Deduplicate contacts across sequence steps; zero denominator is N/A.</x:v>
      </x:c>
      <x:c r="P305" s="26" t="str">
        <x:v>PDF §10</x:v>
      </x:c>
      <x:c r="Q305" s="2" t="n">
        <x:f>IF(ISNUMBER(H305),1,0)</x:f>
        <x:v>0</x:v>
      </x:c>
    </x:row>
    <x:row r="306" ht="46" customHeight="1">
      <x:c r="A306" s="17" t="n">
        <x:v>46334</x:v>
      </x:c>
      <x:c r="B306" s="2" t="str">
        <x:v>Positive reply rate</x:v>
      </x:c>
      <x:c r="C306" s="40" t="n">
        <x:v>0.01</x:v>
      </x:c>
      <x:c r="D306" s="2" t="str">
        <x:v>Rate</x:v>
      </x:c>
      <x:c r="E306" s="20"/>
      <x:c r="F306" s="20"/>
      <x:c r="G306" s="20"/>
      <x:c r="H306" s="40" t="str">
        <x:f>IF(D306="Rate",IF(COUNT(F306:G306)&lt;2,"",IF(G306=0,"n.a.",F306/G306)),IF(COUNT(E306)=0,"",E306))</x:f>
      </x:c>
      <x:c r="I306" s="40" t="str">
        <x:f>IF(AND(ISNUMBER(H306),ISNUMBER(C306)),H306-C306,"")</x:f>
      </x:c>
      <x:c r="J306" s="2" t="str">
        <x:v>%</x:v>
      </x:c>
      <x:c r="K306" s="2" t="str">
        <x:v>Kenneth</x:v>
      </x:c>
      <x:c r="L306" s="28" t="str"/>
      <x:c r="M306" s="20"/>
      <x:c r="N306" s="21"/>
      <x:c r="O306" s="26" t="str">
        <x:v>Unique emailed contacts classified interested or relevant question / unique contacts emailed in the same send cohort. Deduplicate across sequence steps; zero denominator is N/A. Keep this email rate separate from all-channel qualified inquiries.</x:v>
      </x:c>
      <x:c r="P306" s="26" t="str">
        <x:v>PDF §10</x:v>
      </x:c>
      <x:c r="Q306" s="2" t="n">
        <x:f>IF(ISNUMBER(H306),1,0)</x:f>
        <x:v>0</x:v>
      </x:c>
    </x:row>
    <x:row r="307" ht="46" customHeight="1">
      <x:c r="A307" s="17" t="n">
        <x:v>46334</x:v>
      </x:c>
      <x:c r="B307" s="2" t="str">
        <x:v>Replies answered within 15 minutes</x:v>
      </x:c>
      <x:c r="C307" s="40" t="n">
        <x:v>1</x:v>
      </x:c>
      <x:c r="D307" s="2" t="str">
        <x:v>Rate</x:v>
      </x:c>
      <x:c r="E307" s="20"/>
      <x:c r="F307" s="20"/>
      <x:c r="G307" s="20"/>
      <x:c r="H307" s="40" t="str">
        <x:f>IF(D307="Rate",IF(COUNT(F307:G307)&lt;2,"",IF(G307=0,"n.a.",F307/G307)),IF(COUNT(E307)=0,"",E307))</x:f>
      </x:c>
      <x:c r="I307" s="40" t="str">
        <x:f>IF(AND(ISNUMBER(H307),ISNUMBER(C307)),H307-C307,"")</x:f>
      </x:c>
      <x:c r="J307" s="2" t="str">
        <x:v>%</x:v>
      </x:c>
      <x:c r="K307" s="2" t="str">
        <x:v>Nova</x:v>
      </x:c>
      <x:c r="L307" s="28" t="str"/>
      <x:c r="M307" s="20"/>
      <x:c r="N307" s="21"/>
      <x:c r="O307"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07" s="26" t="str">
        <x:v>PDF §9; clock convention clarified for tracker</x:v>
      </x:c>
      <x:c r="Q307" s="2" t="n">
        <x:f>IF(ISNUMBER(H307),1,0)</x:f>
        <x:v>0</x:v>
      </x:c>
    </x:row>
    <x:row r="308" ht="46" customHeight="1">
      <x:c r="A308" s="17" t="n">
        <x:v>46334</x:v>
      </x:c>
      <x:c r="B308" s="2" t="str">
        <x:v>Held rate</x:v>
      </x:c>
      <x:c r="C308" s="40" t="n">
        <x:v>0.7</x:v>
      </x:c>
      <x:c r="D308" s="2" t="str">
        <x:v>Rate</x:v>
      </x:c>
      <x:c r="E308" s="20"/>
      <x:c r="F308" s="20"/>
      <x:c r="G308" s="20"/>
      <x:c r="H308" s="40" t="str">
        <x:f>IF(D308="Rate",IF(COUNT(F308:G308)&lt;2,"",IF(G308=0,"n.a.",F308/G308)),IF(COUNT(E308)=0,"",E308))</x:f>
      </x:c>
      <x:c r="I308" s="40" t="str">
        <x:f>IF(AND(ISNUMBER(H308),ISNUMBER(C308)),H308-C308,"")</x:f>
      </x:c>
      <x:c r="J308" s="2" t="str">
        <x:v>%</x:v>
      </x:c>
      <x:c r="K308" s="2" t="str">
        <x:v>Nova</x:v>
      </x:c>
      <x:c r="L308" s="28" t="str"/>
      <x:c r="M308" s="20"/>
      <x:c r="N308" s="21"/>
      <x:c r="O308" s="26" t="str">
        <x:v>Qualified conversations actually held / unique booked conversations whose scheduled time has passed. Exclude upcoming appointments. Rebooking the same opportunity is not a second booking. A zero denominator is N/A.</x:v>
      </x:c>
      <x:c r="P308" s="26" t="str">
        <x:v>PDF §10; due-cohort denominator clarified</x:v>
      </x:c>
      <x:c r="Q308" s="2" t="n">
        <x:f>IF(ISNUMBER(H308),1,0)</x:f>
        <x:v>0</x:v>
      </x:c>
    </x:row>
    <x:row r="309" ht="46" customHeight="1">
      <x:c r="A309" s="17" t="n">
        <x:v>46334</x:v>
      </x:c>
      <x:c r="B309" s="2" t="str">
        <x:v>Positive-to-booked conversion</x:v>
      </x:c>
      <x:c r="C309" s="40" t="n">
        <x:v>0.5</x:v>
      </x:c>
      <x:c r="D309" s="2" t="str">
        <x:v>Rate</x:v>
      </x:c>
      <x:c r="E309" s="20"/>
      <x:c r="F309" s="20"/>
      <x:c r="G309" s="20"/>
      <x:c r="H309" s="40" t="str">
        <x:f>IF(D309="Rate",IF(COUNT(F309:G309)&lt;2,"",IF(G309=0,"n.a.",F309/G309)),IF(COUNT(E309)=0,"",E309))</x:f>
      </x:c>
      <x:c r="I309" s="40" t="str">
        <x:f>IF(AND(ISNUMBER(H309),ISNUMBER(C309)),H309-C309,"")</x:f>
      </x:c>
      <x:c r="J309" s="2" t="str">
        <x:v>%</x:v>
      </x:c>
      <x:c r="K309" s="2" t="str">
        <x:v>Nova</x:v>
      </x:c>
      <x:c r="L309" s="28" t="str"/>
      <x:c r="M309" s="20"/>
      <x:c r="N309" s="21"/>
      <x:c r="O309" s="26" t="str">
        <x:v>Unique email-positive opportunities booked / unique email-positive opportunities in the same reviewed cohort. Use a documented follow-up window. This differs from the all-channel 40-inquiry/20-booking planning assumption. A zero denominator is N/A.</x:v>
      </x:c>
      <x:c r="P309" s="26" t="str">
        <x:v>PDF §9</x:v>
      </x:c>
      <x:c r="Q309" s="2" t="n">
        <x:f>IF(ISNUMBER(H309),1,0)</x:f>
        <x:v>0</x:v>
      </x:c>
    </x:row>
    <x:row r="310" ht="46" customHeight="1">
      <x:c r="A310" s="17" t="n">
        <x:v>46334</x:v>
      </x:c>
      <x:c r="B310" s="2" t="str">
        <x:v>Existing-account referral asks</x:v>
      </x:c>
      <x:c r="C310" s="2" t="n">
        <x:v>15</x:v>
      </x:c>
      <x:c r="D310" s="2" t="str">
        <x:v>Cumulative total</x:v>
      </x:c>
      <x:c r="E310" s="20"/>
      <x:c r="F310" s="20"/>
      <x:c r="G310" s="20"/>
      <x:c r="H310" s="2" t="str">
        <x:f>IF(D310="Rate",IF(COUNT(F310:G310)&lt;2,"",IF(G310=0,"n.a.",F310/G310)),IF(COUNT(E310)=0,"",E310))</x:f>
      </x:c>
      <x:c r="I310" s="2" t="str">
        <x:f>IF(AND(ISNUMBER(H310),ISNUMBER(C310)),H310-C310,"")</x:f>
      </x:c>
      <x:c r="J310" s="2" t="str">
        <x:v>accounts asked</x:v>
      </x:c>
      <x:c r="K310" s="2" t="str">
        <x:v>Maseeha</x:v>
      </x:c>
      <x:c r="L310" s="28" t="str"/>
      <x:c r="M310" s="20"/>
      <x:c r="N310" s="21"/>
      <x:c r="O310" s="26" t="str">
        <x:v>Ask 25 unique A/B accounts (5 A and 20 B) by November 13; proposed pace 35 total by November 20; complete the remaining C accounts to reach 41 total by November 25. One introduction is the ask; asks and received intros are separate counts.</x:v>
      </x:c>
      <x:c r="P310" s="26" t="str">
        <x:v>PDF §16 supplies 25 A/B byNov 14 and 16 C byNov 25; Friday deadline and 35-byNov 20 pace are proposed scheduling allocations.</x:v>
      </x:c>
      <x:c r="Q310" s="2" t="n">
        <x:f>IF(ISNUMBER(H310),1,0)</x:f>
        <x:v>0</x:v>
      </x:c>
    </x:row>
    <x:row r="311" ht="46" customHeight="1">
      <x:c r="A311" s="17" t="n">
        <x:v>46334</x:v>
      </x:c>
      <x:c r="B311" s="2" t="str">
        <x:v>Approved SOPs</x:v>
      </x:c>
      <x:c r="C311" s="2"/>
      <x:c r="D311" s="2" t="str">
        <x:v>Cumulative total</x:v>
      </x:c>
      <x:c r="E311" s="20"/>
      <x:c r="F311" s="20"/>
      <x:c r="G311" s="20"/>
      <x:c r="H311" s="2" t="str">
        <x:f>IF(D311="Rate",IF(COUNT(F311:G311)&lt;2,"",IF(G311=0,"n.a.",F311/G311)),IF(COUNT(E311)=0,"",E311))</x:f>
      </x:c>
      <x:c r="I311" s="2" t="str">
        <x:f>IF(AND(ISNUMBER(H311),ISNUMBER(C311)),H311-C311,"")</x:f>
      </x:c>
      <x:c r="J311" s="2" t="str">
        <x:v>SOPs</x:v>
      </x:c>
      <x:c r="K311" s="2" t="str">
        <x:v>Wyline</x:v>
      </x:c>
      <x:c r="L311" s="28" t="str"/>
      <x:c r="M311" s="20"/>
      <x:c r="N311" s="21"/>
      <x:c r="O311" s="26" t="str">
        <x:v>10 core SOPs plus ADS-01 and SOC-01 additions; approved version and independent-run evidence required.</x:v>
      </x:c>
      <x:c r="P311" s="26" t="str">
        <x:v>PDF §8 with §§17 b–d additions</x:v>
      </x:c>
      <x:c r="Q311" s="2" t="n">
        <x:f>IF(ISNUMBER(H311),1,0)</x:f>
        <x:v>0</x:v>
      </x:c>
    </x:row>
    <x:row r="312" ht="46" customHeight="1">
      <x:c r="A312" s="17" t="n">
        <x:v>46334</x:v>
      </x:c>
      <x:c r="B312" s="2" t="str">
        <x:v>Accepted AI agents</x:v>
      </x:c>
      <x:c r="C312" s="2"/>
      <x:c r="D312" s="2" t="str">
        <x:v>Cumulative total</x:v>
      </x:c>
      <x:c r="E312" s="20"/>
      <x:c r="F312" s="20"/>
      <x:c r="G312" s="20"/>
      <x:c r="H312" s="2" t="str">
        <x:f>IF(D312="Rate",IF(COUNT(F312:G312)&lt;2,"",IF(G312=0,"n.a.",F312/G312)),IF(COUNT(E312)=0,"",E312))</x:f>
      </x:c>
      <x:c r="I312" s="2" t="str">
        <x:f>IF(AND(ISNUMBER(H312),ISNUMBER(C312)),H312-C312,"")</x:f>
      </x:c>
      <x:c r="J312" s="2" t="str">
        <x:v>agents</x:v>
      </x:c>
      <x:c r="K312" s="2" t="str">
        <x:v>Emman</x:v>
      </x:c>
      <x:c r="L312" s="28" t="str"/>
      <x:c r="M312" s="20"/>
      <x:c r="N312" s="21"/>
      <x:c r="O312" s="26" t="str">
        <x:v>Scout, Writer, Inbox, Phone Assist, LinkedIn Assist, Follow-up, Scoreboard and Client Reporter; acceptance evidence required.</x:v>
      </x:c>
      <x:c r="P312" s="26" t="str">
        <x:v>PDF §7</x:v>
      </x:c>
      <x:c r="Q312" s="2" t="n">
        <x:f>IF(ISNUMBER(H312),1,0)</x:f>
        <x:v>0</x:v>
      </x:c>
    </x:row>
    <x:row r="313" ht="46" customHeight="1">
      <x:c r="A313" s="17" t="n">
        <x:v>46335</x:v>
      </x:c>
      <x:c r="B313" s="2" t="str">
        <x:v>Qualified inquiries</x:v>
      </x:c>
      <x:c r="C313" s="2" t="n">
        <x:v>5</x:v>
      </x:c>
      <x:c r="D313" s="2" t="str">
        <x:v>Cumulative total</x:v>
      </x:c>
      <x:c r="E313" s="20"/>
      <x:c r="F313" s="20"/>
      <x:c r="G313" s="20"/>
      <x:c r="H313" s="2" t="str">
        <x:f>IF(D313="Rate",IF(COUNT(F313:G313)&lt;2,"",IF(G313=0,"n.a.",F313/G313)),IF(COUNT(E313)=0,"",E313))</x:f>
      </x:c>
      <x:c r="I313" s="2" t="str">
        <x:f>IF(AND(ISNUMBER(H313),ISNUMBER(C313)),H313-C313,"")</x:f>
      </x:c>
      <x:c r="J313" s="2" t="str">
        <x:v>inquiries</x:v>
      </x:c>
      <x:c r="K313" s="2" t="str">
        <x:v>Nova</x:v>
      </x:c>
      <x:c r="L313" s="28" t="str"/>
      <x:c r="M313" s="20"/>
      <x:c r="N313" s="21"/>
      <x:c r="O313" s="26" t="str">
        <x:v>Unique ICP-matched practices that express relevant interest, need or timing; Nova records practice type, decision-maker access, case volume, service need and readiness within 30–60 days. Raw records, opens and connection accepts do not qualify.</x:v>
      </x:c>
      <x:c r="P313" s="26" t="str">
        <x:v>Original proposal pages 2 and 4 define qualification; 40 by Dec 16 and intermediate pace are newly proposed recovery targets.</x:v>
      </x:c>
      <x:c r="Q313" s="2" t="n">
        <x:f>IF(ISNUMBER(H313),1,0)</x:f>
        <x:v>0</x:v>
      </x:c>
    </x:row>
    <x:row r="314" ht="46" customHeight="1">
      <x:c r="A314" s="17" t="n">
        <x:v>46335</x:v>
      </x:c>
      <x:c r="B314" s="2" t="str">
        <x:v>Qualified conversations booked</x:v>
      </x:c>
      <x:c r="C314" s="2" t="n">
        <x:v>2</x:v>
      </x:c>
      <x:c r="D314" s="2" t="str">
        <x:v>Cumulative total</x:v>
      </x:c>
      <x:c r="E314" s="20"/>
      <x:c r="F314" s="20"/>
      <x:c r="G314" s="20"/>
      <x:c r="H314" s="2" t="str">
        <x:f>IF(D314="Rate",IF(COUNT(F314:G314)&lt;2,"",IF(G314=0,"n.a.",F314/G314)),IF(COUNT(E314)=0,"",E314))</x:f>
      </x:c>
      <x:c r="I314" s="2" t="str">
        <x:f>IF(AND(ISNUMBER(H314),ISNUMBER(C314)),H314-C314,"")</x:f>
      </x:c>
      <x:c r="J314" s="2" t="str">
        <x:v>bookings</x:v>
      </x:c>
      <x:c r="K314" s="2" t="str">
        <x:v>Nova</x:v>
      </x:c>
      <x:c r="L314" s="28" t="str"/>
      <x:c r="M314" s="20"/>
      <x:c r="N314" s="21"/>
      <x:c r="O314" s="26" t="str">
        <x:v>Unique qualified calls/visits booked with Nic; rebooking same opportunity is not a new booking.</x:v>
      </x:c>
      <x:c r="P314" s="26" t="str">
        <x:v>PDF §10; final deadline advanced to user Dec 16</x:v>
      </x:c>
      <x:c r="Q314" s="2" t="n">
        <x:f>IF(ISNUMBER(H314),1,0)</x:f>
        <x:v>0</x:v>
      </x:c>
    </x:row>
    <x:row r="315" ht="46" customHeight="1">
      <x:c r="A315" s="17" t="n">
        <x:v>46335</x:v>
      </x:c>
      <x:c r="B315" s="2" t="str">
        <x:v>Qualified conversations held</x:v>
      </x:c>
      <x:c r="C315" s="2" t="n">
        <x:v>1</x:v>
      </x:c>
      <x:c r="D315" s="2" t="str">
        <x:v>Cumulative total</x:v>
      </x:c>
      <x:c r="E315" s="20"/>
      <x:c r="F315" s="20"/>
      <x:c r="G315" s="20"/>
      <x:c r="H315" s="2" t="str">
        <x:f>IF(D315="Rate",IF(COUNT(F315:G315)&lt;2,"",IF(G315=0,"n.a.",F315/G315)),IF(COUNT(E315)=0,"",E315))</x:f>
      </x:c>
      <x:c r="I315" s="2" t="str">
        <x:f>IF(AND(ISNUMBER(H315),ISNUMBER(C315)),H315-C315,"")</x:f>
      </x:c>
      <x:c r="J315" s="2" t="str">
        <x:v>held</x:v>
      </x:c>
      <x:c r="K315" s="2" t="str">
        <x:v>Nova</x:v>
      </x:c>
      <x:c r="L315" s="28" t="str"/>
      <x:c r="M315" s="20"/>
      <x:c r="N315" s="21"/>
      <x:c r="O315" s="26" t="str">
        <x:v>Completed qualified calls/visits; 6 and 15 are integer planning proxies for 70% of 8 and 75% of 20.</x:v>
      </x:c>
      <x:c r="P315" s="26" t="str">
        <x:v>Derived from source held-rate targets</x:v>
      </x:c>
      <x:c r="Q315" s="2" t="n">
        <x:f>IF(ISNUMBER(H315),1,0)</x:f>
        <x:v>0</x:v>
      </x:c>
    </x:row>
    <x:row r="316" ht="46" customHeight="1">
      <x:c r="A316" s="17" t="n">
        <x:v>46335</x:v>
      </x:c>
      <x:c r="B316" s="2" t="str">
        <x:v>Trial cases received by DSI</x:v>
      </x:c>
      <x:c r="C316" s="2" t="n">
        <x:v>0</x:v>
      </x:c>
      <x:c r="D316" s="2" t="str">
        <x:v>Cumulative total</x:v>
      </x:c>
      <x:c r="E316" s="20"/>
      <x:c r="F316" s="20"/>
      <x:c r="G316" s="20"/>
      <x:c r="H316" s="2" t="str">
        <x:f>IF(D316="Rate",IF(COUNT(F316:G316)&lt;2,"",IF(G316=0,"n.a.",F316/G316)),IF(COUNT(E316)=0,"",E316))</x:f>
      </x:c>
      <x:c r="I316" s="2" t="str">
        <x:f>IF(AND(ISNUMBER(H316),ISNUMBER(C316)),H316-C316,"")</x:f>
      </x:c>
      <x:c r="J316" s="2" t="str">
        <x:v>trials</x:v>
      </x:c>
      <x:c r="K316" s="2" t="str">
        <x:v>Maseeha</x:v>
      </x:c>
      <x:c r="L316" s="28" t="str"/>
      <x:c r="M316" s="20"/>
      <x:c r="N316" s="21"/>
      <x:c r="O316" s="26" t="str">
        <x:v>Practice’s first trial case received by DSI, not merely promised or shipped; subject to Maseeha capacity.</x:v>
      </x:c>
      <x:c r="P316" s="26" t="str">
        <x:v>PDF §10; final deadline advanced to user Dec 16</x:v>
      </x:c>
      <x:c r="Q316" s="2" t="n">
        <x:f>IF(ISNUMBER(H316),1,0)</x:f>
        <x:v>0</x:v>
      </x:c>
    </x:row>
    <x:row r="317" ht="46" customHeight="1">
      <x:c r="A317" s="17" t="n">
        <x:v>46335</x:v>
      </x:c>
      <x:c r="B317" s="2" t="str">
        <x:v>Recurring accounts signed</x:v>
      </x:c>
      <x:c r="C317" s="2"/>
      <x:c r="D317" s="2" t="str">
        <x:v>Cumulative total</x:v>
      </x:c>
      <x:c r="E317" s="20"/>
      <x:c r="F317" s="20"/>
      <x:c r="G317" s="20"/>
      <x:c r="H317" s="2" t="str">
        <x:f>IF(D317="Rate",IF(COUNT(F317:G317)&lt;2,"",IF(G317=0,"n.a.",F317/G317)),IF(COUNT(E317)=0,"",E317))</x:f>
      </x:c>
      <x:c r="I317" s="2" t="str">
        <x:f>IF(AND(ISNUMBER(H317),ISNUMBER(C317)),H317-C317,"")</x:f>
      </x:c>
      <x:c r="J317" s="2" t="str">
        <x:v>accounts</x:v>
      </x:c>
      <x:c r="K317" s="2" t="str">
        <x:v>Nic</x:v>
      </x:c>
      <x:c r="L317" s="28" t="str"/>
      <x:c r="M317" s="20"/>
      <x:c r="N317" s="21"/>
      <x:c r="O317" s="26" t="str">
        <x:v>Plan signed following Day-30 review; only mature trial cohorts eligible. 1–3 is a conditional range.</x:v>
      </x:c>
      <x:c r="P317" s="26" t="str">
        <x:v>PDF §10</x:v>
      </x:c>
      <x:c r="Q317" s="2" t="n">
        <x:f>IF(ISNUMBER(H317),1,0)</x:f>
        <x:v>0</x:v>
      </x:c>
    </x:row>
    <x:row r="318" ht="46" customHeight="1">
      <x:c r="A318" s="17" t="n">
        <x:v>46335</x:v>
      </x:c>
      <x:c r="B318" s="2" t="str">
        <x:v>Referral-sourced bookings</x:v>
      </x:c>
      <x:c r="C318" s="2" t="n">
        <x:v>1</x:v>
      </x:c>
      <x:c r="D318" s="2" t="str">
        <x:v>Cumulative total</x:v>
      </x:c>
      <x:c r="E318" s="20"/>
      <x:c r="F318" s="20"/>
      <x:c r="G318" s="20"/>
      <x:c r="H318" s="2" t="str">
        <x:f>IF(D318="Rate",IF(COUNT(F318:G318)&lt;2,"",IF(G318=0,"n.a.",F318/G318)),IF(COUNT(E318)=0,"",E318))</x:f>
      </x:c>
      <x:c r="I318" s="2" t="str">
        <x:f>IF(AND(ISNUMBER(H318),ISNUMBER(C318)),H318-C318,"")</x:f>
      </x:c>
      <x:c r="J318" s="2" t="str">
        <x:v>bookings</x:v>
      </x:c>
      <x:c r="K318" s="2" t="str">
        <x:v>Nova</x:v>
      </x:c>
      <x:c r="L318" s="28" t="str"/>
      <x:c r="M318" s="20"/>
      <x:c r="N318" s="21"/>
      <x:c r="O318" s="26" t="str">
        <x:v>Subset of booked total with primary Source=Referral; never added on top of all-channel bookings.</x:v>
      </x:c>
      <x:c r="P318" s="26" t="str">
        <x:v>PDF §§10, 16</x:v>
      </x:c>
      <x:c r="Q318" s="2" t="n">
        <x:f>IF(ISNUMBER(H318),1,0)</x:f>
        <x:v>0</x:v>
      </x:c>
    </x:row>
    <x:row r="319" ht="46" customHeight="1">
      <x:c r="A319" s="17" t="n">
        <x:v>46335</x:v>
      </x:c>
      <x:c r="B319" s="2" t="str">
        <x:v>LinkedIn DM-sourced bookings</x:v>
      </x:c>
      <x:c r="C319" s="2" t="n">
        <x:v>1</x:v>
      </x:c>
      <x:c r="D319" s="2" t="str">
        <x:v>Cumulative total</x:v>
      </x:c>
      <x:c r="E319" s="20"/>
      <x:c r="F319" s="20"/>
      <x:c r="G319" s="20"/>
      <x:c r="H319" s="2" t="str">
        <x:f>IF(D319="Rate",IF(COUNT(F319:G319)&lt;2,"",IF(G319=0,"n.a.",F319/G319)),IF(COUNT(E319)=0,"",E319))</x:f>
      </x:c>
      <x:c r="I319" s="2" t="str">
        <x:f>IF(AND(ISNUMBER(H319),ISNUMBER(C319)),H319-C319,"")</x:f>
      </x:c>
      <x:c r="J319" s="2" t="str">
        <x:v>bookings</x:v>
      </x:c>
      <x:c r="K319" s="2" t="str">
        <x:v>Dexter</x:v>
      </x:c>
      <x:c r="L319" s="28" t="str"/>
      <x:c r="M319" s="20"/>
      <x:c r="N319" s="21"/>
      <x:c r="O319" s="26" t="str">
        <x:v>Subset of booked total with primary Source=LinkedIn DM; assists tracked separately.</x:v>
      </x:c>
      <x:c r="P319" s="26" t="str">
        <x:v>PDF §§10, 17 a</x:v>
      </x:c>
      <x:c r="Q319" s="2" t="n">
        <x:f>IF(ISNUMBER(H319),1,0)</x:f>
        <x:v>0</x:v>
      </x:c>
    </x:row>
    <x:row r="320" ht="46" customHeight="1">
      <x:c r="A320" s="17" t="n">
        <x:v>46335</x:v>
      </x:c>
      <x:c r="B320" s="2" t="str">
        <x:v>Verified contacts ready</x:v>
      </x:c>
      <x:c r="C320" s="2" t="n">
        <x:v>500</x:v>
      </x:c>
      <x:c r="D320" s="2" t="str">
        <x:v>Cumulative total</x:v>
      </x:c>
      <x:c r="E320" s="20"/>
      <x:c r="F320" s="20"/>
      <x:c r="G320" s="20"/>
      <x:c r="H320" s="2" t="str">
        <x:f>IF(D320="Rate",IF(COUNT(F320:G320)&lt;2,"",IF(G320=0,"n.a.",F320/G320)),IF(COUNT(E320)=0,"",E320))</x:f>
      </x:c>
      <x:c r="I320" s="2" t="str">
        <x:f>IF(AND(ISNUMBER(H320),ISNUMBER(C320)),H320-C320,"")</x:f>
      </x:c>
      <x:c r="J320" s="2" t="str">
        <x:v>contacts</x:v>
      </x:c>
      <x:c r="K320" s="2" t="str">
        <x:v>Joey</x:v>
      </x:c>
      <x:c r="L320" s="28" t="str"/>
      <x:c r="M320" s="20"/>
      <x:c r="N320" s="21"/>
      <x:c r="O320" s="26" t="str">
        <x:v>Unique contacts passing Scout and loaded in CQL; count once per contact.</x:v>
      </x:c>
      <x:c r="P320" s="26" t="str">
        <x:v>PDF §§10, 14; 750 due Dec 12 moved to Fri Dec 11</x:v>
      </x:c>
      <x:c r="Q320" s="2" t="n">
        <x:f>IF(ISNUMBER(H320),1,0)</x:f>
        <x:v>0</x:v>
      </x:c>
    </x:row>
    <x:row r="321" ht="46" customHeight="1">
      <x:c r="A321" s="17" t="n">
        <x:v>46335</x:v>
      </x:c>
      <x:c r="B321" s="2" t="str">
        <x:v>Permission-based referral introductions</x:v>
      </x:c>
      <x:c r="C321" s="2" t="n">
        <x:v>3</x:v>
      </x:c>
      <x:c r="D321" s="2" t="str">
        <x:v>Cumulative total</x:v>
      </x:c>
      <x:c r="E321" s="20"/>
      <x:c r="F321" s="20"/>
      <x:c r="G321" s="20"/>
      <x:c r="H321" s="2" t="str">
        <x:f>IF(D321="Rate",IF(COUNT(F321:G321)&lt;2,"",IF(G321=0,"n.a.",F321/G321)),IF(COUNT(E321)=0,"",E321))</x:f>
      </x:c>
      <x:c r="I321" s="2" t="str">
        <x:f>IF(AND(ISNUMBER(H321),ISNUMBER(C321)),H321-C321,"")</x:f>
      </x:c>
      <x:c r="J321" s="2" t="str">
        <x:v>introductions</x:v>
      </x:c>
      <x:c r="K321" s="2" t="str">
        <x:v>Maseeha</x:v>
      </x:c>
      <x:c r="L321" s="28" t="str"/>
      <x:c r="M321" s="20"/>
      <x:c r="N321" s="21"/>
      <x:c r="O321" s="26" t="str">
        <x:v>Unique introductions with consent and referrer recorded, verified by Maseeha within 2 business days.</x:v>
      </x:c>
      <x:c r="P321" s="26" t="str">
        <x:v>PDF §§10, 16</x:v>
      </x:c>
      <x:c r="Q321" s="2" t="n">
        <x:f>IF(ISNUMBER(H321),1,0)</x:f>
        <x:v>0</x:v>
      </x:c>
    </x:row>
    <x:row r="322" ht="46" customHeight="1">
      <x:c r="A322" s="17" t="n">
        <x:v>46335</x:v>
      </x:c>
      <x:c r="B322" s="2" t="str">
        <x:v>Human reply rate</x:v>
      </x:c>
      <x:c r="C322" s="40" t="n">
        <x:v>0.02</x:v>
      </x:c>
      <x:c r="D322" s="2" t="str">
        <x:v>Rate</x:v>
      </x:c>
      <x:c r="E322" s="20"/>
      <x:c r="F322" s="20"/>
      <x:c r="G322" s="20"/>
      <x:c r="H322" s="40" t="str">
        <x:f>IF(D322="Rate",IF(COUNT(F322:G322)&lt;2,"",IF(G322=0,"n.a.",F322/G322)),IF(COUNT(E322)=0,"",E322))</x:f>
      </x:c>
      <x:c r="I322" s="40" t="str">
        <x:f>IF(AND(ISNUMBER(H322),ISNUMBER(C322)),H322-C322,"")</x:f>
      </x:c>
      <x:c r="J322" s="2" t="str">
        <x:v>%</x:v>
      </x:c>
      <x:c r="K322" s="2" t="str">
        <x:v>Kenneth</x:v>
      </x:c>
      <x:c r="L322" s="28" t="str"/>
      <x:c r="M322" s="20"/>
      <x:c r="N322" s="21"/>
      <x:c r="O322" s="26" t="str">
        <x:v>Unique emailed contacts that give a qualifying human reply / unique contacts emailed in the same send cohort. Exclude OOO, auto-replies, bounces and unsubscribe-only replies. Deduplicate contacts across sequence steps; zero denominator is N/A.</x:v>
      </x:c>
      <x:c r="P322" s="26" t="str">
        <x:v>PDF §10</x:v>
      </x:c>
      <x:c r="Q322" s="2" t="n">
        <x:f>IF(ISNUMBER(H322),1,0)</x:f>
        <x:v>0</x:v>
      </x:c>
    </x:row>
    <x:row r="323" ht="46" customHeight="1">
      <x:c r="A323" s="17" t="n">
        <x:v>46335</x:v>
      </x:c>
      <x:c r="B323" s="2" t="str">
        <x:v>Positive reply rate</x:v>
      </x:c>
      <x:c r="C323" s="40" t="n">
        <x:v>0.01</x:v>
      </x:c>
      <x:c r="D323" s="2" t="str">
        <x:v>Rate</x:v>
      </x:c>
      <x:c r="E323" s="20"/>
      <x:c r="F323" s="20"/>
      <x:c r="G323" s="20"/>
      <x:c r="H323" s="40" t="str">
        <x:f>IF(D323="Rate",IF(COUNT(F323:G323)&lt;2,"",IF(G323=0,"n.a.",F323/G323)),IF(COUNT(E323)=0,"",E323))</x:f>
      </x:c>
      <x:c r="I323" s="40" t="str">
        <x:f>IF(AND(ISNUMBER(H323),ISNUMBER(C323)),H323-C323,"")</x:f>
      </x:c>
      <x:c r="J323" s="2" t="str">
        <x:v>%</x:v>
      </x:c>
      <x:c r="K323" s="2" t="str">
        <x:v>Kenneth</x:v>
      </x:c>
      <x:c r="L323" s="28" t="str"/>
      <x:c r="M323" s="20"/>
      <x:c r="N323" s="21"/>
      <x:c r="O323" s="26" t="str">
        <x:v>Unique emailed contacts classified interested or relevant question / unique contacts emailed in the same send cohort. Deduplicate across sequence steps; zero denominator is N/A. Keep this email rate separate from all-channel qualified inquiries.</x:v>
      </x:c>
      <x:c r="P323" s="26" t="str">
        <x:v>PDF §10</x:v>
      </x:c>
      <x:c r="Q323" s="2" t="n">
        <x:f>IF(ISNUMBER(H323),1,0)</x:f>
        <x:v>0</x:v>
      </x:c>
    </x:row>
    <x:row r="324" ht="46" customHeight="1">
      <x:c r="A324" s="17" t="n">
        <x:v>46335</x:v>
      </x:c>
      <x:c r="B324" s="2" t="str">
        <x:v>Replies answered within 15 minutes</x:v>
      </x:c>
      <x:c r="C324" s="40" t="n">
        <x:v>1</x:v>
      </x:c>
      <x:c r="D324" s="2" t="str">
        <x:v>Rate</x:v>
      </x:c>
      <x:c r="E324" s="20"/>
      <x:c r="F324" s="20"/>
      <x:c r="G324" s="20"/>
      <x:c r="H324" s="40" t="str">
        <x:f>IF(D324="Rate",IF(COUNT(F324:G324)&lt;2,"",IF(G324=0,"n.a.",F324/G324)),IF(COUNT(E324)=0,"",E324))</x:f>
      </x:c>
      <x:c r="I324" s="40" t="str">
        <x:f>IF(AND(ISNUMBER(H324),ISNUMBER(C324)),H324-C324,"")</x:f>
      </x:c>
      <x:c r="J324" s="2" t="str">
        <x:v>%</x:v>
      </x:c>
      <x:c r="K324" s="2" t="str">
        <x:v>Nova</x:v>
      </x:c>
      <x:c r="L324" s="28" t="str"/>
      <x:c r="M324" s="20"/>
      <x:c r="N324" s="21"/>
      <x:c r="O324"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24" s="26" t="str">
        <x:v>PDF §9; clock convention clarified for tracker</x:v>
      </x:c>
      <x:c r="Q324" s="2" t="n">
        <x:f>IF(ISNUMBER(H324),1,0)</x:f>
        <x:v>0</x:v>
      </x:c>
    </x:row>
    <x:row r="325" ht="46" customHeight="1">
      <x:c r="A325" s="17" t="n">
        <x:v>46335</x:v>
      </x:c>
      <x:c r="B325" s="2" t="str">
        <x:v>Held rate</x:v>
      </x:c>
      <x:c r="C325" s="40" t="n">
        <x:v>0.7</x:v>
      </x:c>
      <x:c r="D325" s="2" t="str">
        <x:v>Rate</x:v>
      </x:c>
      <x:c r="E325" s="20"/>
      <x:c r="F325" s="20"/>
      <x:c r="G325" s="20"/>
      <x:c r="H325" s="40" t="str">
        <x:f>IF(D325="Rate",IF(COUNT(F325:G325)&lt;2,"",IF(G325=0,"n.a.",F325/G325)),IF(COUNT(E325)=0,"",E325))</x:f>
      </x:c>
      <x:c r="I325" s="40" t="str">
        <x:f>IF(AND(ISNUMBER(H325),ISNUMBER(C325)),H325-C325,"")</x:f>
      </x:c>
      <x:c r="J325" s="2" t="str">
        <x:v>%</x:v>
      </x:c>
      <x:c r="K325" s="2" t="str">
        <x:v>Nova</x:v>
      </x:c>
      <x:c r="L325" s="28" t="str"/>
      <x:c r="M325" s="20"/>
      <x:c r="N325" s="21"/>
      <x:c r="O325" s="26" t="str">
        <x:v>Qualified conversations actually held / unique booked conversations whose scheduled time has passed. Exclude upcoming appointments. Rebooking the same opportunity is not a second booking. A zero denominator is N/A.</x:v>
      </x:c>
      <x:c r="P325" s="26" t="str">
        <x:v>PDF §10; due-cohort denominator clarified</x:v>
      </x:c>
      <x:c r="Q325" s="2" t="n">
        <x:f>IF(ISNUMBER(H325),1,0)</x:f>
        <x:v>0</x:v>
      </x:c>
    </x:row>
    <x:row r="326" ht="46" customHeight="1">
      <x:c r="A326" s="17" t="n">
        <x:v>46335</x:v>
      </x:c>
      <x:c r="B326" s="2" t="str">
        <x:v>Positive-to-booked conversion</x:v>
      </x:c>
      <x:c r="C326" s="40" t="n">
        <x:v>0.5</x:v>
      </x:c>
      <x:c r="D326" s="2" t="str">
        <x:v>Rate</x:v>
      </x:c>
      <x:c r="E326" s="20"/>
      <x:c r="F326" s="20"/>
      <x:c r="G326" s="20"/>
      <x:c r="H326" s="40" t="str">
        <x:f>IF(D326="Rate",IF(COUNT(F326:G326)&lt;2,"",IF(G326=0,"n.a.",F326/G326)),IF(COUNT(E326)=0,"",E326))</x:f>
      </x:c>
      <x:c r="I326" s="40" t="str">
        <x:f>IF(AND(ISNUMBER(H326),ISNUMBER(C326)),H326-C326,"")</x:f>
      </x:c>
      <x:c r="J326" s="2" t="str">
        <x:v>%</x:v>
      </x:c>
      <x:c r="K326" s="2" t="str">
        <x:v>Nova</x:v>
      </x:c>
      <x:c r="L326" s="28" t="str"/>
      <x:c r="M326" s="20"/>
      <x:c r="N326" s="21"/>
      <x:c r="O326" s="26" t="str">
        <x:v>Unique email-positive opportunities booked / unique email-positive opportunities in the same reviewed cohort. Use a documented follow-up window. This differs from the all-channel 40-inquiry/20-booking planning assumption. A zero denominator is N/A.</x:v>
      </x:c>
      <x:c r="P326" s="26" t="str">
        <x:v>PDF §9</x:v>
      </x:c>
      <x:c r="Q326" s="2" t="n">
        <x:f>IF(ISNUMBER(H326),1,0)</x:f>
        <x:v>0</x:v>
      </x:c>
    </x:row>
    <x:row r="327" ht="46" customHeight="1">
      <x:c r="A327" s="17" t="n">
        <x:v>46335</x:v>
      </x:c>
      <x:c r="B327" s="2" t="str">
        <x:v>Existing-account referral asks</x:v>
      </x:c>
      <x:c r="C327" s="2" t="n">
        <x:v>17</x:v>
      </x:c>
      <x:c r="D327" s="2" t="str">
        <x:v>Cumulative total</x:v>
      </x:c>
      <x:c r="E327" s="20"/>
      <x:c r="F327" s="20"/>
      <x:c r="G327" s="20"/>
      <x:c r="H327" s="2" t="str">
        <x:f>IF(D327="Rate",IF(COUNT(F327:G327)&lt;2,"",IF(G327=0,"n.a.",F327/G327)),IF(COUNT(E327)=0,"",E327))</x:f>
      </x:c>
      <x:c r="I327" s="2" t="str">
        <x:f>IF(AND(ISNUMBER(H327),ISNUMBER(C327)),H327-C327,"")</x:f>
      </x:c>
      <x:c r="J327" s="2" t="str">
        <x:v>accounts asked</x:v>
      </x:c>
      <x:c r="K327" s="2" t="str">
        <x:v>Maseeha</x:v>
      </x:c>
      <x:c r="L327" s="28" t="str"/>
      <x:c r="M327" s="20"/>
      <x:c r="N327" s="21"/>
      <x:c r="O327" s="26" t="str">
        <x:v>Ask 25 unique A/B accounts (5 A and 20 B) by November 13; proposed pace 35 total by November 20; complete the remaining C accounts to reach 41 total by November 25. One introduction is the ask; asks and received intros are separate counts.</x:v>
      </x:c>
      <x:c r="P327" s="26" t="str">
        <x:v>PDF §16 supplies 25 A/B byNov 14 and 16 C byNov 25; Friday deadline and 35-byNov 20 pace are proposed scheduling allocations.</x:v>
      </x:c>
      <x:c r="Q327" s="2" t="n">
        <x:f>IF(ISNUMBER(H327),1,0)</x:f>
        <x:v>0</x:v>
      </x:c>
    </x:row>
    <x:row r="328" ht="46" customHeight="1">
      <x:c r="A328" s="17" t="n">
        <x:v>46335</x:v>
      </x:c>
      <x:c r="B328" s="2" t="str">
        <x:v>Approved SOPs</x:v>
      </x:c>
      <x:c r="C328" s="2"/>
      <x:c r="D328" s="2" t="str">
        <x:v>Cumulative total</x:v>
      </x:c>
      <x:c r="E328" s="20"/>
      <x:c r="F328" s="20"/>
      <x:c r="G328" s="20"/>
      <x:c r="H328" s="2" t="str">
        <x:f>IF(D328="Rate",IF(COUNT(F328:G328)&lt;2,"",IF(G328=0,"n.a.",F328/G328)),IF(COUNT(E328)=0,"",E328))</x:f>
      </x:c>
      <x:c r="I328" s="2" t="str">
        <x:f>IF(AND(ISNUMBER(H328),ISNUMBER(C328)),H328-C328,"")</x:f>
      </x:c>
      <x:c r="J328" s="2" t="str">
        <x:v>SOPs</x:v>
      </x:c>
      <x:c r="K328" s="2" t="str">
        <x:v>Wyline</x:v>
      </x:c>
      <x:c r="L328" s="28" t="str"/>
      <x:c r="M328" s="20"/>
      <x:c r="N328" s="21"/>
      <x:c r="O328" s="26" t="str">
        <x:v>10 core SOPs plus ADS-01 and SOC-01 additions; approved version and independent-run evidence required.</x:v>
      </x:c>
      <x:c r="P328" s="26" t="str">
        <x:v>PDF §8 with §§17 b–d additions</x:v>
      </x:c>
      <x:c r="Q328" s="2" t="n">
        <x:f>IF(ISNUMBER(H328),1,0)</x:f>
        <x:v>0</x:v>
      </x:c>
    </x:row>
    <x:row r="329" ht="46" customHeight="1">
      <x:c r="A329" s="17" t="n">
        <x:v>46335</x:v>
      </x:c>
      <x:c r="B329" s="2" t="str">
        <x:v>Accepted AI agents</x:v>
      </x:c>
      <x:c r="C329" s="2"/>
      <x:c r="D329" s="2" t="str">
        <x:v>Cumulative total</x:v>
      </x:c>
      <x:c r="E329" s="20"/>
      <x:c r="F329" s="20"/>
      <x:c r="G329" s="20"/>
      <x:c r="H329" s="2" t="str">
        <x:f>IF(D329="Rate",IF(COUNT(F329:G329)&lt;2,"",IF(G329=0,"n.a.",F329/G329)),IF(COUNT(E329)=0,"",E329))</x:f>
      </x:c>
      <x:c r="I329" s="2" t="str">
        <x:f>IF(AND(ISNUMBER(H329),ISNUMBER(C329)),H329-C329,"")</x:f>
      </x:c>
      <x:c r="J329" s="2" t="str">
        <x:v>agents</x:v>
      </x:c>
      <x:c r="K329" s="2" t="str">
        <x:v>Emman</x:v>
      </x:c>
      <x:c r="L329" s="28" t="str"/>
      <x:c r="M329" s="20"/>
      <x:c r="N329" s="21"/>
      <x:c r="O329" s="26" t="str">
        <x:v>Scout, Writer, Inbox, Phone Assist, LinkedIn Assist, Follow-up, Scoreboard and Client Reporter; acceptance evidence required.</x:v>
      </x:c>
      <x:c r="P329" s="26" t="str">
        <x:v>PDF §7</x:v>
      </x:c>
      <x:c r="Q329" s="2" t="n">
        <x:f>IF(ISNUMBER(H329),1,0)</x:f>
        <x:v>0</x:v>
      </x:c>
    </x:row>
    <x:row r="330" ht="46" customHeight="1">
      <x:c r="A330" s="17" t="n">
        <x:v>46336</x:v>
      </x:c>
      <x:c r="B330" s="2" t="str">
        <x:v>Qualified inquiries</x:v>
      </x:c>
      <x:c r="C330" s="2" t="n">
        <x:v>6</x:v>
      </x:c>
      <x:c r="D330" s="2" t="str">
        <x:v>Cumulative total</x:v>
      </x:c>
      <x:c r="E330" s="20"/>
      <x:c r="F330" s="20"/>
      <x:c r="G330" s="20"/>
      <x:c r="H330" s="2" t="str">
        <x:f>IF(D330="Rate",IF(COUNT(F330:G330)&lt;2,"",IF(G330=0,"n.a.",F330/G330)),IF(COUNT(E330)=0,"",E330))</x:f>
      </x:c>
      <x:c r="I330" s="2" t="str">
        <x:f>IF(AND(ISNUMBER(H330),ISNUMBER(C330)),H330-C330,"")</x:f>
      </x:c>
      <x:c r="J330" s="2" t="str">
        <x:v>inquiries</x:v>
      </x:c>
      <x:c r="K330" s="2" t="str">
        <x:v>Nova</x:v>
      </x:c>
      <x:c r="L330" s="28" t="str"/>
      <x:c r="M330" s="20"/>
      <x:c r="N330" s="21"/>
      <x:c r="O330" s="26" t="str">
        <x:v>Unique ICP-matched practices that express relevant interest, need or timing; Nova records practice type, decision-maker access, case volume, service need and readiness within 30–60 days. Raw records, opens and connection accepts do not qualify.</x:v>
      </x:c>
      <x:c r="P330" s="26" t="str">
        <x:v>Original proposal pages 2 and 4 define qualification; 40 by Dec 16 and intermediate pace are newly proposed recovery targets.</x:v>
      </x:c>
      <x:c r="Q330" s="2" t="n">
        <x:f>IF(ISNUMBER(H330),1,0)</x:f>
        <x:v>0</x:v>
      </x:c>
    </x:row>
    <x:row r="331" ht="46" customHeight="1">
      <x:c r="A331" s="17" t="n">
        <x:v>46336</x:v>
      </x:c>
      <x:c r="B331" s="2" t="str">
        <x:v>Qualified conversations booked</x:v>
      </x:c>
      <x:c r="C331" s="2" t="n">
        <x:v>3</x:v>
      </x:c>
      <x:c r="D331" s="2" t="str">
        <x:v>Cumulative total</x:v>
      </x:c>
      <x:c r="E331" s="20"/>
      <x:c r="F331" s="20"/>
      <x:c r="G331" s="20"/>
      <x:c r="H331" s="2" t="str">
        <x:f>IF(D331="Rate",IF(COUNT(F331:G331)&lt;2,"",IF(G331=0,"n.a.",F331/G331)),IF(COUNT(E331)=0,"",E331))</x:f>
      </x:c>
      <x:c r="I331" s="2" t="str">
        <x:f>IF(AND(ISNUMBER(H331),ISNUMBER(C331)),H331-C331,"")</x:f>
      </x:c>
      <x:c r="J331" s="2" t="str">
        <x:v>bookings</x:v>
      </x:c>
      <x:c r="K331" s="2" t="str">
        <x:v>Nova</x:v>
      </x:c>
      <x:c r="L331" s="28" t="str"/>
      <x:c r="M331" s="20"/>
      <x:c r="N331" s="21"/>
      <x:c r="O331" s="26" t="str">
        <x:v>Unique qualified calls/visits booked with Nic; rebooking same opportunity is not a new booking.</x:v>
      </x:c>
      <x:c r="P331" s="26" t="str">
        <x:v>PDF §10; final deadline advanced to user Dec 16</x:v>
      </x:c>
      <x:c r="Q331" s="2" t="n">
        <x:f>IF(ISNUMBER(H331),1,0)</x:f>
        <x:v>0</x:v>
      </x:c>
    </x:row>
    <x:row r="332" ht="46" customHeight="1">
      <x:c r="A332" s="17" t="n">
        <x:v>46336</x:v>
      </x:c>
      <x:c r="B332" s="2" t="str">
        <x:v>Qualified conversations held</x:v>
      </x:c>
      <x:c r="C332" s="2" t="n">
        <x:v>1</x:v>
      </x:c>
      <x:c r="D332" s="2" t="str">
        <x:v>Cumulative total</x:v>
      </x:c>
      <x:c r="E332" s="20"/>
      <x:c r="F332" s="20"/>
      <x:c r="G332" s="20"/>
      <x:c r="H332" s="2" t="str">
        <x:f>IF(D332="Rate",IF(COUNT(F332:G332)&lt;2,"",IF(G332=0,"n.a.",F332/G332)),IF(COUNT(E332)=0,"",E332))</x:f>
      </x:c>
      <x:c r="I332" s="2" t="str">
        <x:f>IF(AND(ISNUMBER(H332),ISNUMBER(C332)),H332-C332,"")</x:f>
      </x:c>
      <x:c r="J332" s="2" t="str">
        <x:v>held</x:v>
      </x:c>
      <x:c r="K332" s="2" t="str">
        <x:v>Nova</x:v>
      </x:c>
      <x:c r="L332" s="28" t="str"/>
      <x:c r="M332" s="20"/>
      <x:c r="N332" s="21"/>
      <x:c r="O332" s="26" t="str">
        <x:v>Completed qualified calls/visits; 6 and 15 are integer planning proxies for 70% of 8 and 75% of 20.</x:v>
      </x:c>
      <x:c r="P332" s="26" t="str">
        <x:v>Derived from source held-rate targets</x:v>
      </x:c>
      <x:c r="Q332" s="2" t="n">
        <x:f>IF(ISNUMBER(H332),1,0)</x:f>
        <x:v>0</x:v>
      </x:c>
    </x:row>
    <x:row r="333" ht="46" customHeight="1">
      <x:c r="A333" s="17" t="n">
        <x:v>46336</x:v>
      </x:c>
      <x:c r="B333" s="2" t="str">
        <x:v>Trial cases received by DSI</x:v>
      </x:c>
      <x:c r="C333" s="2" t="n">
        <x:v>0</x:v>
      </x:c>
      <x:c r="D333" s="2" t="str">
        <x:v>Cumulative total</x:v>
      </x:c>
      <x:c r="E333" s="20"/>
      <x:c r="F333" s="20"/>
      <x:c r="G333" s="20"/>
      <x:c r="H333" s="2" t="str">
        <x:f>IF(D333="Rate",IF(COUNT(F333:G333)&lt;2,"",IF(G333=0,"n.a.",F333/G333)),IF(COUNT(E333)=0,"",E333))</x:f>
      </x:c>
      <x:c r="I333" s="2" t="str">
        <x:f>IF(AND(ISNUMBER(H333),ISNUMBER(C333)),H333-C333,"")</x:f>
      </x:c>
      <x:c r="J333" s="2" t="str">
        <x:v>trials</x:v>
      </x:c>
      <x:c r="K333" s="2" t="str">
        <x:v>Maseeha</x:v>
      </x:c>
      <x:c r="L333" s="28" t="str"/>
      <x:c r="M333" s="20"/>
      <x:c r="N333" s="21"/>
      <x:c r="O333" s="26" t="str">
        <x:v>Practice’s first trial case received by DSI, not merely promised or shipped; subject to Maseeha capacity.</x:v>
      </x:c>
      <x:c r="P333" s="26" t="str">
        <x:v>PDF §10; final deadline advanced to user Dec 16</x:v>
      </x:c>
      <x:c r="Q333" s="2" t="n">
        <x:f>IF(ISNUMBER(H333),1,0)</x:f>
        <x:v>0</x:v>
      </x:c>
    </x:row>
    <x:row r="334" ht="46" customHeight="1">
      <x:c r="A334" s="17" t="n">
        <x:v>46336</x:v>
      </x:c>
      <x:c r="B334" s="2" t="str">
        <x:v>Recurring accounts signed</x:v>
      </x:c>
      <x:c r="C334" s="2"/>
      <x:c r="D334" s="2" t="str">
        <x:v>Cumulative total</x:v>
      </x:c>
      <x:c r="E334" s="20"/>
      <x:c r="F334" s="20"/>
      <x:c r="G334" s="20"/>
      <x:c r="H334" s="2" t="str">
        <x:f>IF(D334="Rate",IF(COUNT(F334:G334)&lt;2,"",IF(G334=0,"n.a.",F334/G334)),IF(COUNT(E334)=0,"",E334))</x:f>
      </x:c>
      <x:c r="I334" s="2" t="str">
        <x:f>IF(AND(ISNUMBER(H334),ISNUMBER(C334)),H334-C334,"")</x:f>
      </x:c>
      <x:c r="J334" s="2" t="str">
        <x:v>accounts</x:v>
      </x:c>
      <x:c r="K334" s="2" t="str">
        <x:v>Nic</x:v>
      </x:c>
      <x:c r="L334" s="28" t="str"/>
      <x:c r="M334" s="20"/>
      <x:c r="N334" s="21"/>
      <x:c r="O334" s="26" t="str">
        <x:v>Plan signed following Day-30 review; only mature trial cohorts eligible. 1–3 is a conditional range.</x:v>
      </x:c>
      <x:c r="P334" s="26" t="str">
        <x:v>PDF §10</x:v>
      </x:c>
      <x:c r="Q334" s="2" t="n">
        <x:f>IF(ISNUMBER(H334),1,0)</x:f>
        <x:v>0</x:v>
      </x:c>
    </x:row>
    <x:row r="335" ht="46" customHeight="1">
      <x:c r="A335" s="17" t="n">
        <x:v>46336</x:v>
      </x:c>
      <x:c r="B335" s="2" t="str">
        <x:v>Referral-sourced bookings</x:v>
      </x:c>
      <x:c r="C335" s="2" t="n">
        <x:v>1</x:v>
      </x:c>
      <x:c r="D335" s="2" t="str">
        <x:v>Cumulative total</x:v>
      </x:c>
      <x:c r="E335" s="20"/>
      <x:c r="F335" s="20"/>
      <x:c r="G335" s="20"/>
      <x:c r="H335" s="2" t="str">
        <x:f>IF(D335="Rate",IF(COUNT(F335:G335)&lt;2,"",IF(G335=0,"n.a.",F335/G335)),IF(COUNT(E335)=0,"",E335))</x:f>
      </x:c>
      <x:c r="I335" s="2" t="str">
        <x:f>IF(AND(ISNUMBER(H335),ISNUMBER(C335)),H335-C335,"")</x:f>
      </x:c>
      <x:c r="J335" s="2" t="str">
        <x:v>bookings</x:v>
      </x:c>
      <x:c r="K335" s="2" t="str">
        <x:v>Nova</x:v>
      </x:c>
      <x:c r="L335" s="28" t="str"/>
      <x:c r="M335" s="20"/>
      <x:c r="N335" s="21"/>
      <x:c r="O335" s="26" t="str">
        <x:v>Subset of booked total with primary Source=Referral; never added on top of all-channel bookings.</x:v>
      </x:c>
      <x:c r="P335" s="26" t="str">
        <x:v>PDF §§10, 16</x:v>
      </x:c>
      <x:c r="Q335" s="2" t="n">
        <x:f>IF(ISNUMBER(H335),1,0)</x:f>
        <x:v>0</x:v>
      </x:c>
    </x:row>
    <x:row r="336" ht="46" customHeight="1">
      <x:c r="A336" s="17" t="n">
        <x:v>46336</x:v>
      </x:c>
      <x:c r="B336" s="2" t="str">
        <x:v>LinkedIn DM-sourced bookings</x:v>
      </x:c>
      <x:c r="C336" s="2" t="n">
        <x:v>1</x:v>
      </x:c>
      <x:c r="D336" s="2" t="str">
        <x:v>Cumulative total</x:v>
      </x:c>
      <x:c r="E336" s="20"/>
      <x:c r="F336" s="20"/>
      <x:c r="G336" s="20"/>
      <x:c r="H336" s="2" t="str">
        <x:f>IF(D336="Rate",IF(COUNT(F336:G336)&lt;2,"",IF(G336=0,"n.a.",F336/G336)),IF(COUNT(E336)=0,"",E336))</x:f>
      </x:c>
      <x:c r="I336" s="2" t="str">
        <x:f>IF(AND(ISNUMBER(H336),ISNUMBER(C336)),H336-C336,"")</x:f>
      </x:c>
      <x:c r="J336" s="2" t="str">
        <x:v>bookings</x:v>
      </x:c>
      <x:c r="K336" s="2" t="str">
        <x:v>Dexter</x:v>
      </x:c>
      <x:c r="L336" s="28" t="str"/>
      <x:c r="M336" s="20"/>
      <x:c r="N336" s="21"/>
      <x:c r="O336" s="26" t="str">
        <x:v>Subset of booked total with primary Source=LinkedIn DM; assists tracked separately.</x:v>
      </x:c>
      <x:c r="P336" s="26" t="str">
        <x:v>PDF §§10, 17 a</x:v>
      </x:c>
      <x:c r="Q336" s="2" t="n">
        <x:f>IF(ISNUMBER(H336),1,0)</x:f>
        <x:v>0</x:v>
      </x:c>
    </x:row>
    <x:row r="337" ht="46" customHeight="1">
      <x:c r="A337" s="17" t="n">
        <x:v>46336</x:v>
      </x:c>
      <x:c r="B337" s="2" t="str">
        <x:v>Verified contacts ready</x:v>
      </x:c>
      <x:c r="C337" s="2" t="n">
        <x:v>500</x:v>
      </x:c>
      <x:c r="D337" s="2" t="str">
        <x:v>Cumulative total</x:v>
      </x:c>
      <x:c r="E337" s="20"/>
      <x:c r="F337" s="20"/>
      <x:c r="G337" s="20"/>
      <x:c r="H337" s="2" t="str">
        <x:f>IF(D337="Rate",IF(COUNT(F337:G337)&lt;2,"",IF(G337=0,"n.a.",F337/G337)),IF(COUNT(E337)=0,"",E337))</x:f>
      </x:c>
      <x:c r="I337" s="2" t="str">
        <x:f>IF(AND(ISNUMBER(H337),ISNUMBER(C337)),H337-C337,"")</x:f>
      </x:c>
      <x:c r="J337" s="2" t="str">
        <x:v>contacts</x:v>
      </x:c>
      <x:c r="K337" s="2" t="str">
        <x:v>Joey</x:v>
      </x:c>
      <x:c r="L337" s="28" t="str"/>
      <x:c r="M337" s="20"/>
      <x:c r="N337" s="21"/>
      <x:c r="O337" s="26" t="str">
        <x:v>Unique contacts passing Scout and loaded in CQL; count once per contact.</x:v>
      </x:c>
      <x:c r="P337" s="26" t="str">
        <x:v>PDF §§10, 14; 750 due Dec 12 moved to Fri Dec 11</x:v>
      </x:c>
      <x:c r="Q337" s="2" t="n">
        <x:f>IF(ISNUMBER(H337),1,0)</x:f>
        <x:v>0</x:v>
      </x:c>
    </x:row>
    <x:row r="338" ht="46" customHeight="1">
      <x:c r="A338" s="17" t="n">
        <x:v>46336</x:v>
      </x:c>
      <x:c r="B338" s="2" t="str">
        <x:v>Permission-based referral introductions</x:v>
      </x:c>
      <x:c r="C338" s="2" t="n">
        <x:v>3</x:v>
      </x:c>
      <x:c r="D338" s="2" t="str">
        <x:v>Cumulative total</x:v>
      </x:c>
      <x:c r="E338" s="20"/>
      <x:c r="F338" s="20"/>
      <x:c r="G338" s="20"/>
      <x:c r="H338" s="2" t="str">
        <x:f>IF(D338="Rate",IF(COUNT(F338:G338)&lt;2,"",IF(G338=0,"n.a.",F338/G338)),IF(COUNT(E338)=0,"",E338))</x:f>
      </x:c>
      <x:c r="I338" s="2" t="str">
        <x:f>IF(AND(ISNUMBER(H338),ISNUMBER(C338)),H338-C338,"")</x:f>
      </x:c>
      <x:c r="J338" s="2" t="str">
        <x:v>introductions</x:v>
      </x:c>
      <x:c r="K338" s="2" t="str">
        <x:v>Maseeha</x:v>
      </x:c>
      <x:c r="L338" s="28" t="str"/>
      <x:c r="M338" s="20"/>
      <x:c r="N338" s="21"/>
      <x:c r="O338" s="26" t="str">
        <x:v>Unique introductions with consent and referrer recorded, verified by Maseeha within 2 business days.</x:v>
      </x:c>
      <x:c r="P338" s="26" t="str">
        <x:v>PDF §§10, 16</x:v>
      </x:c>
      <x:c r="Q338" s="2" t="n">
        <x:f>IF(ISNUMBER(H338),1,0)</x:f>
        <x:v>0</x:v>
      </x:c>
    </x:row>
    <x:row r="339" ht="46" customHeight="1">
      <x:c r="A339" s="17" t="n">
        <x:v>46336</x:v>
      </x:c>
      <x:c r="B339" s="2" t="str">
        <x:v>Human reply rate</x:v>
      </x:c>
      <x:c r="C339" s="40" t="n">
        <x:v>0.02</x:v>
      </x:c>
      <x:c r="D339" s="2" t="str">
        <x:v>Rate</x:v>
      </x:c>
      <x:c r="E339" s="20"/>
      <x:c r="F339" s="20"/>
      <x:c r="G339" s="20"/>
      <x:c r="H339" s="40" t="str">
        <x:f>IF(D339="Rate",IF(COUNT(F339:G339)&lt;2,"",IF(G339=0,"n.a.",F339/G339)),IF(COUNT(E339)=0,"",E339))</x:f>
      </x:c>
      <x:c r="I339" s="40" t="str">
        <x:f>IF(AND(ISNUMBER(H339),ISNUMBER(C339)),H339-C339,"")</x:f>
      </x:c>
      <x:c r="J339" s="2" t="str">
        <x:v>%</x:v>
      </x:c>
      <x:c r="K339" s="2" t="str">
        <x:v>Kenneth</x:v>
      </x:c>
      <x:c r="L339" s="28" t="str"/>
      <x:c r="M339" s="20"/>
      <x:c r="N339" s="21"/>
      <x:c r="O339" s="26" t="str">
        <x:v>Unique emailed contacts that give a qualifying human reply / unique contacts emailed in the same send cohort. Exclude OOO, auto-replies, bounces and unsubscribe-only replies. Deduplicate contacts across sequence steps; zero denominator is N/A.</x:v>
      </x:c>
      <x:c r="P339" s="26" t="str">
        <x:v>PDF §10</x:v>
      </x:c>
      <x:c r="Q339" s="2" t="n">
        <x:f>IF(ISNUMBER(H339),1,0)</x:f>
        <x:v>0</x:v>
      </x:c>
    </x:row>
    <x:row r="340" ht="46" customHeight="1">
      <x:c r="A340" s="17" t="n">
        <x:v>46336</x:v>
      </x:c>
      <x:c r="B340" s="2" t="str">
        <x:v>Positive reply rate</x:v>
      </x:c>
      <x:c r="C340" s="40" t="n">
        <x:v>0.01</x:v>
      </x:c>
      <x:c r="D340" s="2" t="str">
        <x:v>Rate</x:v>
      </x:c>
      <x:c r="E340" s="20"/>
      <x:c r="F340" s="20"/>
      <x:c r="G340" s="20"/>
      <x:c r="H340" s="40" t="str">
        <x:f>IF(D340="Rate",IF(COUNT(F340:G340)&lt;2,"",IF(G340=0,"n.a.",F340/G340)),IF(COUNT(E340)=0,"",E340))</x:f>
      </x:c>
      <x:c r="I340" s="40" t="str">
        <x:f>IF(AND(ISNUMBER(H340),ISNUMBER(C340)),H340-C340,"")</x:f>
      </x:c>
      <x:c r="J340" s="2" t="str">
        <x:v>%</x:v>
      </x:c>
      <x:c r="K340" s="2" t="str">
        <x:v>Kenneth</x:v>
      </x:c>
      <x:c r="L340" s="28" t="str"/>
      <x:c r="M340" s="20"/>
      <x:c r="N340" s="21"/>
      <x:c r="O340" s="26" t="str">
        <x:v>Unique emailed contacts classified interested or relevant question / unique contacts emailed in the same send cohort. Deduplicate across sequence steps; zero denominator is N/A. Keep this email rate separate from all-channel qualified inquiries.</x:v>
      </x:c>
      <x:c r="P340" s="26" t="str">
        <x:v>PDF §10</x:v>
      </x:c>
      <x:c r="Q340" s="2" t="n">
        <x:f>IF(ISNUMBER(H340),1,0)</x:f>
        <x:v>0</x:v>
      </x:c>
    </x:row>
    <x:row r="341" ht="46" customHeight="1">
      <x:c r="A341" s="17" t="n">
        <x:v>46336</x:v>
      </x:c>
      <x:c r="B341" s="2" t="str">
        <x:v>Replies answered within 15 minutes</x:v>
      </x:c>
      <x:c r="C341" s="40" t="n">
        <x:v>1</x:v>
      </x:c>
      <x:c r="D341" s="2" t="str">
        <x:v>Rate</x:v>
      </x:c>
      <x:c r="E341" s="20"/>
      <x:c r="F341" s="20"/>
      <x:c r="G341" s="20"/>
      <x:c r="H341" s="40" t="str">
        <x:f>IF(D341="Rate",IF(COUNT(F341:G341)&lt;2,"",IF(G341=0,"n.a.",F341/G341)),IF(COUNT(E341)=0,"",E341))</x:f>
      </x:c>
      <x:c r="I341" s="40" t="str">
        <x:f>IF(AND(ISNUMBER(H341),ISNUMBER(C341)),H341-C341,"")</x:f>
      </x:c>
      <x:c r="J341" s="2" t="str">
        <x:v>%</x:v>
      </x:c>
      <x:c r="K341" s="2" t="str">
        <x:v>Nova</x:v>
      </x:c>
      <x:c r="L341" s="28" t="str"/>
      <x:c r="M341" s="20"/>
      <x:c r="N341" s="21"/>
      <x:c r="O341"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41" s="26" t="str">
        <x:v>PDF §9; clock convention clarified for tracker</x:v>
      </x:c>
      <x:c r="Q341" s="2" t="n">
        <x:f>IF(ISNUMBER(H341),1,0)</x:f>
        <x:v>0</x:v>
      </x:c>
    </x:row>
    <x:row r="342" ht="46" customHeight="1">
      <x:c r="A342" s="17" t="n">
        <x:v>46336</x:v>
      </x:c>
      <x:c r="B342" s="2" t="str">
        <x:v>Held rate</x:v>
      </x:c>
      <x:c r="C342" s="40" t="n">
        <x:v>0.7</x:v>
      </x:c>
      <x:c r="D342" s="2" t="str">
        <x:v>Rate</x:v>
      </x:c>
      <x:c r="E342" s="20"/>
      <x:c r="F342" s="20"/>
      <x:c r="G342" s="20"/>
      <x:c r="H342" s="40" t="str">
        <x:f>IF(D342="Rate",IF(COUNT(F342:G342)&lt;2,"",IF(G342=0,"n.a.",F342/G342)),IF(COUNT(E342)=0,"",E342))</x:f>
      </x:c>
      <x:c r="I342" s="40" t="str">
        <x:f>IF(AND(ISNUMBER(H342),ISNUMBER(C342)),H342-C342,"")</x:f>
      </x:c>
      <x:c r="J342" s="2" t="str">
        <x:v>%</x:v>
      </x:c>
      <x:c r="K342" s="2" t="str">
        <x:v>Nova</x:v>
      </x:c>
      <x:c r="L342" s="28" t="str"/>
      <x:c r="M342" s="20"/>
      <x:c r="N342" s="21"/>
      <x:c r="O342" s="26" t="str">
        <x:v>Qualified conversations actually held / unique booked conversations whose scheduled time has passed. Exclude upcoming appointments. Rebooking the same opportunity is not a second booking. A zero denominator is N/A.</x:v>
      </x:c>
      <x:c r="P342" s="26" t="str">
        <x:v>PDF §10; due-cohort denominator clarified</x:v>
      </x:c>
      <x:c r="Q342" s="2" t="n">
        <x:f>IF(ISNUMBER(H342),1,0)</x:f>
        <x:v>0</x:v>
      </x:c>
    </x:row>
    <x:row r="343" ht="46" customHeight="1">
      <x:c r="A343" s="17" t="n">
        <x:v>46336</x:v>
      </x:c>
      <x:c r="B343" s="2" t="str">
        <x:v>Positive-to-booked conversion</x:v>
      </x:c>
      <x:c r="C343" s="40" t="n">
        <x:v>0.5</x:v>
      </x:c>
      <x:c r="D343" s="2" t="str">
        <x:v>Rate</x:v>
      </x:c>
      <x:c r="E343" s="20"/>
      <x:c r="F343" s="20"/>
      <x:c r="G343" s="20"/>
      <x:c r="H343" s="40" t="str">
        <x:f>IF(D343="Rate",IF(COUNT(F343:G343)&lt;2,"",IF(G343=0,"n.a.",F343/G343)),IF(COUNT(E343)=0,"",E343))</x:f>
      </x:c>
      <x:c r="I343" s="40" t="str">
        <x:f>IF(AND(ISNUMBER(H343),ISNUMBER(C343)),H343-C343,"")</x:f>
      </x:c>
      <x:c r="J343" s="2" t="str">
        <x:v>%</x:v>
      </x:c>
      <x:c r="K343" s="2" t="str">
        <x:v>Nova</x:v>
      </x:c>
      <x:c r="L343" s="28" t="str"/>
      <x:c r="M343" s="20"/>
      <x:c r="N343" s="21"/>
      <x:c r="O343" s="26" t="str">
        <x:v>Unique email-positive opportunities booked / unique email-positive opportunities in the same reviewed cohort. Use a documented follow-up window. This differs from the all-channel 40-inquiry/20-booking planning assumption. A zero denominator is N/A.</x:v>
      </x:c>
      <x:c r="P343" s="26" t="str">
        <x:v>PDF §9</x:v>
      </x:c>
      <x:c r="Q343" s="2" t="n">
        <x:f>IF(ISNUMBER(H343),1,0)</x:f>
        <x:v>0</x:v>
      </x:c>
    </x:row>
    <x:row r="344" ht="46" customHeight="1">
      <x:c r="A344" s="17" t="n">
        <x:v>46336</x:v>
      </x:c>
      <x:c r="B344" s="2" t="str">
        <x:v>Existing-account referral asks</x:v>
      </x:c>
      <x:c r="C344" s="2" t="n">
        <x:v>19</x:v>
      </x:c>
      <x:c r="D344" s="2" t="str">
        <x:v>Cumulative total</x:v>
      </x:c>
      <x:c r="E344" s="20"/>
      <x:c r="F344" s="20"/>
      <x:c r="G344" s="20"/>
      <x:c r="H344" s="2" t="str">
        <x:f>IF(D344="Rate",IF(COUNT(F344:G344)&lt;2,"",IF(G344=0,"n.a.",F344/G344)),IF(COUNT(E344)=0,"",E344))</x:f>
      </x:c>
      <x:c r="I344" s="2" t="str">
        <x:f>IF(AND(ISNUMBER(H344),ISNUMBER(C344)),H344-C344,"")</x:f>
      </x:c>
      <x:c r="J344" s="2" t="str">
        <x:v>accounts asked</x:v>
      </x:c>
      <x:c r="K344" s="2" t="str">
        <x:v>Maseeha</x:v>
      </x:c>
      <x:c r="L344" s="28" t="str"/>
      <x:c r="M344" s="20"/>
      <x:c r="N344" s="21"/>
      <x:c r="O344" s="26" t="str">
        <x:v>Ask 25 unique A/B accounts (5 A and 20 B) by November 13; proposed pace 35 total by November 20; complete the remaining C accounts to reach 41 total by November 25. One introduction is the ask; asks and received intros are separate counts.</x:v>
      </x:c>
      <x:c r="P344" s="26" t="str">
        <x:v>PDF §16 supplies 25 A/B byNov 14 and 16 C byNov 25; Friday deadline and 35-byNov 20 pace are proposed scheduling allocations.</x:v>
      </x:c>
      <x:c r="Q344" s="2" t="n">
        <x:f>IF(ISNUMBER(H344),1,0)</x:f>
        <x:v>0</x:v>
      </x:c>
    </x:row>
    <x:row r="345" ht="46" customHeight="1">
      <x:c r="A345" s="17" t="n">
        <x:v>46336</x:v>
      </x:c>
      <x:c r="B345" s="2" t="str">
        <x:v>Approved SOPs</x:v>
      </x:c>
      <x:c r="C345" s="2"/>
      <x:c r="D345" s="2" t="str">
        <x:v>Cumulative total</x:v>
      </x:c>
      <x:c r="E345" s="20"/>
      <x:c r="F345" s="20"/>
      <x:c r="G345" s="20"/>
      <x:c r="H345" s="2" t="str">
        <x:f>IF(D345="Rate",IF(COUNT(F345:G345)&lt;2,"",IF(G345=0,"n.a.",F345/G345)),IF(COUNT(E345)=0,"",E345))</x:f>
      </x:c>
      <x:c r="I345" s="2" t="str">
        <x:f>IF(AND(ISNUMBER(H345),ISNUMBER(C345)),H345-C345,"")</x:f>
      </x:c>
      <x:c r="J345" s="2" t="str">
        <x:v>SOPs</x:v>
      </x:c>
      <x:c r="K345" s="2" t="str">
        <x:v>Wyline</x:v>
      </x:c>
      <x:c r="L345" s="28" t="str"/>
      <x:c r="M345" s="20"/>
      <x:c r="N345" s="21"/>
      <x:c r="O345" s="26" t="str">
        <x:v>10 core SOPs plus ADS-01 and SOC-01 additions; approved version and independent-run evidence required.</x:v>
      </x:c>
      <x:c r="P345" s="26" t="str">
        <x:v>PDF §8 with §§17 b–d additions</x:v>
      </x:c>
      <x:c r="Q345" s="2" t="n">
        <x:f>IF(ISNUMBER(H345),1,0)</x:f>
        <x:v>0</x:v>
      </x:c>
    </x:row>
    <x:row r="346" ht="46" customHeight="1">
      <x:c r="A346" s="17" t="n">
        <x:v>46336</x:v>
      </x:c>
      <x:c r="B346" s="2" t="str">
        <x:v>Accepted AI agents</x:v>
      </x:c>
      <x:c r="C346" s="2"/>
      <x:c r="D346" s="2" t="str">
        <x:v>Cumulative total</x:v>
      </x:c>
      <x:c r="E346" s="20"/>
      <x:c r="F346" s="20"/>
      <x:c r="G346" s="20"/>
      <x:c r="H346" s="2" t="str">
        <x:f>IF(D346="Rate",IF(COUNT(F346:G346)&lt;2,"",IF(G346=0,"n.a.",F346/G346)),IF(COUNT(E346)=0,"",E346))</x:f>
      </x:c>
      <x:c r="I346" s="2" t="str">
        <x:f>IF(AND(ISNUMBER(H346),ISNUMBER(C346)),H346-C346,"")</x:f>
      </x:c>
      <x:c r="J346" s="2" t="str">
        <x:v>agents</x:v>
      </x:c>
      <x:c r="K346" s="2" t="str">
        <x:v>Emman</x:v>
      </x:c>
      <x:c r="L346" s="28" t="str"/>
      <x:c r="M346" s="20"/>
      <x:c r="N346" s="21"/>
      <x:c r="O346" s="26" t="str">
        <x:v>Scout, Writer, Inbox, Phone Assist, LinkedIn Assist, Follow-up, Scoreboard and Client Reporter; acceptance evidence required.</x:v>
      </x:c>
      <x:c r="P346" s="26" t="str">
        <x:v>PDF §7</x:v>
      </x:c>
      <x:c r="Q346" s="2" t="n">
        <x:f>IF(ISNUMBER(H346),1,0)</x:f>
        <x:v>0</x:v>
      </x:c>
    </x:row>
    <x:row r="347" ht="46" customHeight="1">
      <x:c r="A347" s="17" t="n">
        <x:v>46337</x:v>
      </x:c>
      <x:c r="B347" s="2" t="str">
        <x:v>Qualified inquiries</x:v>
      </x:c>
      <x:c r="C347" s="2" t="n">
        <x:v>7</x:v>
      </x:c>
      <x:c r="D347" s="2" t="str">
        <x:v>Cumulative total</x:v>
      </x:c>
      <x:c r="E347" s="20"/>
      <x:c r="F347" s="20"/>
      <x:c r="G347" s="20"/>
      <x:c r="H347" s="2" t="str">
        <x:f>IF(D347="Rate",IF(COUNT(F347:G347)&lt;2,"",IF(G347=0,"n.a.",F347/G347)),IF(COUNT(E347)=0,"",E347))</x:f>
      </x:c>
      <x:c r="I347" s="2" t="str">
        <x:f>IF(AND(ISNUMBER(H347),ISNUMBER(C347)),H347-C347,"")</x:f>
      </x:c>
      <x:c r="J347" s="2" t="str">
        <x:v>inquiries</x:v>
      </x:c>
      <x:c r="K347" s="2" t="str">
        <x:v>Nova</x:v>
      </x:c>
      <x:c r="L347" s="28" t="str"/>
      <x:c r="M347" s="20"/>
      <x:c r="N347" s="21"/>
      <x:c r="O347" s="26" t="str">
        <x:v>Unique ICP-matched practices that express relevant interest, need or timing; Nova records practice type, decision-maker access, case volume, service need and readiness within 30–60 days. Raw records, opens and connection accepts do not qualify.</x:v>
      </x:c>
      <x:c r="P347" s="26" t="str">
        <x:v>Original proposal pages 2 and 4 define qualification; 40 by Dec 16 and intermediate pace are newly proposed recovery targets.</x:v>
      </x:c>
      <x:c r="Q347" s="2" t="n">
        <x:f>IF(ISNUMBER(H347),1,0)</x:f>
        <x:v>0</x:v>
      </x:c>
    </x:row>
    <x:row r="348" ht="46" customHeight="1">
      <x:c r="A348" s="17" t="n">
        <x:v>46337</x:v>
      </x:c>
      <x:c r="B348" s="2" t="str">
        <x:v>Qualified conversations booked</x:v>
      </x:c>
      <x:c r="C348" s="2" t="n">
        <x:v>3</x:v>
      </x:c>
      <x:c r="D348" s="2" t="str">
        <x:v>Cumulative total</x:v>
      </x:c>
      <x:c r="E348" s="20"/>
      <x:c r="F348" s="20"/>
      <x:c r="G348" s="20"/>
      <x:c r="H348" s="2" t="str">
        <x:f>IF(D348="Rate",IF(COUNT(F348:G348)&lt;2,"",IF(G348=0,"n.a.",F348/G348)),IF(COUNT(E348)=0,"",E348))</x:f>
      </x:c>
      <x:c r="I348" s="2" t="str">
        <x:f>IF(AND(ISNUMBER(H348),ISNUMBER(C348)),H348-C348,"")</x:f>
      </x:c>
      <x:c r="J348" s="2" t="str">
        <x:v>bookings</x:v>
      </x:c>
      <x:c r="K348" s="2" t="str">
        <x:v>Nova</x:v>
      </x:c>
      <x:c r="L348" s="28" t="str"/>
      <x:c r="M348" s="20"/>
      <x:c r="N348" s="21"/>
      <x:c r="O348" s="26" t="str">
        <x:v>Unique qualified calls/visits booked with Nic; rebooking same opportunity is not a new booking.</x:v>
      </x:c>
      <x:c r="P348" s="26" t="str">
        <x:v>PDF §10; final deadline advanced to user Dec 16</x:v>
      </x:c>
      <x:c r="Q348" s="2" t="n">
        <x:f>IF(ISNUMBER(H348),1,0)</x:f>
        <x:v>0</x:v>
      </x:c>
    </x:row>
    <x:row r="349" ht="46" customHeight="1">
      <x:c r="A349" s="17" t="n">
        <x:v>46337</x:v>
      </x:c>
      <x:c r="B349" s="2" t="str">
        <x:v>Qualified conversations held</x:v>
      </x:c>
      <x:c r="C349" s="2" t="n">
        <x:v>2</x:v>
      </x:c>
      <x:c r="D349" s="2" t="str">
        <x:v>Cumulative total</x:v>
      </x:c>
      <x:c r="E349" s="20"/>
      <x:c r="F349" s="20"/>
      <x:c r="G349" s="20"/>
      <x:c r="H349" s="2" t="str">
        <x:f>IF(D349="Rate",IF(COUNT(F349:G349)&lt;2,"",IF(G349=0,"n.a.",F349/G349)),IF(COUNT(E349)=0,"",E349))</x:f>
      </x:c>
      <x:c r="I349" s="2" t="str">
        <x:f>IF(AND(ISNUMBER(H349),ISNUMBER(C349)),H349-C349,"")</x:f>
      </x:c>
      <x:c r="J349" s="2" t="str">
        <x:v>held</x:v>
      </x:c>
      <x:c r="K349" s="2" t="str">
        <x:v>Nova</x:v>
      </x:c>
      <x:c r="L349" s="28" t="str"/>
      <x:c r="M349" s="20"/>
      <x:c r="N349" s="21"/>
      <x:c r="O349" s="26" t="str">
        <x:v>Completed qualified calls/visits; 6 and 15 are integer planning proxies for 70% of 8 and 75% of 20.</x:v>
      </x:c>
      <x:c r="P349" s="26" t="str">
        <x:v>Derived from source held-rate targets</x:v>
      </x:c>
      <x:c r="Q349" s="2" t="n">
        <x:f>IF(ISNUMBER(H349),1,0)</x:f>
        <x:v>0</x:v>
      </x:c>
    </x:row>
    <x:row r="350" ht="46" customHeight="1">
      <x:c r="A350" s="17" t="n">
        <x:v>46337</x:v>
      </x:c>
      <x:c r="B350" s="2" t="str">
        <x:v>Trial cases received by DSI</x:v>
      </x:c>
      <x:c r="C350" s="2" t="n">
        <x:v>0</x:v>
      </x:c>
      <x:c r="D350" s="2" t="str">
        <x:v>Cumulative total</x:v>
      </x:c>
      <x:c r="E350" s="20"/>
      <x:c r="F350" s="20"/>
      <x:c r="G350" s="20"/>
      <x:c r="H350" s="2" t="str">
        <x:f>IF(D350="Rate",IF(COUNT(F350:G350)&lt;2,"",IF(G350=0,"n.a.",F350/G350)),IF(COUNT(E350)=0,"",E350))</x:f>
      </x:c>
      <x:c r="I350" s="2" t="str">
        <x:f>IF(AND(ISNUMBER(H350),ISNUMBER(C350)),H350-C350,"")</x:f>
      </x:c>
      <x:c r="J350" s="2" t="str">
        <x:v>trials</x:v>
      </x:c>
      <x:c r="K350" s="2" t="str">
        <x:v>Maseeha</x:v>
      </x:c>
      <x:c r="L350" s="28" t="str"/>
      <x:c r="M350" s="20"/>
      <x:c r="N350" s="21"/>
      <x:c r="O350" s="26" t="str">
        <x:v>Practice’s first trial case received by DSI, not merely promised or shipped; subject to Maseeha capacity.</x:v>
      </x:c>
      <x:c r="P350" s="26" t="str">
        <x:v>PDF §10; final deadline advanced to user Dec 16</x:v>
      </x:c>
      <x:c r="Q350" s="2" t="n">
        <x:f>IF(ISNUMBER(H350),1,0)</x:f>
        <x:v>0</x:v>
      </x:c>
    </x:row>
    <x:row r="351" ht="46" customHeight="1">
      <x:c r="A351" s="17" t="n">
        <x:v>46337</x:v>
      </x:c>
      <x:c r="B351" s="2" t="str">
        <x:v>Recurring accounts signed</x:v>
      </x:c>
      <x:c r="C351" s="2"/>
      <x:c r="D351" s="2" t="str">
        <x:v>Cumulative total</x:v>
      </x:c>
      <x:c r="E351" s="20"/>
      <x:c r="F351" s="20"/>
      <x:c r="G351" s="20"/>
      <x:c r="H351" s="2" t="str">
        <x:f>IF(D351="Rate",IF(COUNT(F351:G351)&lt;2,"",IF(G351=0,"n.a.",F351/G351)),IF(COUNT(E351)=0,"",E351))</x:f>
      </x:c>
      <x:c r="I351" s="2" t="str">
        <x:f>IF(AND(ISNUMBER(H351),ISNUMBER(C351)),H351-C351,"")</x:f>
      </x:c>
      <x:c r="J351" s="2" t="str">
        <x:v>accounts</x:v>
      </x:c>
      <x:c r="K351" s="2" t="str">
        <x:v>Nic</x:v>
      </x:c>
      <x:c r="L351" s="28" t="str"/>
      <x:c r="M351" s="20"/>
      <x:c r="N351" s="21"/>
      <x:c r="O351" s="26" t="str">
        <x:v>Plan signed following Day-30 review; only mature trial cohorts eligible. 1–3 is a conditional range.</x:v>
      </x:c>
      <x:c r="P351" s="26" t="str">
        <x:v>PDF §10</x:v>
      </x:c>
      <x:c r="Q351" s="2" t="n">
        <x:f>IF(ISNUMBER(H351),1,0)</x:f>
        <x:v>0</x:v>
      </x:c>
    </x:row>
    <x:row r="352" ht="46" customHeight="1">
      <x:c r="A352" s="17" t="n">
        <x:v>46337</x:v>
      </x:c>
      <x:c r="B352" s="2" t="str">
        <x:v>Referral-sourced bookings</x:v>
      </x:c>
      <x:c r="C352" s="2" t="n">
        <x:v>1</x:v>
      </x:c>
      <x:c r="D352" s="2" t="str">
        <x:v>Cumulative total</x:v>
      </x:c>
      <x:c r="E352" s="20"/>
      <x:c r="F352" s="20"/>
      <x:c r="G352" s="20"/>
      <x:c r="H352" s="2" t="str">
        <x:f>IF(D352="Rate",IF(COUNT(F352:G352)&lt;2,"",IF(G352=0,"n.a.",F352/G352)),IF(COUNT(E352)=0,"",E352))</x:f>
      </x:c>
      <x:c r="I352" s="2" t="str">
        <x:f>IF(AND(ISNUMBER(H352),ISNUMBER(C352)),H352-C352,"")</x:f>
      </x:c>
      <x:c r="J352" s="2" t="str">
        <x:v>bookings</x:v>
      </x:c>
      <x:c r="K352" s="2" t="str">
        <x:v>Nova</x:v>
      </x:c>
      <x:c r="L352" s="28" t="str"/>
      <x:c r="M352" s="20"/>
      <x:c r="N352" s="21"/>
      <x:c r="O352" s="26" t="str">
        <x:v>Subset of booked total with primary Source=Referral; never added on top of all-channel bookings.</x:v>
      </x:c>
      <x:c r="P352" s="26" t="str">
        <x:v>PDF §§10, 16</x:v>
      </x:c>
      <x:c r="Q352" s="2" t="n">
        <x:f>IF(ISNUMBER(H352),1,0)</x:f>
        <x:v>0</x:v>
      </x:c>
    </x:row>
    <x:row r="353" ht="46" customHeight="1">
      <x:c r="A353" s="17" t="n">
        <x:v>46337</x:v>
      </x:c>
      <x:c r="B353" s="2" t="str">
        <x:v>LinkedIn DM-sourced bookings</x:v>
      </x:c>
      <x:c r="C353" s="2" t="n">
        <x:v>1</x:v>
      </x:c>
      <x:c r="D353" s="2" t="str">
        <x:v>Cumulative total</x:v>
      </x:c>
      <x:c r="E353" s="20"/>
      <x:c r="F353" s="20"/>
      <x:c r="G353" s="20"/>
      <x:c r="H353" s="2" t="str">
        <x:f>IF(D353="Rate",IF(COUNT(F353:G353)&lt;2,"",IF(G353=0,"n.a.",F353/G353)),IF(COUNT(E353)=0,"",E353))</x:f>
      </x:c>
      <x:c r="I353" s="2" t="str">
        <x:f>IF(AND(ISNUMBER(H353),ISNUMBER(C353)),H353-C353,"")</x:f>
      </x:c>
      <x:c r="J353" s="2" t="str">
        <x:v>bookings</x:v>
      </x:c>
      <x:c r="K353" s="2" t="str">
        <x:v>Dexter</x:v>
      </x:c>
      <x:c r="L353" s="28" t="str"/>
      <x:c r="M353" s="20"/>
      <x:c r="N353" s="21"/>
      <x:c r="O353" s="26" t="str">
        <x:v>Subset of booked total with primary Source=LinkedIn DM; assists tracked separately.</x:v>
      </x:c>
      <x:c r="P353" s="26" t="str">
        <x:v>PDF §§10, 17 a</x:v>
      </x:c>
      <x:c r="Q353" s="2" t="n">
        <x:f>IF(ISNUMBER(H353),1,0)</x:f>
        <x:v>0</x:v>
      </x:c>
    </x:row>
    <x:row r="354" ht="46" customHeight="1">
      <x:c r="A354" s="17" t="n">
        <x:v>46337</x:v>
      </x:c>
      <x:c r="B354" s="2" t="str">
        <x:v>Verified contacts ready</x:v>
      </x:c>
      <x:c r="C354" s="2" t="n">
        <x:v>500</x:v>
      </x:c>
      <x:c r="D354" s="2" t="str">
        <x:v>Cumulative total</x:v>
      </x:c>
      <x:c r="E354" s="20"/>
      <x:c r="F354" s="20"/>
      <x:c r="G354" s="20"/>
      <x:c r="H354" s="2" t="str">
        <x:f>IF(D354="Rate",IF(COUNT(F354:G354)&lt;2,"",IF(G354=0,"n.a.",F354/G354)),IF(COUNT(E354)=0,"",E354))</x:f>
      </x:c>
      <x:c r="I354" s="2" t="str">
        <x:f>IF(AND(ISNUMBER(H354),ISNUMBER(C354)),H354-C354,"")</x:f>
      </x:c>
      <x:c r="J354" s="2" t="str">
        <x:v>contacts</x:v>
      </x:c>
      <x:c r="K354" s="2" t="str">
        <x:v>Joey</x:v>
      </x:c>
      <x:c r="L354" s="28" t="str"/>
      <x:c r="M354" s="20"/>
      <x:c r="N354" s="21"/>
      <x:c r="O354" s="26" t="str">
        <x:v>Unique contacts passing Scout and loaded in CQL; count once per contact.</x:v>
      </x:c>
      <x:c r="P354" s="26" t="str">
        <x:v>PDF §§10, 14; 750 due Dec 12 moved to Fri Dec 11</x:v>
      </x:c>
      <x:c r="Q354" s="2" t="n">
        <x:f>IF(ISNUMBER(H354),1,0)</x:f>
        <x:v>0</x:v>
      </x:c>
    </x:row>
    <x:row r="355" ht="46" customHeight="1">
      <x:c r="A355" s="17" t="n">
        <x:v>46337</x:v>
      </x:c>
      <x:c r="B355" s="2" t="str">
        <x:v>Permission-based referral introductions</x:v>
      </x:c>
      <x:c r="C355" s="2" t="n">
        <x:v>4</x:v>
      </x:c>
      <x:c r="D355" s="2" t="str">
        <x:v>Cumulative total</x:v>
      </x:c>
      <x:c r="E355" s="20"/>
      <x:c r="F355" s="20"/>
      <x:c r="G355" s="20"/>
      <x:c r="H355" s="2" t="str">
        <x:f>IF(D355="Rate",IF(COUNT(F355:G355)&lt;2,"",IF(G355=0,"n.a.",F355/G355)),IF(COUNT(E355)=0,"",E355))</x:f>
      </x:c>
      <x:c r="I355" s="2" t="str">
        <x:f>IF(AND(ISNUMBER(H355),ISNUMBER(C355)),H355-C355,"")</x:f>
      </x:c>
      <x:c r="J355" s="2" t="str">
        <x:v>introductions</x:v>
      </x:c>
      <x:c r="K355" s="2" t="str">
        <x:v>Maseeha</x:v>
      </x:c>
      <x:c r="L355" s="28" t="str"/>
      <x:c r="M355" s="20"/>
      <x:c r="N355" s="21"/>
      <x:c r="O355" s="26" t="str">
        <x:v>Unique introductions with consent and referrer recorded, verified by Maseeha within 2 business days.</x:v>
      </x:c>
      <x:c r="P355" s="26" t="str">
        <x:v>PDF §§10, 16</x:v>
      </x:c>
      <x:c r="Q355" s="2" t="n">
        <x:f>IF(ISNUMBER(H355),1,0)</x:f>
        <x:v>0</x:v>
      </x:c>
    </x:row>
    <x:row r="356" ht="46" customHeight="1">
      <x:c r="A356" s="17" t="n">
        <x:v>46337</x:v>
      </x:c>
      <x:c r="B356" s="2" t="str">
        <x:v>Human reply rate</x:v>
      </x:c>
      <x:c r="C356" s="40" t="n">
        <x:v>0.02</x:v>
      </x:c>
      <x:c r="D356" s="2" t="str">
        <x:v>Rate</x:v>
      </x:c>
      <x:c r="E356" s="20"/>
      <x:c r="F356" s="20"/>
      <x:c r="G356" s="20"/>
      <x:c r="H356" s="40" t="str">
        <x:f>IF(D356="Rate",IF(COUNT(F356:G356)&lt;2,"",IF(G356=0,"n.a.",F356/G356)),IF(COUNT(E356)=0,"",E356))</x:f>
      </x:c>
      <x:c r="I356" s="40" t="str">
        <x:f>IF(AND(ISNUMBER(H356),ISNUMBER(C356)),H356-C356,"")</x:f>
      </x:c>
      <x:c r="J356" s="2" t="str">
        <x:v>%</x:v>
      </x:c>
      <x:c r="K356" s="2" t="str">
        <x:v>Kenneth</x:v>
      </x:c>
      <x:c r="L356" s="28" t="str"/>
      <x:c r="M356" s="20"/>
      <x:c r="N356" s="21"/>
      <x:c r="O356" s="26" t="str">
        <x:v>Unique emailed contacts that give a qualifying human reply / unique contacts emailed in the same send cohort. Exclude OOO, auto-replies, bounces and unsubscribe-only replies. Deduplicate contacts across sequence steps; zero denominator is N/A.</x:v>
      </x:c>
      <x:c r="P356" s="26" t="str">
        <x:v>PDF §10</x:v>
      </x:c>
      <x:c r="Q356" s="2" t="n">
        <x:f>IF(ISNUMBER(H356),1,0)</x:f>
        <x:v>0</x:v>
      </x:c>
    </x:row>
    <x:row r="357" ht="46" customHeight="1">
      <x:c r="A357" s="17" t="n">
        <x:v>46337</x:v>
      </x:c>
      <x:c r="B357" s="2" t="str">
        <x:v>Positive reply rate</x:v>
      </x:c>
      <x:c r="C357" s="40" t="n">
        <x:v>0.01</x:v>
      </x:c>
      <x:c r="D357" s="2" t="str">
        <x:v>Rate</x:v>
      </x:c>
      <x:c r="E357" s="20"/>
      <x:c r="F357" s="20"/>
      <x:c r="G357" s="20"/>
      <x:c r="H357" s="40" t="str">
        <x:f>IF(D357="Rate",IF(COUNT(F357:G357)&lt;2,"",IF(G357=0,"n.a.",F357/G357)),IF(COUNT(E357)=0,"",E357))</x:f>
      </x:c>
      <x:c r="I357" s="40" t="str">
        <x:f>IF(AND(ISNUMBER(H357),ISNUMBER(C357)),H357-C357,"")</x:f>
      </x:c>
      <x:c r="J357" s="2" t="str">
        <x:v>%</x:v>
      </x:c>
      <x:c r="K357" s="2" t="str">
        <x:v>Kenneth</x:v>
      </x:c>
      <x:c r="L357" s="28" t="str"/>
      <x:c r="M357" s="20"/>
      <x:c r="N357" s="21"/>
      <x:c r="O357" s="26" t="str">
        <x:v>Unique emailed contacts classified interested or relevant question / unique contacts emailed in the same send cohort. Deduplicate across sequence steps; zero denominator is N/A. Keep this email rate separate from all-channel qualified inquiries.</x:v>
      </x:c>
      <x:c r="P357" s="26" t="str">
        <x:v>PDF §10</x:v>
      </x:c>
      <x:c r="Q357" s="2" t="n">
        <x:f>IF(ISNUMBER(H357),1,0)</x:f>
        <x:v>0</x:v>
      </x:c>
    </x:row>
    <x:row r="358" ht="46" customHeight="1">
      <x:c r="A358" s="17" t="n">
        <x:v>46337</x:v>
      </x:c>
      <x:c r="B358" s="2" t="str">
        <x:v>Replies answered within 15 minutes</x:v>
      </x:c>
      <x:c r="C358" s="40" t="n">
        <x:v>1</x:v>
      </x:c>
      <x:c r="D358" s="2" t="str">
        <x:v>Rate</x:v>
      </x:c>
      <x:c r="E358" s="20"/>
      <x:c r="F358" s="20"/>
      <x:c r="G358" s="20"/>
      <x:c r="H358" s="40" t="str">
        <x:f>IF(D358="Rate",IF(COUNT(F358:G358)&lt;2,"",IF(G358=0,"n.a.",F358/G358)),IF(COUNT(E358)=0,"",E358))</x:f>
      </x:c>
      <x:c r="I358" s="40" t="str">
        <x:f>IF(AND(ISNUMBER(H358),ISNUMBER(C358)),H358-C358,"")</x:f>
      </x:c>
      <x:c r="J358" s="2" t="str">
        <x:v>%</x:v>
      </x:c>
      <x:c r="K358" s="2" t="str">
        <x:v>Nova</x:v>
      </x:c>
      <x:c r="L358" s="28" t="str"/>
      <x:c r="M358" s="20"/>
      <x:c r="N358" s="21"/>
      <x:c r="O358"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58" s="26" t="str">
        <x:v>PDF §9; clock convention clarified for tracker</x:v>
      </x:c>
      <x:c r="Q358" s="2" t="n">
        <x:f>IF(ISNUMBER(H358),1,0)</x:f>
        <x:v>0</x:v>
      </x:c>
    </x:row>
    <x:row r="359" ht="46" customHeight="1">
      <x:c r="A359" s="17" t="n">
        <x:v>46337</x:v>
      </x:c>
      <x:c r="B359" s="2" t="str">
        <x:v>Held rate</x:v>
      </x:c>
      <x:c r="C359" s="40" t="n">
        <x:v>0.7</x:v>
      </x:c>
      <x:c r="D359" s="2" t="str">
        <x:v>Rate</x:v>
      </x:c>
      <x:c r="E359" s="20"/>
      <x:c r="F359" s="20"/>
      <x:c r="G359" s="20"/>
      <x:c r="H359" s="40" t="str">
        <x:f>IF(D359="Rate",IF(COUNT(F359:G359)&lt;2,"",IF(G359=0,"n.a.",F359/G359)),IF(COUNT(E359)=0,"",E359))</x:f>
      </x:c>
      <x:c r="I359" s="40" t="str">
        <x:f>IF(AND(ISNUMBER(H359),ISNUMBER(C359)),H359-C359,"")</x:f>
      </x:c>
      <x:c r="J359" s="2" t="str">
        <x:v>%</x:v>
      </x:c>
      <x:c r="K359" s="2" t="str">
        <x:v>Nova</x:v>
      </x:c>
      <x:c r="L359" s="28" t="str"/>
      <x:c r="M359" s="20"/>
      <x:c r="N359" s="21"/>
      <x:c r="O359" s="26" t="str">
        <x:v>Qualified conversations actually held / unique booked conversations whose scheduled time has passed. Exclude upcoming appointments. Rebooking the same opportunity is not a second booking. A zero denominator is N/A.</x:v>
      </x:c>
      <x:c r="P359" s="26" t="str">
        <x:v>PDF §10; due-cohort denominator clarified</x:v>
      </x:c>
      <x:c r="Q359" s="2" t="n">
        <x:f>IF(ISNUMBER(H359),1,0)</x:f>
        <x:v>0</x:v>
      </x:c>
    </x:row>
    <x:row r="360" ht="46" customHeight="1">
      <x:c r="A360" s="17" t="n">
        <x:v>46337</x:v>
      </x:c>
      <x:c r="B360" s="2" t="str">
        <x:v>Positive-to-booked conversion</x:v>
      </x:c>
      <x:c r="C360" s="40" t="n">
        <x:v>0.5</x:v>
      </x:c>
      <x:c r="D360" s="2" t="str">
        <x:v>Rate</x:v>
      </x:c>
      <x:c r="E360" s="20"/>
      <x:c r="F360" s="20"/>
      <x:c r="G360" s="20"/>
      <x:c r="H360" s="40" t="str">
        <x:f>IF(D360="Rate",IF(COUNT(F360:G360)&lt;2,"",IF(G360=0,"n.a.",F360/G360)),IF(COUNT(E360)=0,"",E360))</x:f>
      </x:c>
      <x:c r="I360" s="40" t="str">
        <x:f>IF(AND(ISNUMBER(H360),ISNUMBER(C360)),H360-C360,"")</x:f>
      </x:c>
      <x:c r="J360" s="2" t="str">
        <x:v>%</x:v>
      </x:c>
      <x:c r="K360" s="2" t="str">
        <x:v>Nova</x:v>
      </x:c>
      <x:c r="L360" s="28" t="str"/>
      <x:c r="M360" s="20"/>
      <x:c r="N360" s="21"/>
      <x:c r="O360" s="26" t="str">
        <x:v>Unique email-positive opportunities booked / unique email-positive opportunities in the same reviewed cohort. Use a documented follow-up window. This differs from the all-channel 40-inquiry/20-booking planning assumption. A zero denominator is N/A.</x:v>
      </x:c>
      <x:c r="P360" s="26" t="str">
        <x:v>PDF §9</x:v>
      </x:c>
      <x:c r="Q360" s="2" t="n">
        <x:f>IF(ISNUMBER(H360),1,0)</x:f>
        <x:v>0</x:v>
      </x:c>
    </x:row>
    <x:row r="361" ht="46" customHeight="1">
      <x:c r="A361" s="17" t="n">
        <x:v>46337</x:v>
      </x:c>
      <x:c r="B361" s="2" t="str">
        <x:v>Existing-account referral asks</x:v>
      </x:c>
      <x:c r="C361" s="2" t="n">
        <x:v>21</x:v>
      </x:c>
      <x:c r="D361" s="2" t="str">
        <x:v>Cumulative total</x:v>
      </x:c>
      <x:c r="E361" s="20"/>
      <x:c r="F361" s="20"/>
      <x:c r="G361" s="20"/>
      <x:c r="H361" s="2" t="str">
        <x:f>IF(D361="Rate",IF(COUNT(F361:G361)&lt;2,"",IF(G361=0,"n.a.",F361/G361)),IF(COUNT(E361)=0,"",E361))</x:f>
      </x:c>
      <x:c r="I361" s="2" t="str">
        <x:f>IF(AND(ISNUMBER(H361),ISNUMBER(C361)),H361-C361,"")</x:f>
      </x:c>
      <x:c r="J361" s="2" t="str">
        <x:v>accounts asked</x:v>
      </x:c>
      <x:c r="K361" s="2" t="str">
        <x:v>Maseeha</x:v>
      </x:c>
      <x:c r="L361" s="28" t="str"/>
      <x:c r="M361" s="20"/>
      <x:c r="N361" s="21"/>
      <x:c r="O361" s="26" t="str">
        <x:v>Ask 25 unique A/B accounts (5 A and 20 B) by November 13; proposed pace 35 total by November 20; complete the remaining C accounts to reach 41 total by November 25. One introduction is the ask; asks and received intros are separate counts.</x:v>
      </x:c>
      <x:c r="P361" s="26" t="str">
        <x:v>PDF §16 supplies 25 A/B byNov 14 and 16 C byNov 25; Friday deadline and 35-byNov 20 pace are proposed scheduling allocations.</x:v>
      </x:c>
      <x:c r="Q361" s="2" t="n">
        <x:f>IF(ISNUMBER(H361),1,0)</x:f>
        <x:v>0</x:v>
      </x:c>
    </x:row>
    <x:row r="362" ht="46" customHeight="1">
      <x:c r="A362" s="17" t="n">
        <x:v>46337</x:v>
      </x:c>
      <x:c r="B362" s="2" t="str">
        <x:v>Approved SOPs</x:v>
      </x:c>
      <x:c r="C362" s="2"/>
      <x:c r="D362" s="2" t="str">
        <x:v>Cumulative total</x:v>
      </x:c>
      <x:c r="E362" s="20"/>
      <x:c r="F362" s="20"/>
      <x:c r="G362" s="20"/>
      <x:c r="H362" s="2" t="str">
        <x:f>IF(D362="Rate",IF(COUNT(F362:G362)&lt;2,"",IF(G362=0,"n.a.",F362/G362)),IF(COUNT(E362)=0,"",E362))</x:f>
      </x:c>
      <x:c r="I362" s="2" t="str">
        <x:f>IF(AND(ISNUMBER(H362),ISNUMBER(C362)),H362-C362,"")</x:f>
      </x:c>
      <x:c r="J362" s="2" t="str">
        <x:v>SOPs</x:v>
      </x:c>
      <x:c r="K362" s="2" t="str">
        <x:v>Wyline</x:v>
      </x:c>
      <x:c r="L362" s="28" t="str"/>
      <x:c r="M362" s="20"/>
      <x:c r="N362" s="21"/>
      <x:c r="O362" s="26" t="str">
        <x:v>10 core SOPs plus ADS-01 and SOC-01 additions; approved version and independent-run evidence required.</x:v>
      </x:c>
      <x:c r="P362" s="26" t="str">
        <x:v>PDF §8 with §§17 b–d additions</x:v>
      </x:c>
      <x:c r="Q362" s="2" t="n">
        <x:f>IF(ISNUMBER(H362),1,0)</x:f>
        <x:v>0</x:v>
      </x:c>
    </x:row>
    <x:row r="363" ht="46" customHeight="1">
      <x:c r="A363" s="17" t="n">
        <x:v>46337</x:v>
      </x:c>
      <x:c r="B363" s="2" t="str">
        <x:v>Accepted AI agents</x:v>
      </x:c>
      <x:c r="C363" s="2"/>
      <x:c r="D363" s="2" t="str">
        <x:v>Cumulative total</x:v>
      </x:c>
      <x:c r="E363" s="20"/>
      <x:c r="F363" s="20"/>
      <x:c r="G363" s="20"/>
      <x:c r="H363" s="2" t="str">
        <x:f>IF(D363="Rate",IF(COUNT(F363:G363)&lt;2,"",IF(G363=0,"n.a.",F363/G363)),IF(COUNT(E363)=0,"",E363))</x:f>
      </x:c>
      <x:c r="I363" s="2" t="str">
        <x:f>IF(AND(ISNUMBER(H363),ISNUMBER(C363)),H363-C363,"")</x:f>
      </x:c>
      <x:c r="J363" s="2" t="str">
        <x:v>agents</x:v>
      </x:c>
      <x:c r="K363" s="2" t="str">
        <x:v>Emman</x:v>
      </x:c>
      <x:c r="L363" s="28" t="str"/>
      <x:c r="M363" s="20"/>
      <x:c r="N363" s="21"/>
      <x:c r="O363" s="26" t="str">
        <x:v>Scout, Writer, Inbox, Phone Assist, LinkedIn Assist, Follow-up, Scoreboard and Client Reporter; acceptance evidence required.</x:v>
      </x:c>
      <x:c r="P363" s="26" t="str">
        <x:v>PDF §7</x:v>
      </x:c>
      <x:c r="Q363" s="2" t="n">
        <x:f>IF(ISNUMBER(H363),1,0)</x:f>
        <x:v>0</x:v>
      </x:c>
    </x:row>
    <x:row r="364" ht="46" customHeight="1">
      <x:c r="A364" s="17" t="n">
        <x:v>46338</x:v>
      </x:c>
      <x:c r="B364" s="2" t="str">
        <x:v>Qualified inquiries</x:v>
      </x:c>
      <x:c r="C364" s="2" t="n">
        <x:v>8</x:v>
      </x:c>
      <x:c r="D364" s="2" t="str">
        <x:v>Cumulative total</x:v>
      </x:c>
      <x:c r="E364" s="20"/>
      <x:c r="F364" s="20"/>
      <x:c r="G364" s="20"/>
      <x:c r="H364" s="2" t="str">
        <x:f>IF(D364="Rate",IF(COUNT(F364:G364)&lt;2,"",IF(G364=0,"n.a.",F364/G364)),IF(COUNT(E364)=0,"",E364))</x:f>
      </x:c>
      <x:c r="I364" s="2" t="str">
        <x:f>IF(AND(ISNUMBER(H364),ISNUMBER(C364)),H364-C364,"")</x:f>
      </x:c>
      <x:c r="J364" s="2" t="str">
        <x:v>inquiries</x:v>
      </x:c>
      <x:c r="K364" s="2" t="str">
        <x:v>Nova</x:v>
      </x:c>
      <x:c r="L364" s="28" t="str"/>
      <x:c r="M364" s="20"/>
      <x:c r="N364" s="21"/>
      <x:c r="O364" s="26" t="str">
        <x:v>Unique ICP-matched practices that express relevant interest, need or timing; Nova records practice type, decision-maker access, case volume, service need and readiness within 30–60 days. Raw records, opens and connection accepts do not qualify.</x:v>
      </x:c>
      <x:c r="P364" s="26" t="str">
        <x:v>Original proposal pages 2 and 4 define qualification; 40 by Dec 16 and intermediate pace are newly proposed recovery targets.</x:v>
      </x:c>
      <x:c r="Q364" s="2" t="n">
        <x:f>IF(ISNUMBER(H364),1,0)</x:f>
        <x:v>0</x:v>
      </x:c>
    </x:row>
    <x:row r="365" ht="46" customHeight="1">
      <x:c r="A365" s="17" t="n">
        <x:v>46338</x:v>
      </x:c>
      <x:c r="B365" s="2" t="str">
        <x:v>Qualified conversations booked</x:v>
      </x:c>
      <x:c r="C365" s="2" t="n">
        <x:v>4</x:v>
      </x:c>
      <x:c r="D365" s="2" t="str">
        <x:v>Cumulative total</x:v>
      </x:c>
      <x:c r="E365" s="20"/>
      <x:c r="F365" s="20"/>
      <x:c r="G365" s="20"/>
      <x:c r="H365" s="2" t="str">
        <x:f>IF(D365="Rate",IF(COUNT(F365:G365)&lt;2,"",IF(G365=0,"n.a.",F365/G365)),IF(COUNT(E365)=0,"",E365))</x:f>
      </x:c>
      <x:c r="I365" s="2" t="str">
        <x:f>IF(AND(ISNUMBER(H365),ISNUMBER(C365)),H365-C365,"")</x:f>
      </x:c>
      <x:c r="J365" s="2" t="str">
        <x:v>bookings</x:v>
      </x:c>
      <x:c r="K365" s="2" t="str">
        <x:v>Nova</x:v>
      </x:c>
      <x:c r="L365" s="28" t="str"/>
      <x:c r="M365" s="20"/>
      <x:c r="N365" s="21"/>
      <x:c r="O365" s="26" t="str">
        <x:v>Unique qualified calls/visits booked with Nic; rebooking same opportunity is not a new booking.</x:v>
      </x:c>
      <x:c r="P365" s="26" t="str">
        <x:v>PDF §10; final deadline advanced to user Dec 16</x:v>
      </x:c>
      <x:c r="Q365" s="2" t="n">
        <x:f>IF(ISNUMBER(H365),1,0)</x:f>
        <x:v>0</x:v>
      </x:c>
    </x:row>
    <x:row r="366" ht="46" customHeight="1">
      <x:c r="A366" s="17" t="n">
        <x:v>46338</x:v>
      </x:c>
      <x:c r="B366" s="2" t="str">
        <x:v>Qualified conversations held</x:v>
      </x:c>
      <x:c r="C366" s="2" t="n">
        <x:v>2</x:v>
      </x:c>
      <x:c r="D366" s="2" t="str">
        <x:v>Cumulative total</x:v>
      </x:c>
      <x:c r="E366" s="20"/>
      <x:c r="F366" s="20"/>
      <x:c r="G366" s="20"/>
      <x:c r="H366" s="2" t="str">
        <x:f>IF(D366="Rate",IF(COUNT(F366:G366)&lt;2,"",IF(G366=0,"n.a.",F366/G366)),IF(COUNT(E366)=0,"",E366))</x:f>
      </x:c>
      <x:c r="I366" s="2" t="str">
        <x:f>IF(AND(ISNUMBER(H366),ISNUMBER(C366)),H366-C366,"")</x:f>
      </x:c>
      <x:c r="J366" s="2" t="str">
        <x:v>held</x:v>
      </x:c>
      <x:c r="K366" s="2" t="str">
        <x:v>Nova</x:v>
      </x:c>
      <x:c r="L366" s="28" t="str"/>
      <x:c r="M366" s="20"/>
      <x:c r="N366" s="21"/>
      <x:c r="O366" s="26" t="str">
        <x:v>Completed qualified calls/visits; 6 and 15 are integer planning proxies for 70% of 8 and 75% of 20.</x:v>
      </x:c>
      <x:c r="P366" s="26" t="str">
        <x:v>Derived from source held-rate targets</x:v>
      </x:c>
      <x:c r="Q366" s="2" t="n">
        <x:f>IF(ISNUMBER(H366),1,0)</x:f>
        <x:v>0</x:v>
      </x:c>
    </x:row>
    <x:row r="367" ht="46" customHeight="1">
      <x:c r="A367" s="17" t="n">
        <x:v>46338</x:v>
      </x:c>
      <x:c r="B367" s="2" t="str">
        <x:v>Trial cases received by DSI</x:v>
      </x:c>
      <x:c r="C367" s="2" t="n">
        <x:v>0</x:v>
      </x:c>
      <x:c r="D367" s="2" t="str">
        <x:v>Cumulative total</x:v>
      </x:c>
      <x:c r="E367" s="20"/>
      <x:c r="F367" s="20"/>
      <x:c r="G367" s="20"/>
      <x:c r="H367" s="2" t="str">
        <x:f>IF(D367="Rate",IF(COUNT(F367:G367)&lt;2,"",IF(G367=0,"n.a.",F367/G367)),IF(COUNT(E367)=0,"",E367))</x:f>
      </x:c>
      <x:c r="I367" s="2" t="str">
        <x:f>IF(AND(ISNUMBER(H367),ISNUMBER(C367)),H367-C367,"")</x:f>
      </x:c>
      <x:c r="J367" s="2" t="str">
        <x:v>trials</x:v>
      </x:c>
      <x:c r="K367" s="2" t="str">
        <x:v>Maseeha</x:v>
      </x:c>
      <x:c r="L367" s="28" t="str"/>
      <x:c r="M367" s="20"/>
      <x:c r="N367" s="21"/>
      <x:c r="O367" s="26" t="str">
        <x:v>Practice’s first trial case received by DSI, not merely promised or shipped; subject to Maseeha capacity.</x:v>
      </x:c>
      <x:c r="P367" s="26" t="str">
        <x:v>PDF §10; final deadline advanced to user Dec 16</x:v>
      </x:c>
      <x:c r="Q367" s="2" t="n">
        <x:f>IF(ISNUMBER(H367),1,0)</x:f>
        <x:v>0</x:v>
      </x:c>
    </x:row>
    <x:row r="368" ht="46" customHeight="1">
      <x:c r="A368" s="17" t="n">
        <x:v>46338</x:v>
      </x:c>
      <x:c r="B368" s="2" t="str">
        <x:v>Recurring accounts signed</x:v>
      </x:c>
      <x:c r="C368" s="2"/>
      <x:c r="D368" s="2" t="str">
        <x:v>Cumulative total</x:v>
      </x:c>
      <x:c r="E368" s="20"/>
      <x:c r="F368" s="20"/>
      <x:c r="G368" s="20"/>
      <x:c r="H368" s="2" t="str">
        <x:f>IF(D368="Rate",IF(COUNT(F368:G368)&lt;2,"",IF(G368=0,"n.a.",F368/G368)),IF(COUNT(E368)=0,"",E368))</x:f>
      </x:c>
      <x:c r="I368" s="2" t="str">
        <x:f>IF(AND(ISNUMBER(H368),ISNUMBER(C368)),H368-C368,"")</x:f>
      </x:c>
      <x:c r="J368" s="2" t="str">
        <x:v>accounts</x:v>
      </x:c>
      <x:c r="K368" s="2" t="str">
        <x:v>Nic</x:v>
      </x:c>
      <x:c r="L368" s="28" t="str"/>
      <x:c r="M368" s="20"/>
      <x:c r="N368" s="21"/>
      <x:c r="O368" s="26" t="str">
        <x:v>Plan signed following Day-30 review; only mature trial cohorts eligible. 1–3 is a conditional range.</x:v>
      </x:c>
      <x:c r="P368" s="26" t="str">
        <x:v>PDF §10</x:v>
      </x:c>
      <x:c r="Q368" s="2" t="n">
        <x:f>IF(ISNUMBER(H368),1,0)</x:f>
        <x:v>0</x:v>
      </x:c>
    </x:row>
    <x:row r="369" ht="46" customHeight="1">
      <x:c r="A369" s="17" t="n">
        <x:v>46338</x:v>
      </x:c>
      <x:c r="B369" s="2" t="str">
        <x:v>Referral-sourced bookings</x:v>
      </x:c>
      <x:c r="C369" s="2" t="n">
        <x:v>1</x:v>
      </x:c>
      <x:c r="D369" s="2" t="str">
        <x:v>Cumulative total</x:v>
      </x:c>
      <x:c r="E369" s="20"/>
      <x:c r="F369" s="20"/>
      <x:c r="G369" s="20"/>
      <x:c r="H369" s="2" t="str">
        <x:f>IF(D369="Rate",IF(COUNT(F369:G369)&lt;2,"",IF(G369=0,"n.a.",F369/G369)),IF(COUNT(E369)=0,"",E369))</x:f>
      </x:c>
      <x:c r="I369" s="2" t="str">
        <x:f>IF(AND(ISNUMBER(H369),ISNUMBER(C369)),H369-C369,"")</x:f>
      </x:c>
      <x:c r="J369" s="2" t="str">
        <x:v>bookings</x:v>
      </x:c>
      <x:c r="K369" s="2" t="str">
        <x:v>Nova</x:v>
      </x:c>
      <x:c r="L369" s="28" t="str"/>
      <x:c r="M369" s="20"/>
      <x:c r="N369" s="21"/>
      <x:c r="O369" s="26" t="str">
        <x:v>Subset of booked total with primary Source=Referral; never added on top of all-channel bookings.</x:v>
      </x:c>
      <x:c r="P369" s="26" t="str">
        <x:v>PDF §§10, 16</x:v>
      </x:c>
      <x:c r="Q369" s="2" t="n">
        <x:f>IF(ISNUMBER(H369),1,0)</x:f>
        <x:v>0</x:v>
      </x:c>
    </x:row>
    <x:row r="370" ht="46" customHeight="1">
      <x:c r="A370" s="17" t="n">
        <x:v>46338</x:v>
      </x:c>
      <x:c r="B370" s="2" t="str">
        <x:v>LinkedIn DM-sourced bookings</x:v>
      </x:c>
      <x:c r="C370" s="2" t="n">
        <x:v>1</x:v>
      </x:c>
      <x:c r="D370" s="2" t="str">
        <x:v>Cumulative total</x:v>
      </x:c>
      <x:c r="E370" s="20"/>
      <x:c r="F370" s="20"/>
      <x:c r="G370" s="20"/>
      <x:c r="H370" s="2" t="str">
        <x:f>IF(D370="Rate",IF(COUNT(F370:G370)&lt;2,"",IF(G370=0,"n.a.",F370/G370)),IF(COUNT(E370)=0,"",E370))</x:f>
      </x:c>
      <x:c r="I370" s="2" t="str">
        <x:f>IF(AND(ISNUMBER(H370),ISNUMBER(C370)),H370-C370,"")</x:f>
      </x:c>
      <x:c r="J370" s="2" t="str">
        <x:v>bookings</x:v>
      </x:c>
      <x:c r="K370" s="2" t="str">
        <x:v>Dexter</x:v>
      </x:c>
      <x:c r="L370" s="28" t="str"/>
      <x:c r="M370" s="20"/>
      <x:c r="N370" s="21"/>
      <x:c r="O370" s="26" t="str">
        <x:v>Subset of booked total with primary Source=LinkedIn DM; assists tracked separately.</x:v>
      </x:c>
      <x:c r="P370" s="26" t="str">
        <x:v>PDF §§10, 17 a</x:v>
      </x:c>
      <x:c r="Q370" s="2" t="n">
        <x:f>IF(ISNUMBER(H370),1,0)</x:f>
        <x:v>0</x:v>
      </x:c>
    </x:row>
    <x:row r="371" ht="46" customHeight="1">
      <x:c r="A371" s="17" t="n">
        <x:v>46338</x:v>
      </x:c>
      <x:c r="B371" s="2" t="str">
        <x:v>Verified contacts ready</x:v>
      </x:c>
      <x:c r="C371" s="2" t="n">
        <x:v>500</x:v>
      </x:c>
      <x:c r="D371" s="2" t="str">
        <x:v>Cumulative total</x:v>
      </x:c>
      <x:c r="E371" s="20"/>
      <x:c r="F371" s="20"/>
      <x:c r="G371" s="20"/>
      <x:c r="H371" s="2" t="str">
        <x:f>IF(D371="Rate",IF(COUNT(F371:G371)&lt;2,"",IF(G371=0,"n.a.",F371/G371)),IF(COUNT(E371)=0,"",E371))</x:f>
      </x:c>
      <x:c r="I371" s="2" t="str">
        <x:f>IF(AND(ISNUMBER(H371),ISNUMBER(C371)),H371-C371,"")</x:f>
      </x:c>
      <x:c r="J371" s="2" t="str">
        <x:v>contacts</x:v>
      </x:c>
      <x:c r="K371" s="2" t="str">
        <x:v>Joey</x:v>
      </x:c>
      <x:c r="L371" s="28" t="str"/>
      <x:c r="M371" s="20"/>
      <x:c r="N371" s="21"/>
      <x:c r="O371" s="26" t="str">
        <x:v>Unique contacts passing Scout and loaded in CQL; count once per contact.</x:v>
      </x:c>
      <x:c r="P371" s="26" t="str">
        <x:v>PDF §§10, 14; 750 due Dec 12 moved to Fri Dec 11</x:v>
      </x:c>
      <x:c r="Q371" s="2" t="n">
        <x:f>IF(ISNUMBER(H371),1,0)</x:f>
        <x:v>0</x:v>
      </x:c>
    </x:row>
    <x:row r="372" ht="46" customHeight="1">
      <x:c r="A372" s="17" t="n">
        <x:v>46338</x:v>
      </x:c>
      <x:c r="B372" s="2" t="str">
        <x:v>Permission-based referral introductions</x:v>
      </x:c>
      <x:c r="C372" s="2" t="n">
        <x:v>4</x:v>
      </x:c>
      <x:c r="D372" s="2" t="str">
        <x:v>Cumulative total</x:v>
      </x:c>
      <x:c r="E372" s="20"/>
      <x:c r="F372" s="20"/>
      <x:c r="G372" s="20"/>
      <x:c r="H372" s="2" t="str">
        <x:f>IF(D372="Rate",IF(COUNT(F372:G372)&lt;2,"",IF(G372=0,"n.a.",F372/G372)),IF(COUNT(E372)=0,"",E372))</x:f>
      </x:c>
      <x:c r="I372" s="2" t="str">
        <x:f>IF(AND(ISNUMBER(H372),ISNUMBER(C372)),H372-C372,"")</x:f>
      </x:c>
      <x:c r="J372" s="2" t="str">
        <x:v>introductions</x:v>
      </x:c>
      <x:c r="K372" s="2" t="str">
        <x:v>Maseeha</x:v>
      </x:c>
      <x:c r="L372" s="28" t="str"/>
      <x:c r="M372" s="20"/>
      <x:c r="N372" s="21"/>
      <x:c r="O372" s="26" t="str">
        <x:v>Unique introductions with consent and referrer recorded, verified by Maseeha within 2 business days.</x:v>
      </x:c>
      <x:c r="P372" s="26" t="str">
        <x:v>PDF §§10, 16</x:v>
      </x:c>
      <x:c r="Q372" s="2" t="n">
        <x:f>IF(ISNUMBER(H372),1,0)</x:f>
        <x:v>0</x:v>
      </x:c>
    </x:row>
    <x:row r="373" ht="46" customHeight="1">
      <x:c r="A373" s="17" t="n">
        <x:v>46338</x:v>
      </x:c>
      <x:c r="B373" s="2" t="str">
        <x:v>Human reply rate</x:v>
      </x:c>
      <x:c r="C373" s="40" t="n">
        <x:v>0.02</x:v>
      </x:c>
      <x:c r="D373" s="2" t="str">
        <x:v>Rate</x:v>
      </x:c>
      <x:c r="E373" s="20"/>
      <x:c r="F373" s="20"/>
      <x:c r="G373" s="20"/>
      <x:c r="H373" s="40" t="str">
        <x:f>IF(D373="Rate",IF(COUNT(F373:G373)&lt;2,"",IF(G373=0,"n.a.",F373/G373)),IF(COUNT(E373)=0,"",E373))</x:f>
      </x:c>
      <x:c r="I373" s="40" t="str">
        <x:f>IF(AND(ISNUMBER(H373),ISNUMBER(C373)),H373-C373,"")</x:f>
      </x:c>
      <x:c r="J373" s="2" t="str">
        <x:v>%</x:v>
      </x:c>
      <x:c r="K373" s="2" t="str">
        <x:v>Kenneth</x:v>
      </x:c>
      <x:c r="L373" s="28" t="str"/>
      <x:c r="M373" s="20"/>
      <x:c r="N373" s="21"/>
      <x:c r="O373" s="26" t="str">
        <x:v>Unique emailed contacts that give a qualifying human reply / unique contacts emailed in the same send cohort. Exclude OOO, auto-replies, bounces and unsubscribe-only replies. Deduplicate contacts across sequence steps; zero denominator is N/A.</x:v>
      </x:c>
      <x:c r="P373" s="26" t="str">
        <x:v>PDF §10</x:v>
      </x:c>
      <x:c r="Q373" s="2" t="n">
        <x:f>IF(ISNUMBER(H373),1,0)</x:f>
        <x:v>0</x:v>
      </x:c>
    </x:row>
    <x:row r="374" ht="46" customHeight="1">
      <x:c r="A374" s="17" t="n">
        <x:v>46338</x:v>
      </x:c>
      <x:c r="B374" s="2" t="str">
        <x:v>Positive reply rate</x:v>
      </x:c>
      <x:c r="C374" s="40" t="n">
        <x:v>0.01</x:v>
      </x:c>
      <x:c r="D374" s="2" t="str">
        <x:v>Rate</x:v>
      </x:c>
      <x:c r="E374" s="20"/>
      <x:c r="F374" s="20"/>
      <x:c r="G374" s="20"/>
      <x:c r="H374" s="40" t="str">
        <x:f>IF(D374="Rate",IF(COUNT(F374:G374)&lt;2,"",IF(G374=0,"n.a.",F374/G374)),IF(COUNT(E374)=0,"",E374))</x:f>
      </x:c>
      <x:c r="I374" s="40" t="str">
        <x:f>IF(AND(ISNUMBER(H374),ISNUMBER(C374)),H374-C374,"")</x:f>
      </x:c>
      <x:c r="J374" s="2" t="str">
        <x:v>%</x:v>
      </x:c>
      <x:c r="K374" s="2" t="str">
        <x:v>Kenneth</x:v>
      </x:c>
      <x:c r="L374" s="28" t="str"/>
      <x:c r="M374" s="20"/>
      <x:c r="N374" s="21"/>
      <x:c r="O374" s="26" t="str">
        <x:v>Unique emailed contacts classified interested or relevant question / unique contacts emailed in the same send cohort. Deduplicate across sequence steps; zero denominator is N/A. Keep this email rate separate from all-channel qualified inquiries.</x:v>
      </x:c>
      <x:c r="P374" s="26" t="str">
        <x:v>PDF §10</x:v>
      </x:c>
      <x:c r="Q374" s="2" t="n">
        <x:f>IF(ISNUMBER(H374),1,0)</x:f>
        <x:v>0</x:v>
      </x:c>
    </x:row>
    <x:row r="375" ht="46" customHeight="1">
      <x:c r="A375" s="17" t="n">
        <x:v>46338</x:v>
      </x:c>
      <x:c r="B375" s="2" t="str">
        <x:v>Replies answered within 15 minutes</x:v>
      </x:c>
      <x:c r="C375" s="40" t="n">
        <x:v>1</x:v>
      </x:c>
      <x:c r="D375" s="2" t="str">
        <x:v>Rate</x:v>
      </x:c>
      <x:c r="E375" s="20"/>
      <x:c r="F375" s="20"/>
      <x:c r="G375" s="20"/>
      <x:c r="H375" s="40" t="str">
        <x:f>IF(D375="Rate",IF(COUNT(F375:G375)&lt;2,"",IF(G375=0,"n.a.",F375/G375)),IF(COUNT(E375)=0,"",E375))</x:f>
      </x:c>
      <x:c r="I375" s="40" t="str">
        <x:f>IF(AND(ISNUMBER(H375),ISNUMBER(C375)),H375-C375,"")</x:f>
      </x:c>
      <x:c r="J375" s="2" t="str">
        <x:v>%</x:v>
      </x:c>
      <x:c r="K375" s="2" t="str">
        <x:v>Nova</x:v>
      </x:c>
      <x:c r="L375" s="28" t="str"/>
      <x:c r="M375" s="20"/>
      <x:c r="N375" s="21"/>
      <x:c r="O375"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75" s="26" t="str">
        <x:v>PDF §9; clock convention clarified for tracker</x:v>
      </x:c>
      <x:c r="Q375" s="2" t="n">
        <x:f>IF(ISNUMBER(H375),1,0)</x:f>
        <x:v>0</x:v>
      </x:c>
    </x:row>
    <x:row r="376" ht="46" customHeight="1">
      <x:c r="A376" s="17" t="n">
        <x:v>46338</x:v>
      </x:c>
      <x:c r="B376" s="2" t="str">
        <x:v>Held rate</x:v>
      </x:c>
      <x:c r="C376" s="40" t="n">
        <x:v>0.7</x:v>
      </x:c>
      <x:c r="D376" s="2" t="str">
        <x:v>Rate</x:v>
      </x:c>
      <x:c r="E376" s="20"/>
      <x:c r="F376" s="20"/>
      <x:c r="G376" s="20"/>
      <x:c r="H376" s="40" t="str">
        <x:f>IF(D376="Rate",IF(COUNT(F376:G376)&lt;2,"",IF(G376=0,"n.a.",F376/G376)),IF(COUNT(E376)=0,"",E376))</x:f>
      </x:c>
      <x:c r="I376" s="40" t="str">
        <x:f>IF(AND(ISNUMBER(H376),ISNUMBER(C376)),H376-C376,"")</x:f>
      </x:c>
      <x:c r="J376" s="2" t="str">
        <x:v>%</x:v>
      </x:c>
      <x:c r="K376" s="2" t="str">
        <x:v>Nova</x:v>
      </x:c>
      <x:c r="L376" s="28" t="str"/>
      <x:c r="M376" s="20"/>
      <x:c r="N376" s="21"/>
      <x:c r="O376" s="26" t="str">
        <x:v>Qualified conversations actually held / unique booked conversations whose scheduled time has passed. Exclude upcoming appointments. Rebooking the same opportunity is not a second booking. A zero denominator is N/A.</x:v>
      </x:c>
      <x:c r="P376" s="26" t="str">
        <x:v>PDF §10; due-cohort denominator clarified</x:v>
      </x:c>
      <x:c r="Q376" s="2" t="n">
        <x:f>IF(ISNUMBER(H376),1,0)</x:f>
        <x:v>0</x:v>
      </x:c>
    </x:row>
    <x:row r="377" ht="46" customHeight="1">
      <x:c r="A377" s="17" t="n">
        <x:v>46338</x:v>
      </x:c>
      <x:c r="B377" s="2" t="str">
        <x:v>Positive-to-booked conversion</x:v>
      </x:c>
      <x:c r="C377" s="40" t="n">
        <x:v>0.5</x:v>
      </x:c>
      <x:c r="D377" s="2" t="str">
        <x:v>Rate</x:v>
      </x:c>
      <x:c r="E377" s="20"/>
      <x:c r="F377" s="20"/>
      <x:c r="G377" s="20"/>
      <x:c r="H377" s="40" t="str">
        <x:f>IF(D377="Rate",IF(COUNT(F377:G377)&lt;2,"",IF(G377=0,"n.a.",F377/G377)),IF(COUNT(E377)=0,"",E377))</x:f>
      </x:c>
      <x:c r="I377" s="40" t="str">
        <x:f>IF(AND(ISNUMBER(H377),ISNUMBER(C377)),H377-C377,"")</x:f>
      </x:c>
      <x:c r="J377" s="2" t="str">
        <x:v>%</x:v>
      </x:c>
      <x:c r="K377" s="2" t="str">
        <x:v>Nova</x:v>
      </x:c>
      <x:c r="L377" s="28" t="str"/>
      <x:c r="M377" s="20"/>
      <x:c r="N377" s="21"/>
      <x:c r="O377" s="26" t="str">
        <x:v>Unique email-positive opportunities booked / unique email-positive opportunities in the same reviewed cohort. Use a documented follow-up window. This differs from the all-channel 40-inquiry/20-booking planning assumption. A zero denominator is N/A.</x:v>
      </x:c>
      <x:c r="P377" s="26" t="str">
        <x:v>PDF §9</x:v>
      </x:c>
      <x:c r="Q377" s="2" t="n">
        <x:f>IF(ISNUMBER(H377),1,0)</x:f>
        <x:v>0</x:v>
      </x:c>
    </x:row>
    <x:row r="378" ht="46" customHeight="1">
      <x:c r="A378" s="17" t="n">
        <x:v>46338</x:v>
      </x:c>
      <x:c r="B378" s="2" t="str">
        <x:v>Existing-account referral asks</x:v>
      </x:c>
      <x:c r="C378" s="2" t="n">
        <x:v>23</x:v>
      </x:c>
      <x:c r="D378" s="2" t="str">
        <x:v>Cumulative total</x:v>
      </x:c>
      <x:c r="E378" s="20"/>
      <x:c r="F378" s="20"/>
      <x:c r="G378" s="20"/>
      <x:c r="H378" s="2" t="str">
        <x:f>IF(D378="Rate",IF(COUNT(F378:G378)&lt;2,"",IF(G378=0,"n.a.",F378/G378)),IF(COUNT(E378)=0,"",E378))</x:f>
      </x:c>
      <x:c r="I378" s="2" t="str">
        <x:f>IF(AND(ISNUMBER(H378),ISNUMBER(C378)),H378-C378,"")</x:f>
      </x:c>
      <x:c r="J378" s="2" t="str">
        <x:v>accounts asked</x:v>
      </x:c>
      <x:c r="K378" s="2" t="str">
        <x:v>Maseeha</x:v>
      </x:c>
      <x:c r="L378" s="28" t="str"/>
      <x:c r="M378" s="20"/>
      <x:c r="N378" s="21"/>
      <x:c r="O378" s="26" t="str">
        <x:v>Ask 25 unique A/B accounts (5 A and 20 B) by November 13; proposed pace 35 total by November 20; complete the remaining C accounts to reach 41 total by November 25. One introduction is the ask; asks and received intros are separate counts.</x:v>
      </x:c>
      <x:c r="P378" s="26" t="str">
        <x:v>PDF §16 supplies 25 A/B byNov 14 and 16 C byNov 25; Friday deadline and 35-byNov 20 pace are proposed scheduling allocations.</x:v>
      </x:c>
      <x:c r="Q378" s="2" t="n">
        <x:f>IF(ISNUMBER(H378),1,0)</x:f>
        <x:v>0</x:v>
      </x:c>
    </x:row>
    <x:row r="379" ht="46" customHeight="1">
      <x:c r="A379" s="17" t="n">
        <x:v>46338</x:v>
      </x:c>
      <x:c r="B379" s="2" t="str">
        <x:v>Approved SOPs</x:v>
      </x:c>
      <x:c r="C379" s="2"/>
      <x:c r="D379" s="2" t="str">
        <x:v>Cumulative total</x:v>
      </x:c>
      <x:c r="E379" s="20"/>
      <x:c r="F379" s="20"/>
      <x:c r="G379" s="20"/>
      <x:c r="H379" s="2" t="str">
        <x:f>IF(D379="Rate",IF(COUNT(F379:G379)&lt;2,"",IF(G379=0,"n.a.",F379/G379)),IF(COUNT(E379)=0,"",E379))</x:f>
      </x:c>
      <x:c r="I379" s="2" t="str">
        <x:f>IF(AND(ISNUMBER(H379),ISNUMBER(C379)),H379-C379,"")</x:f>
      </x:c>
      <x:c r="J379" s="2" t="str">
        <x:v>SOPs</x:v>
      </x:c>
      <x:c r="K379" s="2" t="str">
        <x:v>Wyline</x:v>
      </x:c>
      <x:c r="L379" s="28" t="str"/>
      <x:c r="M379" s="20"/>
      <x:c r="N379" s="21"/>
      <x:c r="O379" s="26" t="str">
        <x:v>10 core SOPs plus ADS-01 and SOC-01 additions; approved version and independent-run evidence required.</x:v>
      </x:c>
      <x:c r="P379" s="26" t="str">
        <x:v>PDF §8 with §§17 b–d additions</x:v>
      </x:c>
      <x:c r="Q379" s="2" t="n">
        <x:f>IF(ISNUMBER(H379),1,0)</x:f>
        <x:v>0</x:v>
      </x:c>
    </x:row>
    <x:row r="380" ht="46" customHeight="1">
      <x:c r="A380" s="17" t="n">
        <x:v>46338</x:v>
      </x:c>
      <x:c r="B380" s="2" t="str">
        <x:v>Accepted AI agents</x:v>
      </x:c>
      <x:c r="C380" s="2"/>
      <x:c r="D380" s="2" t="str">
        <x:v>Cumulative total</x:v>
      </x:c>
      <x:c r="E380" s="20"/>
      <x:c r="F380" s="20"/>
      <x:c r="G380" s="20"/>
      <x:c r="H380" s="2" t="str">
        <x:f>IF(D380="Rate",IF(COUNT(F380:G380)&lt;2,"",IF(G380=0,"n.a.",F380/G380)),IF(COUNT(E380)=0,"",E380))</x:f>
      </x:c>
      <x:c r="I380" s="2" t="str">
        <x:f>IF(AND(ISNUMBER(H380),ISNUMBER(C380)),H380-C380,"")</x:f>
      </x:c>
      <x:c r="J380" s="2" t="str">
        <x:v>agents</x:v>
      </x:c>
      <x:c r="K380" s="2" t="str">
        <x:v>Emman</x:v>
      </x:c>
      <x:c r="L380" s="28" t="str"/>
      <x:c r="M380" s="20"/>
      <x:c r="N380" s="21"/>
      <x:c r="O380" s="26" t="str">
        <x:v>Scout, Writer, Inbox, Phone Assist, LinkedIn Assist, Follow-up, Scoreboard and Client Reporter; acceptance evidence required.</x:v>
      </x:c>
      <x:c r="P380" s="26" t="str">
        <x:v>PDF §7</x:v>
      </x:c>
      <x:c r="Q380" s="2" t="n">
        <x:f>IF(ISNUMBER(H380),1,0)</x:f>
        <x:v>0</x:v>
      </x:c>
    </x:row>
    <x:row r="381" ht="46" customHeight="1">
      <x:c r="A381" s="17" t="n">
        <x:v>46339</x:v>
      </x:c>
      <x:c r="B381" s="2" t="str">
        <x:v>Qualified inquiries</x:v>
      </x:c>
      <x:c r="C381" s="2" t="n">
        <x:v>10</x:v>
      </x:c>
      <x:c r="D381" s="2" t="str">
        <x:v>Cumulative total</x:v>
      </x:c>
      <x:c r="E381" s="20"/>
      <x:c r="F381" s="20"/>
      <x:c r="G381" s="20"/>
      <x:c r="H381" s="2" t="str">
        <x:f>IF(D381="Rate",IF(COUNT(F381:G381)&lt;2,"",IF(G381=0,"n.a.",F381/G381)),IF(COUNT(E381)=0,"",E381))</x:f>
      </x:c>
      <x:c r="I381" s="2" t="str">
        <x:f>IF(AND(ISNUMBER(H381),ISNUMBER(C381)),H381-C381,"")</x:f>
      </x:c>
      <x:c r="J381" s="2" t="str">
        <x:v>inquiries</x:v>
      </x:c>
      <x:c r="K381" s="2" t="str">
        <x:v>Nova</x:v>
      </x:c>
      <x:c r="L381" s="28" t="str"/>
      <x:c r="M381" s="20"/>
      <x:c r="N381" s="21"/>
      <x:c r="O381" s="26" t="str">
        <x:v>Unique ICP-matched practices that express relevant interest, need or timing; Nova records practice type, decision-maker access, case volume, service need and readiness within 30–60 days. Raw records, opens and connection accepts do not qualify.</x:v>
      </x:c>
      <x:c r="P381" s="26" t="str">
        <x:v>Original proposal pages 2 and 4 define qualification; 40 by Dec 16 and intermediate pace are newly proposed recovery targets.</x:v>
      </x:c>
      <x:c r="Q381" s="2" t="n">
        <x:f>IF(ISNUMBER(H381),1,0)</x:f>
        <x:v>0</x:v>
      </x:c>
    </x:row>
    <x:row r="382" ht="46" customHeight="1">
      <x:c r="A382" s="17" t="n">
        <x:v>46339</x:v>
      </x:c>
      <x:c r="B382" s="2" t="str">
        <x:v>Qualified conversations booked</x:v>
      </x:c>
      <x:c r="C382" s="2" t="n">
        <x:v>5</x:v>
      </x:c>
      <x:c r="D382" s="2" t="str">
        <x:v>Cumulative total</x:v>
      </x:c>
      <x:c r="E382" s="20"/>
      <x:c r="F382" s="20"/>
      <x:c r="G382" s="20"/>
      <x:c r="H382" s="2" t="str">
        <x:f>IF(D382="Rate",IF(COUNT(F382:G382)&lt;2,"",IF(G382=0,"n.a.",F382/G382)),IF(COUNT(E382)=0,"",E382))</x:f>
      </x:c>
      <x:c r="I382" s="2" t="str">
        <x:f>IF(AND(ISNUMBER(H382),ISNUMBER(C382)),H382-C382,"")</x:f>
      </x:c>
      <x:c r="J382" s="2" t="str">
        <x:v>bookings</x:v>
      </x:c>
      <x:c r="K382" s="2" t="str">
        <x:v>Nova</x:v>
      </x:c>
      <x:c r="L382" s="28" t="str"/>
      <x:c r="M382" s="20"/>
      <x:c r="N382" s="21"/>
      <x:c r="O382" s="26" t="str">
        <x:v>Unique qualified calls/visits booked with Nic; rebooking same opportunity is not a new booking.</x:v>
      </x:c>
      <x:c r="P382" s="26" t="str">
        <x:v>PDF §10; final deadline advanced to user Dec 16</x:v>
      </x:c>
      <x:c r="Q382" s="2" t="n">
        <x:f>IF(ISNUMBER(H382),1,0)</x:f>
        <x:v>0</x:v>
      </x:c>
    </x:row>
    <x:row r="383" ht="46" customHeight="1">
      <x:c r="A383" s="17" t="n">
        <x:v>46339</x:v>
      </x:c>
      <x:c r="B383" s="2" t="str">
        <x:v>Qualified conversations held</x:v>
      </x:c>
      <x:c r="C383" s="2" t="n">
        <x:v>3</x:v>
      </x:c>
      <x:c r="D383" s="2" t="str">
        <x:v>Cumulative total</x:v>
      </x:c>
      <x:c r="E383" s="20"/>
      <x:c r="F383" s="20"/>
      <x:c r="G383" s="20"/>
      <x:c r="H383" s="2" t="str">
        <x:f>IF(D383="Rate",IF(COUNT(F383:G383)&lt;2,"",IF(G383=0,"n.a.",F383/G383)),IF(COUNT(E383)=0,"",E383))</x:f>
      </x:c>
      <x:c r="I383" s="2" t="str">
        <x:f>IF(AND(ISNUMBER(H383),ISNUMBER(C383)),H383-C383,"")</x:f>
      </x:c>
      <x:c r="J383" s="2" t="str">
        <x:v>held</x:v>
      </x:c>
      <x:c r="K383" s="2" t="str">
        <x:v>Nova</x:v>
      </x:c>
      <x:c r="L383" s="28" t="str"/>
      <x:c r="M383" s="20"/>
      <x:c r="N383" s="21"/>
      <x:c r="O383" s="26" t="str">
        <x:v>Completed qualified calls/visits; 6 and 15 are integer planning proxies for 70% of 8 and 75% of 20.</x:v>
      </x:c>
      <x:c r="P383" s="26" t="str">
        <x:v>Derived from source held-rate targets</x:v>
      </x:c>
      <x:c r="Q383" s="2" t="n">
        <x:f>IF(ISNUMBER(H383),1,0)</x:f>
        <x:v>0</x:v>
      </x:c>
    </x:row>
    <x:row r="384" ht="46" customHeight="1">
      <x:c r="A384" s="17" t="n">
        <x:v>46339</x:v>
      </x:c>
      <x:c r="B384" s="2" t="str">
        <x:v>Trial cases received by DSI</x:v>
      </x:c>
      <x:c r="C384" s="2" t="n">
        <x:v>1</x:v>
      </x:c>
      <x:c r="D384" s="2" t="str">
        <x:v>Cumulative total</x:v>
      </x:c>
      <x:c r="E384" s="20"/>
      <x:c r="F384" s="20"/>
      <x:c r="G384" s="20"/>
      <x:c r="H384" s="2" t="str">
        <x:f>IF(D384="Rate",IF(COUNT(F384:G384)&lt;2,"",IF(G384=0,"n.a.",F384/G384)),IF(COUNT(E384)=0,"",E384))</x:f>
      </x:c>
      <x:c r="I384" s="2" t="str">
        <x:f>IF(AND(ISNUMBER(H384),ISNUMBER(C384)),H384-C384,"")</x:f>
      </x:c>
      <x:c r="J384" s="2" t="str">
        <x:v>trials</x:v>
      </x:c>
      <x:c r="K384" s="2" t="str">
        <x:v>Maseeha</x:v>
      </x:c>
      <x:c r="L384" s="28" t="str"/>
      <x:c r="M384" s="20"/>
      <x:c r="N384" s="21"/>
      <x:c r="O384" s="26" t="str">
        <x:v>Practice’s first trial case received by DSI, not merely promised or shipped; subject to Maseeha capacity.</x:v>
      </x:c>
      <x:c r="P384" s="26" t="str">
        <x:v>PDF §10; final deadline advanced to user Dec 16</x:v>
      </x:c>
      <x:c r="Q384" s="2" t="n">
        <x:f>IF(ISNUMBER(H384),1,0)</x:f>
        <x:v>0</x:v>
      </x:c>
    </x:row>
    <x:row r="385" ht="46" customHeight="1">
      <x:c r="A385" s="17" t="n">
        <x:v>46339</x:v>
      </x:c>
      <x:c r="B385" s="2" t="str">
        <x:v>Recurring accounts signed</x:v>
      </x:c>
      <x:c r="C385" s="2"/>
      <x:c r="D385" s="2" t="str">
        <x:v>Cumulative total</x:v>
      </x:c>
      <x:c r="E385" s="20"/>
      <x:c r="F385" s="20"/>
      <x:c r="G385" s="20"/>
      <x:c r="H385" s="2" t="str">
        <x:f>IF(D385="Rate",IF(COUNT(F385:G385)&lt;2,"",IF(G385=0,"n.a.",F385/G385)),IF(COUNT(E385)=0,"",E385))</x:f>
      </x:c>
      <x:c r="I385" s="2" t="str">
        <x:f>IF(AND(ISNUMBER(H385),ISNUMBER(C385)),H385-C385,"")</x:f>
      </x:c>
      <x:c r="J385" s="2" t="str">
        <x:v>accounts</x:v>
      </x:c>
      <x:c r="K385" s="2" t="str">
        <x:v>Nic</x:v>
      </x:c>
      <x:c r="L385" s="28" t="str"/>
      <x:c r="M385" s="20"/>
      <x:c r="N385" s="21"/>
      <x:c r="O385" s="26" t="str">
        <x:v>Plan signed following Day-30 review; only mature trial cohorts eligible. 1–3 is a conditional range.</x:v>
      </x:c>
      <x:c r="P385" s="26" t="str">
        <x:v>PDF §10</x:v>
      </x:c>
      <x:c r="Q385" s="2" t="n">
        <x:f>IF(ISNUMBER(H385),1,0)</x:f>
        <x:v>0</x:v>
      </x:c>
    </x:row>
    <x:row r="386" ht="46" customHeight="1">
      <x:c r="A386" s="17" t="n">
        <x:v>46339</x:v>
      </x:c>
      <x:c r="B386" s="2" t="str">
        <x:v>Referral-sourced bookings</x:v>
      </x:c>
      <x:c r="C386" s="2" t="n">
        <x:v>2</x:v>
      </x:c>
      <x:c r="D386" s="2" t="str">
        <x:v>Cumulative total</x:v>
      </x:c>
      <x:c r="E386" s="20"/>
      <x:c r="F386" s="20"/>
      <x:c r="G386" s="20"/>
      <x:c r="H386" s="2" t="str">
        <x:f>IF(D386="Rate",IF(COUNT(F386:G386)&lt;2,"",IF(G386=0,"n.a.",F386/G386)),IF(COUNT(E386)=0,"",E386))</x:f>
      </x:c>
      <x:c r="I386" s="2" t="str">
        <x:f>IF(AND(ISNUMBER(H386),ISNUMBER(C386)),H386-C386,"")</x:f>
      </x:c>
      <x:c r="J386" s="2" t="str">
        <x:v>bookings</x:v>
      </x:c>
      <x:c r="K386" s="2" t="str">
        <x:v>Nova</x:v>
      </x:c>
      <x:c r="L386" s="28" t="str"/>
      <x:c r="M386" s="20"/>
      <x:c r="N386" s="21"/>
      <x:c r="O386" s="26" t="str">
        <x:v>Subset of booked total with primary Source=Referral; never added on top of all-channel bookings.</x:v>
      </x:c>
      <x:c r="P386" s="26" t="str">
        <x:v>PDF §§10, 16</x:v>
      </x:c>
      <x:c r="Q386" s="2" t="n">
        <x:f>IF(ISNUMBER(H386),1,0)</x:f>
        <x:v>0</x:v>
      </x:c>
    </x:row>
    <x:row r="387" ht="46" customHeight="1">
      <x:c r="A387" s="17" t="n">
        <x:v>46339</x:v>
      </x:c>
      <x:c r="B387" s="2" t="str">
        <x:v>LinkedIn DM-sourced bookings</x:v>
      </x:c>
      <x:c r="C387" s="2" t="n">
        <x:v>2</x:v>
      </x:c>
      <x:c r="D387" s="2" t="str">
        <x:v>Cumulative total</x:v>
      </x:c>
      <x:c r="E387" s="20"/>
      <x:c r="F387" s="20"/>
      <x:c r="G387" s="20"/>
      <x:c r="H387" s="2" t="str">
        <x:f>IF(D387="Rate",IF(COUNT(F387:G387)&lt;2,"",IF(G387=0,"n.a.",F387/G387)),IF(COUNT(E387)=0,"",E387))</x:f>
      </x:c>
      <x:c r="I387" s="2" t="str">
        <x:f>IF(AND(ISNUMBER(H387),ISNUMBER(C387)),H387-C387,"")</x:f>
      </x:c>
      <x:c r="J387" s="2" t="str">
        <x:v>bookings</x:v>
      </x:c>
      <x:c r="K387" s="2" t="str">
        <x:v>Dexter</x:v>
      </x:c>
      <x:c r="L387" s="28" t="str"/>
      <x:c r="M387" s="20"/>
      <x:c r="N387" s="21"/>
      <x:c r="O387" s="26" t="str">
        <x:v>Subset of booked total with primary Source=LinkedIn DM; assists tracked separately.</x:v>
      </x:c>
      <x:c r="P387" s="26" t="str">
        <x:v>PDF §§10, 17 a</x:v>
      </x:c>
      <x:c r="Q387" s="2" t="n">
        <x:f>IF(ISNUMBER(H387),1,0)</x:f>
        <x:v>0</x:v>
      </x:c>
    </x:row>
    <x:row r="388" ht="46" customHeight="1">
      <x:c r="A388" s="17" t="n">
        <x:v>46339</x:v>
      </x:c>
      <x:c r="B388" s="2" t="str">
        <x:v>Verified contacts ready</x:v>
      </x:c>
      <x:c r="C388" s="2" t="n">
        <x:v>500</x:v>
      </x:c>
      <x:c r="D388" s="2" t="str">
        <x:v>Cumulative total</x:v>
      </x:c>
      <x:c r="E388" s="20"/>
      <x:c r="F388" s="20"/>
      <x:c r="G388" s="20"/>
      <x:c r="H388" s="2" t="str">
        <x:f>IF(D388="Rate",IF(COUNT(F388:G388)&lt;2,"",IF(G388=0,"n.a.",F388/G388)),IF(COUNT(E388)=0,"",E388))</x:f>
      </x:c>
      <x:c r="I388" s="2" t="str">
        <x:f>IF(AND(ISNUMBER(H388),ISNUMBER(C388)),H388-C388,"")</x:f>
      </x:c>
      <x:c r="J388" s="2" t="str">
        <x:v>contacts</x:v>
      </x:c>
      <x:c r="K388" s="2" t="str">
        <x:v>Joey</x:v>
      </x:c>
      <x:c r="L388" s="28" t="str"/>
      <x:c r="M388" s="20"/>
      <x:c r="N388" s="21"/>
      <x:c r="O388" s="26" t="str">
        <x:v>Unique contacts passing Scout and loaded in CQL; count once per contact.</x:v>
      </x:c>
      <x:c r="P388" s="26" t="str">
        <x:v>PDF §§10, 14; 750 due Dec 12 moved to Fri Dec 11</x:v>
      </x:c>
      <x:c r="Q388" s="2" t="n">
        <x:f>IF(ISNUMBER(H388),1,0)</x:f>
        <x:v>0</x:v>
      </x:c>
    </x:row>
    <x:row r="389" ht="46" customHeight="1">
      <x:c r="A389" s="17" t="n">
        <x:v>46339</x:v>
      </x:c>
      <x:c r="B389" s="2" t="str">
        <x:v>Permission-based referral introductions</x:v>
      </x:c>
      <x:c r="C389" s="2" t="n">
        <x:v>5</x:v>
      </x:c>
      <x:c r="D389" s="2" t="str">
        <x:v>Cumulative total</x:v>
      </x:c>
      <x:c r="E389" s="20"/>
      <x:c r="F389" s="20"/>
      <x:c r="G389" s="20"/>
      <x:c r="H389" s="2" t="str">
        <x:f>IF(D389="Rate",IF(COUNT(F389:G389)&lt;2,"",IF(G389=0,"n.a.",F389/G389)),IF(COUNT(E389)=0,"",E389))</x:f>
      </x:c>
      <x:c r="I389" s="2" t="str">
        <x:f>IF(AND(ISNUMBER(H389),ISNUMBER(C389)),H389-C389,"")</x:f>
      </x:c>
      <x:c r="J389" s="2" t="str">
        <x:v>introductions</x:v>
      </x:c>
      <x:c r="K389" s="2" t="str">
        <x:v>Maseeha</x:v>
      </x:c>
      <x:c r="L389" s="28" t="str"/>
      <x:c r="M389" s="20"/>
      <x:c r="N389" s="21"/>
      <x:c r="O389" s="26" t="str">
        <x:v>Unique introductions with consent and referrer recorded, verified by Maseeha within 2 business days.</x:v>
      </x:c>
      <x:c r="P389" s="26" t="str">
        <x:v>PDF §§10, 16</x:v>
      </x:c>
      <x:c r="Q389" s="2" t="n">
        <x:f>IF(ISNUMBER(H389),1,0)</x:f>
        <x:v>0</x:v>
      </x:c>
    </x:row>
    <x:row r="390" ht="46" customHeight="1">
      <x:c r="A390" s="17" t="n">
        <x:v>46339</x:v>
      </x:c>
      <x:c r="B390" s="2" t="str">
        <x:v>Human reply rate</x:v>
      </x:c>
      <x:c r="C390" s="40" t="n">
        <x:v>0.02</x:v>
      </x:c>
      <x:c r="D390" s="2" t="str">
        <x:v>Rate</x:v>
      </x:c>
      <x:c r="E390" s="20"/>
      <x:c r="F390" s="20"/>
      <x:c r="G390" s="20"/>
      <x:c r="H390" s="40" t="str">
        <x:f>IF(D390="Rate",IF(COUNT(F390:G390)&lt;2,"",IF(G390=0,"n.a.",F390/G390)),IF(COUNT(E390)=0,"",E390))</x:f>
      </x:c>
      <x:c r="I390" s="40" t="str">
        <x:f>IF(AND(ISNUMBER(H390),ISNUMBER(C390)),H390-C390,"")</x:f>
      </x:c>
      <x:c r="J390" s="2" t="str">
        <x:v>%</x:v>
      </x:c>
      <x:c r="K390" s="2" t="str">
        <x:v>Kenneth</x:v>
      </x:c>
      <x:c r="L390" s="28" t="str"/>
      <x:c r="M390" s="20"/>
      <x:c r="N390" s="21"/>
      <x:c r="O390" s="26" t="str">
        <x:v>Unique emailed contacts that give a qualifying human reply / unique contacts emailed in the same send cohort. Exclude OOO, auto-replies, bounces and unsubscribe-only replies. Deduplicate contacts across sequence steps; zero denominator is N/A.</x:v>
      </x:c>
      <x:c r="P390" s="26" t="str">
        <x:v>PDF §10</x:v>
      </x:c>
      <x:c r="Q390" s="2" t="n">
        <x:f>IF(ISNUMBER(H390),1,0)</x:f>
        <x:v>0</x:v>
      </x:c>
    </x:row>
    <x:row r="391" ht="46" customHeight="1">
      <x:c r="A391" s="17" t="n">
        <x:v>46339</x:v>
      </x:c>
      <x:c r="B391" s="2" t="str">
        <x:v>Positive reply rate</x:v>
      </x:c>
      <x:c r="C391" s="40" t="n">
        <x:v>0.01</x:v>
      </x:c>
      <x:c r="D391" s="2" t="str">
        <x:v>Rate</x:v>
      </x:c>
      <x:c r="E391" s="20"/>
      <x:c r="F391" s="20"/>
      <x:c r="G391" s="20"/>
      <x:c r="H391" s="40" t="str">
        <x:f>IF(D391="Rate",IF(COUNT(F391:G391)&lt;2,"",IF(G391=0,"n.a.",F391/G391)),IF(COUNT(E391)=0,"",E391))</x:f>
      </x:c>
      <x:c r="I391" s="40" t="str">
        <x:f>IF(AND(ISNUMBER(H391),ISNUMBER(C391)),H391-C391,"")</x:f>
      </x:c>
      <x:c r="J391" s="2" t="str">
        <x:v>%</x:v>
      </x:c>
      <x:c r="K391" s="2" t="str">
        <x:v>Kenneth</x:v>
      </x:c>
      <x:c r="L391" s="28" t="str"/>
      <x:c r="M391" s="20"/>
      <x:c r="N391" s="21"/>
      <x:c r="O391" s="26" t="str">
        <x:v>Unique emailed contacts classified interested or relevant question / unique contacts emailed in the same send cohort. Deduplicate across sequence steps; zero denominator is N/A. Keep this email rate separate from all-channel qualified inquiries.</x:v>
      </x:c>
      <x:c r="P391" s="26" t="str">
        <x:v>PDF §10</x:v>
      </x:c>
      <x:c r="Q391" s="2" t="n">
        <x:f>IF(ISNUMBER(H391),1,0)</x:f>
        <x:v>0</x:v>
      </x:c>
    </x:row>
    <x:row r="392" ht="46" customHeight="1">
      <x:c r="A392" s="17" t="n">
        <x:v>46339</x:v>
      </x:c>
      <x:c r="B392" s="2" t="str">
        <x:v>Replies answered within 15 minutes</x:v>
      </x:c>
      <x:c r="C392" s="40" t="n">
        <x:v>1</x:v>
      </x:c>
      <x:c r="D392" s="2" t="str">
        <x:v>Rate</x:v>
      </x:c>
      <x:c r="E392" s="20"/>
      <x:c r="F392" s="20"/>
      <x:c r="G392" s="20"/>
      <x:c r="H392" s="40" t="str">
        <x:f>IF(D392="Rate",IF(COUNT(F392:G392)&lt;2,"",IF(G392=0,"n.a.",F392/G392)),IF(COUNT(E392)=0,"",E392))</x:f>
      </x:c>
      <x:c r="I392" s="40" t="str">
        <x:f>IF(AND(ISNUMBER(H392),ISNUMBER(C392)),H392-C392,"")</x:f>
      </x:c>
      <x:c r="J392" s="2" t="str">
        <x:v>%</x:v>
      </x:c>
      <x:c r="K392" s="2" t="str">
        <x:v>Nova</x:v>
      </x:c>
      <x:c r="L392" s="28" t="str"/>
      <x:c r="M392" s="20"/>
      <x:c r="N392" s="21"/>
      <x:c r="O392"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392" s="26" t="str">
        <x:v>PDF §9; clock convention clarified for tracker</x:v>
      </x:c>
      <x:c r="Q392" s="2" t="n">
        <x:f>IF(ISNUMBER(H392),1,0)</x:f>
        <x:v>0</x:v>
      </x:c>
    </x:row>
    <x:row r="393" ht="46" customHeight="1">
      <x:c r="A393" s="17" t="n">
        <x:v>46339</x:v>
      </x:c>
      <x:c r="B393" s="2" t="str">
        <x:v>Held rate</x:v>
      </x:c>
      <x:c r="C393" s="40" t="n">
        <x:v>0.7</x:v>
      </x:c>
      <x:c r="D393" s="2" t="str">
        <x:v>Rate</x:v>
      </x:c>
      <x:c r="E393" s="20"/>
      <x:c r="F393" s="20"/>
      <x:c r="G393" s="20"/>
      <x:c r="H393" s="40" t="str">
        <x:f>IF(D393="Rate",IF(COUNT(F393:G393)&lt;2,"",IF(G393=0,"n.a.",F393/G393)),IF(COUNT(E393)=0,"",E393))</x:f>
      </x:c>
      <x:c r="I393" s="40" t="str">
        <x:f>IF(AND(ISNUMBER(H393),ISNUMBER(C393)),H393-C393,"")</x:f>
      </x:c>
      <x:c r="J393" s="2" t="str">
        <x:v>%</x:v>
      </x:c>
      <x:c r="K393" s="2" t="str">
        <x:v>Nova</x:v>
      </x:c>
      <x:c r="L393" s="28" t="str"/>
      <x:c r="M393" s="20"/>
      <x:c r="N393" s="21"/>
      <x:c r="O393" s="26" t="str">
        <x:v>Qualified conversations actually held / unique booked conversations whose scheduled time has passed. Exclude upcoming appointments. Rebooking the same opportunity is not a second booking. A zero denominator is N/A.</x:v>
      </x:c>
      <x:c r="P393" s="26" t="str">
        <x:v>PDF §10; due-cohort denominator clarified</x:v>
      </x:c>
      <x:c r="Q393" s="2" t="n">
        <x:f>IF(ISNUMBER(H393),1,0)</x:f>
        <x:v>0</x:v>
      </x:c>
    </x:row>
    <x:row r="394" ht="46" customHeight="1">
      <x:c r="A394" s="17" t="n">
        <x:v>46339</x:v>
      </x:c>
      <x:c r="B394" s="2" t="str">
        <x:v>Positive-to-booked conversion</x:v>
      </x:c>
      <x:c r="C394" s="40" t="n">
        <x:v>0.5</x:v>
      </x:c>
      <x:c r="D394" s="2" t="str">
        <x:v>Rate</x:v>
      </x:c>
      <x:c r="E394" s="20"/>
      <x:c r="F394" s="20"/>
      <x:c r="G394" s="20"/>
      <x:c r="H394" s="40" t="str">
        <x:f>IF(D394="Rate",IF(COUNT(F394:G394)&lt;2,"",IF(G394=0,"n.a.",F394/G394)),IF(COUNT(E394)=0,"",E394))</x:f>
      </x:c>
      <x:c r="I394" s="40" t="str">
        <x:f>IF(AND(ISNUMBER(H394),ISNUMBER(C394)),H394-C394,"")</x:f>
      </x:c>
      <x:c r="J394" s="2" t="str">
        <x:v>%</x:v>
      </x:c>
      <x:c r="K394" s="2" t="str">
        <x:v>Nova</x:v>
      </x:c>
      <x:c r="L394" s="28" t="str"/>
      <x:c r="M394" s="20"/>
      <x:c r="N394" s="21"/>
      <x:c r="O394" s="26" t="str">
        <x:v>Unique email-positive opportunities booked / unique email-positive opportunities in the same reviewed cohort. Use a documented follow-up window. This differs from the all-channel 40-inquiry/20-booking planning assumption. A zero denominator is N/A.</x:v>
      </x:c>
      <x:c r="P394" s="26" t="str">
        <x:v>PDF §9</x:v>
      </x:c>
      <x:c r="Q394" s="2" t="n">
        <x:f>IF(ISNUMBER(H394),1,0)</x:f>
        <x:v>0</x:v>
      </x:c>
    </x:row>
    <x:row r="395" ht="46" customHeight="1">
      <x:c r="A395" s="17" t="n">
        <x:v>46339</x:v>
      </x:c>
      <x:c r="B395" s="2" t="str">
        <x:v>Existing-account referral asks</x:v>
      </x:c>
      <x:c r="C395" s="2" t="n">
        <x:v>25</x:v>
      </x:c>
      <x:c r="D395" s="2" t="str">
        <x:v>Cumulative total</x:v>
      </x:c>
      <x:c r="E395" s="20"/>
      <x:c r="F395" s="20"/>
      <x:c r="G395" s="20"/>
      <x:c r="H395" s="2" t="str">
        <x:f>IF(D395="Rate",IF(COUNT(F395:G395)&lt;2,"",IF(G395=0,"n.a.",F395/G395)),IF(COUNT(E395)=0,"",E395))</x:f>
      </x:c>
      <x:c r="I395" s="2" t="str">
        <x:f>IF(AND(ISNUMBER(H395),ISNUMBER(C395)),H395-C395,"")</x:f>
      </x:c>
      <x:c r="J395" s="2" t="str">
        <x:v>accounts asked</x:v>
      </x:c>
      <x:c r="K395" s="2" t="str">
        <x:v>Maseeha</x:v>
      </x:c>
      <x:c r="L395" s="28" t="str"/>
      <x:c r="M395" s="20"/>
      <x:c r="N395" s="21"/>
      <x:c r="O395" s="26" t="str">
        <x:v>Ask 25 unique A/B accounts (5 A and 20 B) by November 13; proposed pace 35 total by November 20; complete the remaining C accounts to reach 41 total by November 25. One introduction is the ask; asks and received intros are separate counts.</x:v>
      </x:c>
      <x:c r="P395" s="26" t="str">
        <x:v>PDF §16 supplies 25 A/B byNov 14 and 16 C byNov 25; Friday deadline and 35-byNov 20 pace are proposed scheduling allocations.</x:v>
      </x:c>
      <x:c r="Q395" s="2" t="n">
        <x:f>IF(ISNUMBER(H395),1,0)</x:f>
        <x:v>0</x:v>
      </x:c>
    </x:row>
    <x:row r="396" ht="46" customHeight="1">
      <x:c r="A396" s="17" t="n">
        <x:v>46339</x:v>
      </x:c>
      <x:c r="B396" s="2" t="str">
        <x:v>Approved SOPs</x:v>
      </x:c>
      <x:c r="C396" s="2"/>
      <x:c r="D396" s="2" t="str">
        <x:v>Cumulative total</x:v>
      </x:c>
      <x:c r="E396" s="20"/>
      <x:c r="F396" s="20"/>
      <x:c r="G396" s="20"/>
      <x:c r="H396" s="2" t="str">
        <x:f>IF(D396="Rate",IF(COUNT(F396:G396)&lt;2,"",IF(G396=0,"n.a.",F396/G396)),IF(COUNT(E396)=0,"",E396))</x:f>
      </x:c>
      <x:c r="I396" s="2" t="str">
        <x:f>IF(AND(ISNUMBER(H396),ISNUMBER(C396)),H396-C396,"")</x:f>
      </x:c>
      <x:c r="J396" s="2" t="str">
        <x:v>SOPs</x:v>
      </x:c>
      <x:c r="K396" s="2" t="str">
        <x:v>Wyline</x:v>
      </x:c>
      <x:c r="L396" s="28" t="str"/>
      <x:c r="M396" s="20"/>
      <x:c r="N396" s="21"/>
      <x:c r="O396" s="26" t="str">
        <x:v>10 core SOPs plus ADS-01 and SOC-01 additions; approved version and independent-run evidence required.</x:v>
      </x:c>
      <x:c r="P396" s="26" t="str">
        <x:v>PDF §8 with §§17 b–d additions</x:v>
      </x:c>
      <x:c r="Q396" s="2" t="n">
        <x:f>IF(ISNUMBER(H396),1,0)</x:f>
        <x:v>0</x:v>
      </x:c>
    </x:row>
    <x:row r="397" ht="46" customHeight="1">
      <x:c r="A397" s="17" t="n">
        <x:v>46339</x:v>
      </x:c>
      <x:c r="B397" s="2" t="str">
        <x:v>Accepted AI agents</x:v>
      </x:c>
      <x:c r="C397" s="2"/>
      <x:c r="D397" s="2" t="str">
        <x:v>Cumulative total</x:v>
      </x:c>
      <x:c r="E397" s="20"/>
      <x:c r="F397" s="20"/>
      <x:c r="G397" s="20"/>
      <x:c r="H397" s="2" t="str">
        <x:f>IF(D397="Rate",IF(COUNT(F397:G397)&lt;2,"",IF(G397=0,"n.a.",F397/G397)),IF(COUNT(E397)=0,"",E397))</x:f>
      </x:c>
      <x:c r="I397" s="2" t="str">
        <x:f>IF(AND(ISNUMBER(H397),ISNUMBER(C397)),H397-C397,"")</x:f>
      </x:c>
      <x:c r="J397" s="2" t="str">
        <x:v>agents</x:v>
      </x:c>
      <x:c r="K397" s="2" t="str">
        <x:v>Emman</x:v>
      </x:c>
      <x:c r="L397" s="28" t="str"/>
      <x:c r="M397" s="20"/>
      <x:c r="N397" s="21"/>
      <x:c r="O397" s="26" t="str">
        <x:v>Scout, Writer, Inbox, Phone Assist, LinkedIn Assist, Follow-up, Scoreboard and Client Reporter; acceptance evidence required.</x:v>
      </x:c>
      <x:c r="P397" s="26" t="str">
        <x:v>PDF §7</x:v>
      </x:c>
      <x:c r="Q397" s="2" t="n">
        <x:f>IF(ISNUMBER(H397),1,0)</x:f>
        <x:v>0</x:v>
      </x:c>
    </x:row>
    <x:row r="398" ht="46" customHeight="1">
      <x:c r="A398" s="17" t="n">
        <x:v>46340</x:v>
      </x:c>
      <x:c r="B398" s="2" t="str">
        <x:v>Qualified inquiries</x:v>
      </x:c>
      <x:c r="C398" s="2" t="n">
        <x:v>10</x:v>
      </x:c>
      <x:c r="D398" s="2" t="str">
        <x:v>Cumulative total</x:v>
      </x:c>
      <x:c r="E398" s="20"/>
      <x:c r="F398" s="20"/>
      <x:c r="G398" s="20"/>
      <x:c r="H398" s="2" t="str">
        <x:f>IF(D398="Rate",IF(COUNT(F398:G398)&lt;2,"",IF(G398=0,"n.a.",F398/G398)),IF(COUNT(E398)=0,"",E398))</x:f>
      </x:c>
      <x:c r="I398" s="2" t="str">
        <x:f>IF(AND(ISNUMBER(H398),ISNUMBER(C398)),H398-C398,"")</x:f>
      </x:c>
      <x:c r="J398" s="2" t="str">
        <x:v>inquiries</x:v>
      </x:c>
      <x:c r="K398" s="2" t="str">
        <x:v>Nova</x:v>
      </x:c>
      <x:c r="L398" s="28" t="str"/>
      <x:c r="M398" s="20"/>
      <x:c r="N398" s="21"/>
      <x:c r="O398" s="26" t="str">
        <x:v>Unique ICP-matched practices that express relevant interest, need or timing; Nova records practice type, decision-maker access, case volume, service need and readiness within 30–60 days. Raw records, opens and connection accepts do not qualify.</x:v>
      </x:c>
      <x:c r="P398" s="26" t="str">
        <x:v>Original proposal pages 2 and 4 define qualification; 40 by Dec 16 and intermediate pace are newly proposed recovery targets.</x:v>
      </x:c>
      <x:c r="Q398" s="2" t="n">
        <x:f>IF(ISNUMBER(H398),1,0)</x:f>
        <x:v>0</x:v>
      </x:c>
    </x:row>
    <x:row r="399" ht="46" customHeight="1">
      <x:c r="A399" s="17" t="n">
        <x:v>46340</x:v>
      </x:c>
      <x:c r="B399" s="2" t="str">
        <x:v>Qualified conversations booked</x:v>
      </x:c>
      <x:c r="C399" s="2" t="n">
        <x:v>5</x:v>
      </x:c>
      <x:c r="D399" s="2" t="str">
        <x:v>Cumulative total</x:v>
      </x:c>
      <x:c r="E399" s="20"/>
      <x:c r="F399" s="20"/>
      <x:c r="G399" s="20"/>
      <x:c r="H399" s="2" t="str">
        <x:f>IF(D399="Rate",IF(COUNT(F399:G399)&lt;2,"",IF(G399=0,"n.a.",F399/G399)),IF(COUNT(E399)=0,"",E399))</x:f>
      </x:c>
      <x:c r="I399" s="2" t="str">
        <x:f>IF(AND(ISNUMBER(H399),ISNUMBER(C399)),H399-C399,"")</x:f>
      </x:c>
      <x:c r="J399" s="2" t="str">
        <x:v>bookings</x:v>
      </x:c>
      <x:c r="K399" s="2" t="str">
        <x:v>Nova</x:v>
      </x:c>
      <x:c r="L399" s="28" t="str"/>
      <x:c r="M399" s="20"/>
      <x:c r="N399" s="21"/>
      <x:c r="O399" s="26" t="str">
        <x:v>Unique qualified calls/visits booked with Nic; rebooking same opportunity is not a new booking.</x:v>
      </x:c>
      <x:c r="P399" s="26" t="str">
        <x:v>PDF §10; final deadline advanced to user Dec 16</x:v>
      </x:c>
      <x:c r="Q399" s="2" t="n">
        <x:f>IF(ISNUMBER(H399),1,0)</x:f>
        <x:v>0</x:v>
      </x:c>
    </x:row>
    <x:row r="400" ht="46" customHeight="1">
      <x:c r="A400" s="17" t="n">
        <x:v>46340</x:v>
      </x:c>
      <x:c r="B400" s="2" t="str">
        <x:v>Qualified conversations held</x:v>
      </x:c>
      <x:c r="C400" s="2" t="n">
        <x:v>3</x:v>
      </x:c>
      <x:c r="D400" s="2" t="str">
        <x:v>Cumulative total</x:v>
      </x:c>
      <x:c r="E400" s="20"/>
      <x:c r="F400" s="20"/>
      <x:c r="G400" s="20"/>
      <x:c r="H400" s="2" t="str">
        <x:f>IF(D400="Rate",IF(COUNT(F400:G400)&lt;2,"",IF(G400=0,"n.a.",F400/G400)),IF(COUNT(E400)=0,"",E400))</x:f>
      </x:c>
      <x:c r="I400" s="2" t="str">
        <x:f>IF(AND(ISNUMBER(H400),ISNUMBER(C400)),H400-C400,"")</x:f>
      </x:c>
      <x:c r="J400" s="2" t="str">
        <x:v>held</x:v>
      </x:c>
      <x:c r="K400" s="2" t="str">
        <x:v>Nova</x:v>
      </x:c>
      <x:c r="L400" s="28" t="str"/>
      <x:c r="M400" s="20"/>
      <x:c r="N400" s="21"/>
      <x:c r="O400" s="26" t="str">
        <x:v>Completed qualified calls/visits; 6 and 15 are integer planning proxies for 70% of 8 and 75% of 20.</x:v>
      </x:c>
      <x:c r="P400" s="26" t="str">
        <x:v>Derived from source held-rate targets</x:v>
      </x:c>
      <x:c r="Q400" s="2" t="n">
        <x:f>IF(ISNUMBER(H400),1,0)</x:f>
        <x:v>0</x:v>
      </x:c>
    </x:row>
    <x:row r="401" ht="46" customHeight="1">
      <x:c r="A401" s="17" t="n">
        <x:v>46340</x:v>
      </x:c>
      <x:c r="B401" s="2" t="str">
        <x:v>Trial cases received by DSI</x:v>
      </x:c>
      <x:c r="C401" s="2" t="n">
        <x:v>1</x:v>
      </x:c>
      <x:c r="D401" s="2" t="str">
        <x:v>Cumulative total</x:v>
      </x:c>
      <x:c r="E401" s="20"/>
      <x:c r="F401" s="20"/>
      <x:c r="G401" s="20"/>
      <x:c r="H401" s="2" t="str">
        <x:f>IF(D401="Rate",IF(COUNT(F401:G401)&lt;2,"",IF(G401=0,"n.a.",F401/G401)),IF(COUNT(E401)=0,"",E401))</x:f>
      </x:c>
      <x:c r="I401" s="2" t="str">
        <x:f>IF(AND(ISNUMBER(H401),ISNUMBER(C401)),H401-C401,"")</x:f>
      </x:c>
      <x:c r="J401" s="2" t="str">
        <x:v>trials</x:v>
      </x:c>
      <x:c r="K401" s="2" t="str">
        <x:v>Maseeha</x:v>
      </x:c>
      <x:c r="L401" s="28" t="str"/>
      <x:c r="M401" s="20"/>
      <x:c r="N401" s="21"/>
      <x:c r="O401" s="26" t="str">
        <x:v>Practice’s first trial case received by DSI, not merely promised or shipped; subject to Maseeha capacity.</x:v>
      </x:c>
      <x:c r="P401" s="26" t="str">
        <x:v>PDF §10; final deadline advanced to user Dec 16</x:v>
      </x:c>
      <x:c r="Q401" s="2" t="n">
        <x:f>IF(ISNUMBER(H401),1,0)</x:f>
        <x:v>0</x:v>
      </x:c>
    </x:row>
    <x:row r="402" ht="46" customHeight="1">
      <x:c r="A402" s="17" t="n">
        <x:v>46340</x:v>
      </x:c>
      <x:c r="B402" s="2" t="str">
        <x:v>Recurring accounts signed</x:v>
      </x:c>
      <x:c r="C402" s="2"/>
      <x:c r="D402" s="2" t="str">
        <x:v>Cumulative total</x:v>
      </x:c>
      <x:c r="E402" s="20"/>
      <x:c r="F402" s="20"/>
      <x:c r="G402" s="20"/>
      <x:c r="H402" s="2" t="str">
        <x:f>IF(D402="Rate",IF(COUNT(F402:G402)&lt;2,"",IF(G402=0,"n.a.",F402/G402)),IF(COUNT(E402)=0,"",E402))</x:f>
      </x:c>
      <x:c r="I402" s="2" t="str">
        <x:f>IF(AND(ISNUMBER(H402),ISNUMBER(C402)),H402-C402,"")</x:f>
      </x:c>
      <x:c r="J402" s="2" t="str">
        <x:v>accounts</x:v>
      </x:c>
      <x:c r="K402" s="2" t="str">
        <x:v>Nic</x:v>
      </x:c>
      <x:c r="L402" s="28" t="str"/>
      <x:c r="M402" s="20"/>
      <x:c r="N402" s="21"/>
      <x:c r="O402" s="26" t="str">
        <x:v>Plan signed following Day-30 review; only mature trial cohorts eligible. 1–3 is a conditional range.</x:v>
      </x:c>
      <x:c r="P402" s="26" t="str">
        <x:v>PDF §10</x:v>
      </x:c>
      <x:c r="Q402" s="2" t="n">
        <x:f>IF(ISNUMBER(H402),1,0)</x:f>
        <x:v>0</x:v>
      </x:c>
    </x:row>
    <x:row r="403" ht="46" customHeight="1">
      <x:c r="A403" s="17" t="n">
        <x:v>46340</x:v>
      </x:c>
      <x:c r="B403" s="2" t="str">
        <x:v>Referral-sourced bookings</x:v>
      </x:c>
      <x:c r="C403" s="2" t="n">
        <x:v>2</x:v>
      </x:c>
      <x:c r="D403" s="2" t="str">
        <x:v>Cumulative total</x:v>
      </x:c>
      <x:c r="E403" s="20"/>
      <x:c r="F403" s="20"/>
      <x:c r="G403" s="20"/>
      <x:c r="H403" s="2" t="str">
        <x:f>IF(D403="Rate",IF(COUNT(F403:G403)&lt;2,"",IF(G403=0,"n.a.",F403/G403)),IF(COUNT(E403)=0,"",E403))</x:f>
      </x:c>
      <x:c r="I403" s="2" t="str">
        <x:f>IF(AND(ISNUMBER(H403),ISNUMBER(C403)),H403-C403,"")</x:f>
      </x:c>
      <x:c r="J403" s="2" t="str">
        <x:v>bookings</x:v>
      </x:c>
      <x:c r="K403" s="2" t="str">
        <x:v>Nova</x:v>
      </x:c>
      <x:c r="L403" s="28" t="str"/>
      <x:c r="M403" s="20"/>
      <x:c r="N403" s="21"/>
      <x:c r="O403" s="26" t="str">
        <x:v>Subset of booked total with primary Source=Referral; never added on top of all-channel bookings.</x:v>
      </x:c>
      <x:c r="P403" s="26" t="str">
        <x:v>PDF §§10, 16</x:v>
      </x:c>
      <x:c r="Q403" s="2" t="n">
        <x:f>IF(ISNUMBER(H403),1,0)</x:f>
        <x:v>0</x:v>
      </x:c>
    </x:row>
    <x:row r="404" ht="46" customHeight="1">
      <x:c r="A404" s="17" t="n">
        <x:v>46340</x:v>
      </x:c>
      <x:c r="B404" s="2" t="str">
        <x:v>LinkedIn DM-sourced bookings</x:v>
      </x:c>
      <x:c r="C404" s="2" t="n">
        <x:v>2</x:v>
      </x:c>
      <x:c r="D404" s="2" t="str">
        <x:v>Cumulative total</x:v>
      </x:c>
      <x:c r="E404" s="20"/>
      <x:c r="F404" s="20"/>
      <x:c r="G404" s="20"/>
      <x:c r="H404" s="2" t="str">
        <x:f>IF(D404="Rate",IF(COUNT(F404:G404)&lt;2,"",IF(G404=0,"n.a.",F404/G404)),IF(COUNT(E404)=0,"",E404))</x:f>
      </x:c>
      <x:c r="I404" s="2" t="str">
        <x:f>IF(AND(ISNUMBER(H404),ISNUMBER(C404)),H404-C404,"")</x:f>
      </x:c>
      <x:c r="J404" s="2" t="str">
        <x:v>bookings</x:v>
      </x:c>
      <x:c r="K404" s="2" t="str">
        <x:v>Dexter</x:v>
      </x:c>
      <x:c r="L404" s="28" t="str"/>
      <x:c r="M404" s="20"/>
      <x:c r="N404" s="21"/>
      <x:c r="O404" s="26" t="str">
        <x:v>Subset of booked total with primary Source=LinkedIn DM; assists tracked separately.</x:v>
      </x:c>
      <x:c r="P404" s="26" t="str">
        <x:v>PDF §§10, 17 a</x:v>
      </x:c>
      <x:c r="Q404" s="2" t="n">
        <x:f>IF(ISNUMBER(H404),1,0)</x:f>
        <x:v>0</x:v>
      </x:c>
    </x:row>
    <x:row r="405" ht="46" customHeight="1">
      <x:c r="A405" s="17" t="n">
        <x:v>46340</x:v>
      </x:c>
      <x:c r="B405" s="2" t="str">
        <x:v>Verified contacts ready</x:v>
      </x:c>
      <x:c r="C405" s="2" t="n">
        <x:v>500</x:v>
      </x:c>
      <x:c r="D405" s="2" t="str">
        <x:v>Cumulative total</x:v>
      </x:c>
      <x:c r="E405" s="20"/>
      <x:c r="F405" s="20"/>
      <x:c r="G405" s="20"/>
      <x:c r="H405" s="2" t="str">
        <x:f>IF(D405="Rate",IF(COUNT(F405:G405)&lt;2,"",IF(G405=0,"n.a.",F405/G405)),IF(COUNT(E405)=0,"",E405))</x:f>
      </x:c>
      <x:c r="I405" s="2" t="str">
        <x:f>IF(AND(ISNUMBER(H405),ISNUMBER(C405)),H405-C405,"")</x:f>
      </x:c>
      <x:c r="J405" s="2" t="str">
        <x:v>contacts</x:v>
      </x:c>
      <x:c r="K405" s="2" t="str">
        <x:v>Joey</x:v>
      </x:c>
      <x:c r="L405" s="28" t="str"/>
      <x:c r="M405" s="20"/>
      <x:c r="N405" s="21"/>
      <x:c r="O405" s="26" t="str">
        <x:v>Unique contacts passing Scout and loaded in CQL; count once per contact.</x:v>
      </x:c>
      <x:c r="P405" s="26" t="str">
        <x:v>PDF §§10, 14; 750 due Dec 12 moved to Fri Dec 11</x:v>
      </x:c>
      <x:c r="Q405" s="2" t="n">
        <x:f>IF(ISNUMBER(H405),1,0)</x:f>
        <x:v>0</x:v>
      </x:c>
    </x:row>
    <x:row r="406" ht="46" customHeight="1">
      <x:c r="A406" s="17" t="n">
        <x:v>46340</x:v>
      </x:c>
      <x:c r="B406" s="2" t="str">
        <x:v>Permission-based referral introductions</x:v>
      </x:c>
      <x:c r="C406" s="2" t="n">
        <x:v>5</x:v>
      </x:c>
      <x:c r="D406" s="2" t="str">
        <x:v>Cumulative total</x:v>
      </x:c>
      <x:c r="E406" s="20"/>
      <x:c r="F406" s="20"/>
      <x:c r="G406" s="20"/>
      <x:c r="H406" s="2" t="str">
        <x:f>IF(D406="Rate",IF(COUNT(F406:G406)&lt;2,"",IF(G406=0,"n.a.",F406/G406)),IF(COUNT(E406)=0,"",E406))</x:f>
      </x:c>
      <x:c r="I406" s="2" t="str">
        <x:f>IF(AND(ISNUMBER(H406),ISNUMBER(C406)),H406-C406,"")</x:f>
      </x:c>
      <x:c r="J406" s="2" t="str">
        <x:v>introductions</x:v>
      </x:c>
      <x:c r="K406" s="2" t="str">
        <x:v>Maseeha</x:v>
      </x:c>
      <x:c r="L406" s="28" t="str"/>
      <x:c r="M406" s="20"/>
      <x:c r="N406" s="21"/>
      <x:c r="O406" s="26" t="str">
        <x:v>Unique introductions with consent and referrer recorded, verified by Maseeha within 2 business days.</x:v>
      </x:c>
      <x:c r="P406" s="26" t="str">
        <x:v>PDF §§10, 16</x:v>
      </x:c>
      <x:c r="Q406" s="2" t="n">
        <x:f>IF(ISNUMBER(H406),1,0)</x:f>
        <x:v>0</x:v>
      </x:c>
    </x:row>
    <x:row r="407" ht="46" customHeight="1">
      <x:c r="A407" s="17" t="n">
        <x:v>46340</x:v>
      </x:c>
      <x:c r="B407" s="2" t="str">
        <x:v>Human reply rate</x:v>
      </x:c>
      <x:c r="C407" s="40" t="n">
        <x:v>0.02</x:v>
      </x:c>
      <x:c r="D407" s="2" t="str">
        <x:v>Rate</x:v>
      </x:c>
      <x:c r="E407" s="20"/>
      <x:c r="F407" s="20"/>
      <x:c r="G407" s="20"/>
      <x:c r="H407" s="40" t="str">
        <x:f>IF(D407="Rate",IF(COUNT(F407:G407)&lt;2,"",IF(G407=0,"n.a.",F407/G407)),IF(COUNT(E407)=0,"",E407))</x:f>
      </x:c>
      <x:c r="I407" s="40" t="str">
        <x:f>IF(AND(ISNUMBER(H407),ISNUMBER(C407)),H407-C407,"")</x:f>
      </x:c>
      <x:c r="J407" s="2" t="str">
        <x:v>%</x:v>
      </x:c>
      <x:c r="K407" s="2" t="str">
        <x:v>Kenneth</x:v>
      </x:c>
      <x:c r="L407" s="28" t="str"/>
      <x:c r="M407" s="20"/>
      <x:c r="N407" s="21"/>
      <x:c r="O407" s="26" t="str">
        <x:v>Unique emailed contacts that give a qualifying human reply / unique contacts emailed in the same send cohort. Exclude OOO, auto-replies, bounces and unsubscribe-only replies. Deduplicate contacts across sequence steps; zero denominator is N/A.</x:v>
      </x:c>
      <x:c r="P407" s="26" t="str">
        <x:v>PDF §10</x:v>
      </x:c>
      <x:c r="Q407" s="2" t="n">
        <x:f>IF(ISNUMBER(H407),1,0)</x:f>
        <x:v>0</x:v>
      </x:c>
    </x:row>
    <x:row r="408" ht="46" customHeight="1">
      <x:c r="A408" s="17" t="n">
        <x:v>46340</x:v>
      </x:c>
      <x:c r="B408" s="2" t="str">
        <x:v>Positive reply rate</x:v>
      </x:c>
      <x:c r="C408" s="40" t="n">
        <x:v>0.01</x:v>
      </x:c>
      <x:c r="D408" s="2" t="str">
        <x:v>Rate</x:v>
      </x:c>
      <x:c r="E408" s="20"/>
      <x:c r="F408" s="20"/>
      <x:c r="G408" s="20"/>
      <x:c r="H408" s="40" t="str">
        <x:f>IF(D408="Rate",IF(COUNT(F408:G408)&lt;2,"",IF(G408=0,"n.a.",F408/G408)),IF(COUNT(E408)=0,"",E408))</x:f>
      </x:c>
      <x:c r="I408" s="40" t="str">
        <x:f>IF(AND(ISNUMBER(H408),ISNUMBER(C408)),H408-C408,"")</x:f>
      </x:c>
      <x:c r="J408" s="2" t="str">
        <x:v>%</x:v>
      </x:c>
      <x:c r="K408" s="2" t="str">
        <x:v>Kenneth</x:v>
      </x:c>
      <x:c r="L408" s="28" t="str"/>
      <x:c r="M408" s="20"/>
      <x:c r="N408" s="21"/>
      <x:c r="O408" s="26" t="str">
        <x:v>Unique emailed contacts classified interested or relevant question / unique contacts emailed in the same send cohort. Deduplicate across sequence steps; zero denominator is N/A. Keep this email rate separate from all-channel qualified inquiries.</x:v>
      </x:c>
      <x:c r="P408" s="26" t="str">
        <x:v>PDF §10</x:v>
      </x:c>
      <x:c r="Q408" s="2" t="n">
        <x:f>IF(ISNUMBER(H408),1,0)</x:f>
        <x:v>0</x:v>
      </x:c>
    </x:row>
    <x:row r="409" ht="46" customHeight="1">
      <x:c r="A409" s="17" t="n">
        <x:v>46340</x:v>
      </x:c>
      <x:c r="B409" s="2" t="str">
        <x:v>Replies answered within 15 minutes</x:v>
      </x:c>
      <x:c r="C409" s="40" t="n">
        <x:v>1</x:v>
      </x:c>
      <x:c r="D409" s="2" t="str">
        <x:v>Rate</x:v>
      </x:c>
      <x:c r="E409" s="20"/>
      <x:c r="F409" s="20"/>
      <x:c r="G409" s="20"/>
      <x:c r="H409" s="40" t="str">
        <x:f>IF(D409="Rate",IF(COUNT(F409:G409)&lt;2,"",IF(G409=0,"n.a.",F409/G409)),IF(COUNT(E409)=0,"",E409))</x:f>
      </x:c>
      <x:c r="I409" s="40" t="str">
        <x:f>IF(AND(ISNUMBER(H409),ISNUMBER(C409)),H409-C409,"")</x:f>
      </x:c>
      <x:c r="J409" s="2" t="str">
        <x:v>%</x:v>
      </x:c>
      <x:c r="K409" s="2" t="str">
        <x:v>Nova</x:v>
      </x:c>
      <x:c r="L409" s="28" t="str"/>
      <x:c r="M409" s="20"/>
      <x:c r="N409" s="21"/>
      <x:c r="O409"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409" s="26" t="str">
        <x:v>PDF §9; clock convention clarified for tracker</x:v>
      </x:c>
      <x:c r="Q409" s="2" t="n">
        <x:f>IF(ISNUMBER(H409),1,0)</x:f>
        <x:v>0</x:v>
      </x:c>
    </x:row>
    <x:row r="410" ht="46" customHeight="1">
      <x:c r="A410" s="17" t="n">
        <x:v>46340</x:v>
      </x:c>
      <x:c r="B410" s="2" t="str">
        <x:v>Held rate</x:v>
      </x:c>
      <x:c r="C410" s="40" t="n">
        <x:v>0.7</x:v>
      </x:c>
      <x:c r="D410" s="2" t="str">
        <x:v>Rate</x:v>
      </x:c>
      <x:c r="E410" s="20"/>
      <x:c r="F410" s="20"/>
      <x:c r="G410" s="20"/>
      <x:c r="H410" s="40" t="str">
        <x:f>IF(D410="Rate",IF(COUNT(F410:G410)&lt;2,"",IF(G410=0,"n.a.",F410/G410)),IF(COUNT(E410)=0,"",E410))</x:f>
      </x:c>
      <x:c r="I410" s="40" t="str">
        <x:f>IF(AND(ISNUMBER(H410),ISNUMBER(C410)),H410-C410,"")</x:f>
      </x:c>
      <x:c r="J410" s="2" t="str">
        <x:v>%</x:v>
      </x:c>
      <x:c r="K410" s="2" t="str">
        <x:v>Nova</x:v>
      </x:c>
      <x:c r="L410" s="28" t="str"/>
      <x:c r="M410" s="20"/>
      <x:c r="N410" s="21"/>
      <x:c r="O410" s="26" t="str">
        <x:v>Qualified conversations actually held / unique booked conversations whose scheduled time has passed. Exclude upcoming appointments. Rebooking the same opportunity is not a second booking. A zero denominator is N/A.</x:v>
      </x:c>
      <x:c r="P410" s="26" t="str">
        <x:v>PDF §10; due-cohort denominator clarified</x:v>
      </x:c>
      <x:c r="Q410" s="2" t="n">
        <x:f>IF(ISNUMBER(H410),1,0)</x:f>
        <x:v>0</x:v>
      </x:c>
    </x:row>
    <x:row r="411" ht="46" customHeight="1">
      <x:c r="A411" s="17" t="n">
        <x:v>46340</x:v>
      </x:c>
      <x:c r="B411" s="2" t="str">
        <x:v>Positive-to-booked conversion</x:v>
      </x:c>
      <x:c r="C411" s="40" t="n">
        <x:v>0.5</x:v>
      </x:c>
      <x:c r="D411" s="2" t="str">
        <x:v>Rate</x:v>
      </x:c>
      <x:c r="E411" s="20"/>
      <x:c r="F411" s="20"/>
      <x:c r="G411" s="20"/>
      <x:c r="H411" s="40" t="str">
        <x:f>IF(D411="Rate",IF(COUNT(F411:G411)&lt;2,"",IF(G411=0,"n.a.",F411/G411)),IF(COUNT(E411)=0,"",E411))</x:f>
      </x:c>
      <x:c r="I411" s="40" t="str">
        <x:f>IF(AND(ISNUMBER(H411),ISNUMBER(C411)),H411-C411,"")</x:f>
      </x:c>
      <x:c r="J411" s="2" t="str">
        <x:v>%</x:v>
      </x:c>
      <x:c r="K411" s="2" t="str">
        <x:v>Nova</x:v>
      </x:c>
      <x:c r="L411" s="28" t="str"/>
      <x:c r="M411" s="20"/>
      <x:c r="N411" s="21"/>
      <x:c r="O411" s="26" t="str">
        <x:v>Unique email-positive opportunities booked / unique email-positive opportunities in the same reviewed cohort. Use a documented follow-up window. This differs from the all-channel 40-inquiry/20-booking planning assumption. A zero denominator is N/A.</x:v>
      </x:c>
      <x:c r="P411" s="26" t="str">
        <x:v>PDF §9</x:v>
      </x:c>
      <x:c r="Q411" s="2" t="n">
        <x:f>IF(ISNUMBER(H411),1,0)</x:f>
        <x:v>0</x:v>
      </x:c>
    </x:row>
    <x:row r="412" ht="46" customHeight="1">
      <x:c r="A412" s="17" t="n">
        <x:v>46340</x:v>
      </x:c>
      <x:c r="B412" s="2" t="str">
        <x:v>Existing-account referral asks</x:v>
      </x:c>
      <x:c r="C412" s="2" t="n">
        <x:v>25</x:v>
      </x:c>
      <x:c r="D412" s="2" t="str">
        <x:v>Cumulative total</x:v>
      </x:c>
      <x:c r="E412" s="20"/>
      <x:c r="F412" s="20"/>
      <x:c r="G412" s="20"/>
      <x:c r="H412" s="2" t="str">
        <x:f>IF(D412="Rate",IF(COUNT(F412:G412)&lt;2,"",IF(G412=0,"n.a.",F412/G412)),IF(COUNT(E412)=0,"",E412))</x:f>
      </x:c>
      <x:c r="I412" s="2" t="str">
        <x:f>IF(AND(ISNUMBER(H412),ISNUMBER(C412)),H412-C412,"")</x:f>
      </x:c>
      <x:c r="J412" s="2" t="str">
        <x:v>accounts asked</x:v>
      </x:c>
      <x:c r="K412" s="2" t="str">
        <x:v>Maseeha</x:v>
      </x:c>
      <x:c r="L412" s="28" t="str"/>
      <x:c r="M412" s="20"/>
      <x:c r="N412" s="21"/>
      <x:c r="O412" s="26" t="str">
        <x:v>Ask 25 unique A/B accounts (5 A and 20 B) by November 13; proposed pace 35 total by November 20; complete the remaining C accounts to reach 41 total by November 25. One introduction is the ask; asks and received intros are separate counts.</x:v>
      </x:c>
      <x:c r="P412" s="26" t="str">
        <x:v>PDF §16 supplies 25 A/B byNov 14 and 16 C byNov 25; Friday deadline and 35-byNov 20 pace are proposed scheduling allocations.</x:v>
      </x:c>
      <x:c r="Q412" s="2" t="n">
        <x:f>IF(ISNUMBER(H412),1,0)</x:f>
        <x:v>0</x:v>
      </x:c>
    </x:row>
    <x:row r="413" ht="46" customHeight="1">
      <x:c r="A413" s="17" t="n">
        <x:v>46340</x:v>
      </x:c>
      <x:c r="B413" s="2" t="str">
        <x:v>Approved SOPs</x:v>
      </x:c>
      <x:c r="C413" s="2"/>
      <x:c r="D413" s="2" t="str">
        <x:v>Cumulative total</x:v>
      </x:c>
      <x:c r="E413" s="20"/>
      <x:c r="F413" s="20"/>
      <x:c r="G413" s="20"/>
      <x:c r="H413" s="2" t="str">
        <x:f>IF(D413="Rate",IF(COUNT(F413:G413)&lt;2,"",IF(G413=0,"n.a.",F413/G413)),IF(COUNT(E413)=0,"",E413))</x:f>
      </x:c>
      <x:c r="I413" s="2" t="str">
        <x:f>IF(AND(ISNUMBER(H413),ISNUMBER(C413)),H413-C413,"")</x:f>
      </x:c>
      <x:c r="J413" s="2" t="str">
        <x:v>SOPs</x:v>
      </x:c>
      <x:c r="K413" s="2" t="str">
        <x:v>Wyline</x:v>
      </x:c>
      <x:c r="L413" s="28" t="str"/>
      <x:c r="M413" s="20"/>
      <x:c r="N413" s="21"/>
      <x:c r="O413" s="26" t="str">
        <x:v>10 core SOPs plus ADS-01 and SOC-01 additions; approved version and independent-run evidence required.</x:v>
      </x:c>
      <x:c r="P413" s="26" t="str">
        <x:v>PDF §8 with §§17 b–d additions</x:v>
      </x:c>
      <x:c r="Q413" s="2" t="n">
        <x:f>IF(ISNUMBER(H413),1,0)</x:f>
        <x:v>0</x:v>
      </x:c>
    </x:row>
    <x:row r="414" ht="46" customHeight="1">
      <x:c r="A414" s="17" t="n">
        <x:v>46340</x:v>
      </x:c>
      <x:c r="B414" s="2" t="str">
        <x:v>Accepted AI agents</x:v>
      </x:c>
      <x:c r="C414" s="2"/>
      <x:c r="D414" s="2" t="str">
        <x:v>Cumulative total</x:v>
      </x:c>
      <x:c r="E414" s="20"/>
      <x:c r="F414" s="20"/>
      <x:c r="G414" s="20"/>
      <x:c r="H414" s="2" t="str">
        <x:f>IF(D414="Rate",IF(COUNT(F414:G414)&lt;2,"",IF(G414=0,"n.a.",F414/G414)),IF(COUNT(E414)=0,"",E414))</x:f>
      </x:c>
      <x:c r="I414" s="2" t="str">
        <x:f>IF(AND(ISNUMBER(H414),ISNUMBER(C414)),H414-C414,"")</x:f>
      </x:c>
      <x:c r="J414" s="2" t="str">
        <x:v>agents</x:v>
      </x:c>
      <x:c r="K414" s="2" t="str">
        <x:v>Emman</x:v>
      </x:c>
      <x:c r="L414" s="28" t="str"/>
      <x:c r="M414" s="20"/>
      <x:c r="N414" s="21"/>
      <x:c r="O414" s="26" t="str">
        <x:v>Scout, Writer, Inbox, Phone Assist, LinkedIn Assist, Follow-up, Scoreboard and Client Reporter; acceptance evidence required.</x:v>
      </x:c>
      <x:c r="P414" s="26" t="str">
        <x:v>PDF §7</x:v>
      </x:c>
      <x:c r="Q414" s="2" t="n">
        <x:f>IF(ISNUMBER(H414),1,0)</x:f>
        <x:v>0</x:v>
      </x:c>
    </x:row>
    <x:row r="415" ht="46" customHeight="1">
      <x:c r="A415" s="17" t="n">
        <x:v>46341</x:v>
      </x:c>
      <x:c r="B415" s="2" t="str">
        <x:v>Qualified inquiries</x:v>
      </x:c>
      <x:c r="C415" s="2" t="n">
        <x:v>10</x:v>
      </x:c>
      <x:c r="D415" s="2" t="str">
        <x:v>Cumulative total</x:v>
      </x:c>
      <x:c r="E415" s="20"/>
      <x:c r="F415" s="20"/>
      <x:c r="G415" s="20"/>
      <x:c r="H415" s="2" t="str">
        <x:f>IF(D415="Rate",IF(COUNT(F415:G415)&lt;2,"",IF(G415=0,"n.a.",F415/G415)),IF(COUNT(E415)=0,"",E415))</x:f>
      </x:c>
      <x:c r="I415" s="2" t="str">
        <x:f>IF(AND(ISNUMBER(H415),ISNUMBER(C415)),H415-C415,"")</x:f>
      </x:c>
      <x:c r="J415" s="2" t="str">
        <x:v>inquiries</x:v>
      </x:c>
      <x:c r="K415" s="2" t="str">
        <x:v>Nova</x:v>
      </x:c>
      <x:c r="L415" s="28" t="str"/>
      <x:c r="M415" s="20"/>
      <x:c r="N415" s="21"/>
      <x:c r="O415" s="26" t="str">
        <x:v>Unique ICP-matched practices that express relevant interest, need or timing; Nova records practice type, decision-maker access, case volume, service need and readiness within 30–60 days. Raw records, opens and connection accepts do not qualify.</x:v>
      </x:c>
      <x:c r="P415" s="26" t="str">
        <x:v>Original proposal pages 2 and 4 define qualification; 40 by Dec 16 and intermediate pace are newly proposed recovery targets.</x:v>
      </x:c>
      <x:c r="Q415" s="2" t="n">
        <x:f>IF(ISNUMBER(H415),1,0)</x:f>
        <x:v>0</x:v>
      </x:c>
    </x:row>
    <x:row r="416" ht="46" customHeight="1">
      <x:c r="A416" s="17" t="n">
        <x:v>46341</x:v>
      </x:c>
      <x:c r="B416" s="2" t="str">
        <x:v>Qualified conversations booked</x:v>
      </x:c>
      <x:c r="C416" s="2" t="n">
        <x:v>5</x:v>
      </x:c>
      <x:c r="D416" s="2" t="str">
        <x:v>Cumulative total</x:v>
      </x:c>
      <x:c r="E416" s="20"/>
      <x:c r="F416" s="20"/>
      <x:c r="G416" s="20"/>
      <x:c r="H416" s="2" t="str">
        <x:f>IF(D416="Rate",IF(COUNT(F416:G416)&lt;2,"",IF(G416=0,"n.a.",F416/G416)),IF(COUNT(E416)=0,"",E416))</x:f>
      </x:c>
      <x:c r="I416" s="2" t="str">
        <x:f>IF(AND(ISNUMBER(H416),ISNUMBER(C416)),H416-C416,"")</x:f>
      </x:c>
      <x:c r="J416" s="2" t="str">
        <x:v>bookings</x:v>
      </x:c>
      <x:c r="K416" s="2" t="str">
        <x:v>Nova</x:v>
      </x:c>
      <x:c r="L416" s="28" t="str"/>
      <x:c r="M416" s="20"/>
      <x:c r="N416" s="21"/>
      <x:c r="O416" s="26" t="str">
        <x:v>Unique qualified calls/visits booked with Nic; rebooking same opportunity is not a new booking.</x:v>
      </x:c>
      <x:c r="P416" s="26" t="str">
        <x:v>PDF §10; final deadline advanced to user Dec 16</x:v>
      </x:c>
      <x:c r="Q416" s="2" t="n">
        <x:f>IF(ISNUMBER(H416),1,0)</x:f>
        <x:v>0</x:v>
      </x:c>
    </x:row>
    <x:row r="417" ht="46" customHeight="1">
      <x:c r="A417" s="17" t="n">
        <x:v>46341</x:v>
      </x:c>
      <x:c r="B417" s="2" t="str">
        <x:v>Qualified conversations held</x:v>
      </x:c>
      <x:c r="C417" s="2" t="n">
        <x:v>3</x:v>
      </x:c>
      <x:c r="D417" s="2" t="str">
        <x:v>Cumulative total</x:v>
      </x:c>
      <x:c r="E417" s="20"/>
      <x:c r="F417" s="20"/>
      <x:c r="G417" s="20"/>
      <x:c r="H417" s="2" t="str">
        <x:f>IF(D417="Rate",IF(COUNT(F417:G417)&lt;2,"",IF(G417=0,"n.a.",F417/G417)),IF(COUNT(E417)=0,"",E417))</x:f>
      </x:c>
      <x:c r="I417" s="2" t="str">
        <x:f>IF(AND(ISNUMBER(H417),ISNUMBER(C417)),H417-C417,"")</x:f>
      </x:c>
      <x:c r="J417" s="2" t="str">
        <x:v>held</x:v>
      </x:c>
      <x:c r="K417" s="2" t="str">
        <x:v>Nova</x:v>
      </x:c>
      <x:c r="L417" s="28" t="str"/>
      <x:c r="M417" s="20"/>
      <x:c r="N417" s="21"/>
      <x:c r="O417" s="26" t="str">
        <x:v>Completed qualified calls/visits; 6 and 15 are integer planning proxies for 70% of 8 and 75% of 20.</x:v>
      </x:c>
      <x:c r="P417" s="26" t="str">
        <x:v>Derived from source held-rate targets</x:v>
      </x:c>
      <x:c r="Q417" s="2" t="n">
        <x:f>IF(ISNUMBER(H417),1,0)</x:f>
        <x:v>0</x:v>
      </x:c>
    </x:row>
    <x:row r="418" ht="46" customHeight="1">
      <x:c r="A418" s="17" t="n">
        <x:v>46341</x:v>
      </x:c>
      <x:c r="B418" s="2" t="str">
        <x:v>Trial cases received by DSI</x:v>
      </x:c>
      <x:c r="C418" s="2" t="n">
        <x:v>1</x:v>
      </x:c>
      <x:c r="D418" s="2" t="str">
        <x:v>Cumulative total</x:v>
      </x:c>
      <x:c r="E418" s="20"/>
      <x:c r="F418" s="20"/>
      <x:c r="G418" s="20"/>
      <x:c r="H418" s="2" t="str">
        <x:f>IF(D418="Rate",IF(COUNT(F418:G418)&lt;2,"",IF(G418=0,"n.a.",F418/G418)),IF(COUNT(E418)=0,"",E418))</x:f>
      </x:c>
      <x:c r="I418" s="2" t="str">
        <x:f>IF(AND(ISNUMBER(H418),ISNUMBER(C418)),H418-C418,"")</x:f>
      </x:c>
      <x:c r="J418" s="2" t="str">
        <x:v>trials</x:v>
      </x:c>
      <x:c r="K418" s="2" t="str">
        <x:v>Maseeha</x:v>
      </x:c>
      <x:c r="L418" s="28" t="str"/>
      <x:c r="M418" s="20"/>
      <x:c r="N418" s="21"/>
      <x:c r="O418" s="26" t="str">
        <x:v>Practice’s first trial case received by DSI, not merely promised or shipped; subject to Maseeha capacity.</x:v>
      </x:c>
      <x:c r="P418" s="26" t="str">
        <x:v>PDF §10; final deadline advanced to user Dec 16</x:v>
      </x:c>
      <x:c r="Q418" s="2" t="n">
        <x:f>IF(ISNUMBER(H418),1,0)</x:f>
        <x:v>0</x:v>
      </x:c>
    </x:row>
    <x:row r="419" ht="46" customHeight="1">
      <x:c r="A419" s="17" t="n">
        <x:v>46341</x:v>
      </x:c>
      <x:c r="B419" s="2" t="str">
        <x:v>Recurring accounts signed</x:v>
      </x:c>
      <x:c r="C419" s="2"/>
      <x:c r="D419" s="2" t="str">
        <x:v>Cumulative total</x:v>
      </x:c>
      <x:c r="E419" s="20"/>
      <x:c r="F419" s="20"/>
      <x:c r="G419" s="20"/>
      <x:c r="H419" s="2" t="str">
        <x:f>IF(D419="Rate",IF(COUNT(F419:G419)&lt;2,"",IF(G419=0,"n.a.",F419/G419)),IF(COUNT(E419)=0,"",E419))</x:f>
      </x:c>
      <x:c r="I419" s="2" t="str">
        <x:f>IF(AND(ISNUMBER(H419),ISNUMBER(C419)),H419-C419,"")</x:f>
      </x:c>
      <x:c r="J419" s="2" t="str">
        <x:v>accounts</x:v>
      </x:c>
      <x:c r="K419" s="2" t="str">
        <x:v>Nic</x:v>
      </x:c>
      <x:c r="L419" s="28" t="str"/>
      <x:c r="M419" s="20"/>
      <x:c r="N419" s="21"/>
      <x:c r="O419" s="26" t="str">
        <x:v>Plan signed following Day-30 review; only mature trial cohorts eligible. 1–3 is a conditional range.</x:v>
      </x:c>
      <x:c r="P419" s="26" t="str">
        <x:v>PDF §10</x:v>
      </x:c>
      <x:c r="Q419" s="2" t="n">
        <x:f>IF(ISNUMBER(H419),1,0)</x:f>
        <x:v>0</x:v>
      </x:c>
    </x:row>
    <x:row r="420" ht="46" customHeight="1">
      <x:c r="A420" s="17" t="n">
        <x:v>46341</x:v>
      </x:c>
      <x:c r="B420" s="2" t="str">
        <x:v>Referral-sourced bookings</x:v>
      </x:c>
      <x:c r="C420" s="2" t="n">
        <x:v>2</x:v>
      </x:c>
      <x:c r="D420" s="2" t="str">
        <x:v>Cumulative total</x:v>
      </x:c>
      <x:c r="E420" s="20"/>
      <x:c r="F420" s="20"/>
      <x:c r="G420" s="20"/>
      <x:c r="H420" s="2" t="str">
        <x:f>IF(D420="Rate",IF(COUNT(F420:G420)&lt;2,"",IF(G420=0,"n.a.",F420/G420)),IF(COUNT(E420)=0,"",E420))</x:f>
      </x:c>
      <x:c r="I420" s="2" t="str">
        <x:f>IF(AND(ISNUMBER(H420),ISNUMBER(C420)),H420-C420,"")</x:f>
      </x:c>
      <x:c r="J420" s="2" t="str">
        <x:v>bookings</x:v>
      </x:c>
      <x:c r="K420" s="2" t="str">
        <x:v>Nova</x:v>
      </x:c>
      <x:c r="L420" s="28" t="str"/>
      <x:c r="M420" s="20"/>
      <x:c r="N420" s="21"/>
      <x:c r="O420" s="26" t="str">
        <x:v>Subset of booked total with primary Source=Referral; never added on top of all-channel bookings.</x:v>
      </x:c>
      <x:c r="P420" s="26" t="str">
        <x:v>PDF §§10, 16</x:v>
      </x:c>
      <x:c r="Q420" s="2" t="n">
        <x:f>IF(ISNUMBER(H420),1,0)</x:f>
        <x:v>0</x:v>
      </x:c>
    </x:row>
    <x:row r="421" ht="46" customHeight="1">
      <x:c r="A421" s="17" t="n">
        <x:v>46341</x:v>
      </x:c>
      <x:c r="B421" s="2" t="str">
        <x:v>LinkedIn DM-sourced bookings</x:v>
      </x:c>
      <x:c r="C421" s="2" t="n">
        <x:v>2</x:v>
      </x:c>
      <x:c r="D421" s="2" t="str">
        <x:v>Cumulative total</x:v>
      </x:c>
      <x:c r="E421" s="20"/>
      <x:c r="F421" s="20"/>
      <x:c r="G421" s="20"/>
      <x:c r="H421" s="2" t="str">
        <x:f>IF(D421="Rate",IF(COUNT(F421:G421)&lt;2,"",IF(G421=0,"n.a.",F421/G421)),IF(COUNT(E421)=0,"",E421))</x:f>
      </x:c>
      <x:c r="I421" s="2" t="str">
        <x:f>IF(AND(ISNUMBER(H421),ISNUMBER(C421)),H421-C421,"")</x:f>
      </x:c>
      <x:c r="J421" s="2" t="str">
        <x:v>bookings</x:v>
      </x:c>
      <x:c r="K421" s="2" t="str">
        <x:v>Dexter</x:v>
      </x:c>
      <x:c r="L421" s="28" t="str"/>
      <x:c r="M421" s="20"/>
      <x:c r="N421" s="21"/>
      <x:c r="O421" s="26" t="str">
        <x:v>Subset of booked total with primary Source=LinkedIn DM; assists tracked separately.</x:v>
      </x:c>
      <x:c r="P421" s="26" t="str">
        <x:v>PDF §§10, 17 a</x:v>
      </x:c>
      <x:c r="Q421" s="2" t="n">
        <x:f>IF(ISNUMBER(H421),1,0)</x:f>
        <x:v>0</x:v>
      </x:c>
    </x:row>
    <x:row r="422" ht="46" customHeight="1">
      <x:c r="A422" s="17" t="n">
        <x:v>46341</x:v>
      </x:c>
      <x:c r="B422" s="2" t="str">
        <x:v>Verified contacts ready</x:v>
      </x:c>
      <x:c r="C422" s="2" t="n">
        <x:v>500</x:v>
      </x:c>
      <x:c r="D422" s="2" t="str">
        <x:v>Cumulative total</x:v>
      </x:c>
      <x:c r="E422" s="20"/>
      <x:c r="F422" s="20"/>
      <x:c r="G422" s="20"/>
      <x:c r="H422" s="2" t="str">
        <x:f>IF(D422="Rate",IF(COUNT(F422:G422)&lt;2,"",IF(G422=0,"n.a.",F422/G422)),IF(COUNT(E422)=0,"",E422))</x:f>
      </x:c>
      <x:c r="I422" s="2" t="str">
        <x:f>IF(AND(ISNUMBER(H422),ISNUMBER(C422)),H422-C422,"")</x:f>
      </x:c>
      <x:c r="J422" s="2" t="str">
        <x:v>contacts</x:v>
      </x:c>
      <x:c r="K422" s="2" t="str">
        <x:v>Joey</x:v>
      </x:c>
      <x:c r="L422" s="28" t="str"/>
      <x:c r="M422" s="20"/>
      <x:c r="N422" s="21"/>
      <x:c r="O422" s="26" t="str">
        <x:v>Unique contacts passing Scout and loaded in CQL; count once per contact.</x:v>
      </x:c>
      <x:c r="P422" s="26" t="str">
        <x:v>PDF §§10, 14; 750 due Dec 12 moved to Fri Dec 11</x:v>
      </x:c>
      <x:c r="Q422" s="2" t="n">
        <x:f>IF(ISNUMBER(H422),1,0)</x:f>
        <x:v>0</x:v>
      </x:c>
    </x:row>
    <x:row r="423" ht="46" customHeight="1">
      <x:c r="A423" s="17" t="n">
        <x:v>46341</x:v>
      </x:c>
      <x:c r="B423" s="2" t="str">
        <x:v>Permission-based referral introductions</x:v>
      </x:c>
      <x:c r="C423" s="2" t="n">
        <x:v>5</x:v>
      </x:c>
      <x:c r="D423" s="2" t="str">
        <x:v>Cumulative total</x:v>
      </x:c>
      <x:c r="E423" s="20"/>
      <x:c r="F423" s="20"/>
      <x:c r="G423" s="20"/>
      <x:c r="H423" s="2" t="str">
        <x:f>IF(D423="Rate",IF(COUNT(F423:G423)&lt;2,"",IF(G423=0,"n.a.",F423/G423)),IF(COUNT(E423)=0,"",E423))</x:f>
      </x:c>
      <x:c r="I423" s="2" t="str">
        <x:f>IF(AND(ISNUMBER(H423),ISNUMBER(C423)),H423-C423,"")</x:f>
      </x:c>
      <x:c r="J423" s="2" t="str">
        <x:v>introductions</x:v>
      </x:c>
      <x:c r="K423" s="2" t="str">
        <x:v>Maseeha</x:v>
      </x:c>
      <x:c r="L423" s="28" t="str"/>
      <x:c r="M423" s="20"/>
      <x:c r="N423" s="21"/>
      <x:c r="O423" s="26" t="str">
        <x:v>Unique introductions with consent and referrer recorded, verified by Maseeha within 2 business days.</x:v>
      </x:c>
      <x:c r="P423" s="26" t="str">
        <x:v>PDF §§10, 16</x:v>
      </x:c>
      <x:c r="Q423" s="2" t="n">
        <x:f>IF(ISNUMBER(H423),1,0)</x:f>
        <x:v>0</x:v>
      </x:c>
    </x:row>
    <x:row r="424" ht="46" customHeight="1">
      <x:c r="A424" s="17" t="n">
        <x:v>46341</x:v>
      </x:c>
      <x:c r="B424" s="2" t="str">
        <x:v>Human reply rate</x:v>
      </x:c>
      <x:c r="C424" s="40" t="n">
        <x:v>0.02</x:v>
      </x:c>
      <x:c r="D424" s="2" t="str">
        <x:v>Rate</x:v>
      </x:c>
      <x:c r="E424" s="20"/>
      <x:c r="F424" s="20"/>
      <x:c r="G424" s="20"/>
      <x:c r="H424" s="40" t="str">
        <x:f>IF(D424="Rate",IF(COUNT(F424:G424)&lt;2,"",IF(G424=0,"n.a.",F424/G424)),IF(COUNT(E424)=0,"",E424))</x:f>
      </x:c>
      <x:c r="I424" s="40" t="str">
        <x:f>IF(AND(ISNUMBER(H424),ISNUMBER(C424)),H424-C424,"")</x:f>
      </x:c>
      <x:c r="J424" s="2" t="str">
        <x:v>%</x:v>
      </x:c>
      <x:c r="K424" s="2" t="str">
        <x:v>Kenneth</x:v>
      </x:c>
      <x:c r="L424" s="28" t="str"/>
      <x:c r="M424" s="20"/>
      <x:c r="N424" s="21"/>
      <x:c r="O424" s="26" t="str">
        <x:v>Unique emailed contacts that give a qualifying human reply / unique contacts emailed in the same send cohort. Exclude OOO, auto-replies, bounces and unsubscribe-only replies. Deduplicate contacts across sequence steps; zero denominator is N/A.</x:v>
      </x:c>
      <x:c r="P424" s="26" t="str">
        <x:v>PDF §10</x:v>
      </x:c>
      <x:c r="Q424" s="2" t="n">
        <x:f>IF(ISNUMBER(H424),1,0)</x:f>
        <x:v>0</x:v>
      </x:c>
    </x:row>
    <x:row r="425" ht="46" customHeight="1">
      <x:c r="A425" s="17" t="n">
        <x:v>46341</x:v>
      </x:c>
      <x:c r="B425" s="2" t="str">
        <x:v>Positive reply rate</x:v>
      </x:c>
      <x:c r="C425" s="40" t="n">
        <x:v>0.01</x:v>
      </x:c>
      <x:c r="D425" s="2" t="str">
        <x:v>Rate</x:v>
      </x:c>
      <x:c r="E425" s="20"/>
      <x:c r="F425" s="20"/>
      <x:c r="G425" s="20"/>
      <x:c r="H425" s="40" t="str">
        <x:f>IF(D425="Rate",IF(COUNT(F425:G425)&lt;2,"",IF(G425=0,"n.a.",F425/G425)),IF(COUNT(E425)=0,"",E425))</x:f>
      </x:c>
      <x:c r="I425" s="40" t="str">
        <x:f>IF(AND(ISNUMBER(H425),ISNUMBER(C425)),H425-C425,"")</x:f>
      </x:c>
      <x:c r="J425" s="2" t="str">
        <x:v>%</x:v>
      </x:c>
      <x:c r="K425" s="2" t="str">
        <x:v>Kenneth</x:v>
      </x:c>
      <x:c r="L425" s="28" t="str"/>
      <x:c r="M425" s="20"/>
      <x:c r="N425" s="21"/>
      <x:c r="O425" s="26" t="str">
        <x:v>Unique emailed contacts classified interested or relevant question / unique contacts emailed in the same send cohort. Deduplicate across sequence steps; zero denominator is N/A. Keep this email rate separate from all-channel qualified inquiries.</x:v>
      </x:c>
      <x:c r="P425" s="26" t="str">
        <x:v>PDF §10</x:v>
      </x:c>
      <x:c r="Q425" s="2" t="n">
        <x:f>IF(ISNUMBER(H425),1,0)</x:f>
        <x:v>0</x:v>
      </x:c>
    </x:row>
    <x:row r="426" ht="46" customHeight="1">
      <x:c r="A426" s="17" t="n">
        <x:v>46341</x:v>
      </x:c>
      <x:c r="B426" s="2" t="str">
        <x:v>Replies answered within 15 minutes</x:v>
      </x:c>
      <x:c r="C426" s="40" t="n">
        <x:v>1</x:v>
      </x:c>
      <x:c r="D426" s="2" t="str">
        <x:v>Rate</x:v>
      </x:c>
      <x:c r="E426" s="20"/>
      <x:c r="F426" s="20"/>
      <x:c r="G426" s="20"/>
      <x:c r="H426" s="40" t="str">
        <x:f>IF(D426="Rate",IF(COUNT(F426:G426)&lt;2,"",IF(G426=0,"n.a.",F426/G426)),IF(COUNT(E426)=0,"",E426))</x:f>
      </x:c>
      <x:c r="I426" s="40" t="str">
        <x:f>IF(AND(ISNUMBER(H426),ISNUMBER(C426)),H426-C426,"")</x:f>
      </x:c>
      <x:c r="J426" s="2" t="str">
        <x:v>%</x:v>
      </x:c>
      <x:c r="K426" s="2" t="str">
        <x:v>Nova</x:v>
      </x:c>
      <x:c r="L426" s="28" t="str"/>
      <x:c r="M426" s="20"/>
      <x:c r="N426" s="21"/>
      <x:c r="O426"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426" s="26" t="str">
        <x:v>PDF §9; clock convention clarified for tracker</x:v>
      </x:c>
      <x:c r="Q426" s="2" t="n">
        <x:f>IF(ISNUMBER(H426),1,0)</x:f>
        <x:v>0</x:v>
      </x:c>
    </x:row>
    <x:row r="427" ht="46" customHeight="1">
      <x:c r="A427" s="17" t="n">
        <x:v>46341</x:v>
      </x:c>
      <x:c r="B427" s="2" t="str">
        <x:v>Held rate</x:v>
      </x:c>
      <x:c r="C427" s="40" t="n">
        <x:v>0.7</x:v>
      </x:c>
      <x:c r="D427" s="2" t="str">
        <x:v>Rate</x:v>
      </x:c>
      <x:c r="E427" s="20"/>
      <x:c r="F427" s="20"/>
      <x:c r="G427" s="20"/>
      <x:c r="H427" s="40" t="str">
        <x:f>IF(D427="Rate",IF(COUNT(F427:G427)&lt;2,"",IF(G427=0,"n.a.",F427/G427)),IF(COUNT(E427)=0,"",E427))</x:f>
      </x:c>
      <x:c r="I427" s="40" t="str">
        <x:f>IF(AND(ISNUMBER(H427),ISNUMBER(C427)),H427-C427,"")</x:f>
      </x:c>
      <x:c r="J427" s="2" t="str">
        <x:v>%</x:v>
      </x:c>
      <x:c r="K427" s="2" t="str">
        <x:v>Nova</x:v>
      </x:c>
      <x:c r="L427" s="28" t="str"/>
      <x:c r="M427" s="20"/>
      <x:c r="N427" s="21"/>
      <x:c r="O427" s="26" t="str">
        <x:v>Qualified conversations actually held / unique booked conversations whose scheduled time has passed. Exclude upcoming appointments. Rebooking the same opportunity is not a second booking. A zero denominator is N/A.</x:v>
      </x:c>
      <x:c r="P427" s="26" t="str">
        <x:v>PDF §10; due-cohort denominator clarified</x:v>
      </x:c>
      <x:c r="Q427" s="2" t="n">
        <x:f>IF(ISNUMBER(H427),1,0)</x:f>
        <x:v>0</x:v>
      </x:c>
    </x:row>
    <x:row r="428" ht="46" customHeight="1">
      <x:c r="A428" s="17" t="n">
        <x:v>46341</x:v>
      </x:c>
      <x:c r="B428" s="2" t="str">
        <x:v>Positive-to-booked conversion</x:v>
      </x:c>
      <x:c r="C428" s="40" t="n">
        <x:v>0.5</x:v>
      </x:c>
      <x:c r="D428" s="2" t="str">
        <x:v>Rate</x:v>
      </x:c>
      <x:c r="E428" s="20"/>
      <x:c r="F428" s="20"/>
      <x:c r="G428" s="20"/>
      <x:c r="H428" s="40" t="str">
        <x:f>IF(D428="Rate",IF(COUNT(F428:G428)&lt;2,"",IF(G428=0,"n.a.",F428/G428)),IF(COUNT(E428)=0,"",E428))</x:f>
      </x:c>
      <x:c r="I428" s="40" t="str">
        <x:f>IF(AND(ISNUMBER(H428),ISNUMBER(C428)),H428-C428,"")</x:f>
      </x:c>
      <x:c r="J428" s="2" t="str">
        <x:v>%</x:v>
      </x:c>
      <x:c r="K428" s="2" t="str">
        <x:v>Nova</x:v>
      </x:c>
      <x:c r="L428" s="28" t="str"/>
      <x:c r="M428" s="20"/>
      <x:c r="N428" s="21"/>
      <x:c r="O428" s="26" t="str">
        <x:v>Unique email-positive opportunities booked / unique email-positive opportunities in the same reviewed cohort. Use a documented follow-up window. This differs from the all-channel 40-inquiry/20-booking planning assumption. A zero denominator is N/A.</x:v>
      </x:c>
      <x:c r="P428" s="26" t="str">
        <x:v>PDF §9</x:v>
      </x:c>
      <x:c r="Q428" s="2" t="n">
        <x:f>IF(ISNUMBER(H428),1,0)</x:f>
        <x:v>0</x:v>
      </x:c>
    </x:row>
    <x:row r="429" ht="46" customHeight="1">
      <x:c r="A429" s="17" t="n">
        <x:v>46341</x:v>
      </x:c>
      <x:c r="B429" s="2" t="str">
        <x:v>Existing-account referral asks</x:v>
      </x:c>
      <x:c r="C429" s="2" t="n">
        <x:v>25</x:v>
      </x:c>
      <x:c r="D429" s="2" t="str">
        <x:v>Cumulative total</x:v>
      </x:c>
      <x:c r="E429" s="20"/>
      <x:c r="F429" s="20"/>
      <x:c r="G429" s="20"/>
      <x:c r="H429" s="2" t="str">
        <x:f>IF(D429="Rate",IF(COUNT(F429:G429)&lt;2,"",IF(G429=0,"n.a.",F429/G429)),IF(COUNT(E429)=0,"",E429))</x:f>
      </x:c>
      <x:c r="I429" s="2" t="str">
        <x:f>IF(AND(ISNUMBER(H429),ISNUMBER(C429)),H429-C429,"")</x:f>
      </x:c>
      <x:c r="J429" s="2" t="str">
        <x:v>accounts asked</x:v>
      </x:c>
      <x:c r="K429" s="2" t="str">
        <x:v>Maseeha</x:v>
      </x:c>
      <x:c r="L429" s="28" t="str"/>
      <x:c r="M429" s="20"/>
      <x:c r="N429" s="21"/>
      <x:c r="O429" s="26" t="str">
        <x:v>Ask 25 unique A/B accounts (5 A and 20 B) by November 13; proposed pace 35 total by November 20; complete the remaining C accounts to reach 41 total by November 25. One introduction is the ask; asks and received intros are separate counts.</x:v>
      </x:c>
      <x:c r="P429" s="26" t="str">
        <x:v>PDF §16 supplies 25 A/B byNov 14 and 16 C byNov 25; Friday deadline and 35-byNov 20 pace are proposed scheduling allocations.</x:v>
      </x:c>
      <x:c r="Q429" s="2" t="n">
        <x:f>IF(ISNUMBER(H429),1,0)</x:f>
        <x:v>0</x:v>
      </x:c>
    </x:row>
    <x:row r="430" ht="46" customHeight="1">
      <x:c r="A430" s="17" t="n">
        <x:v>46341</x:v>
      </x:c>
      <x:c r="B430" s="2" t="str">
        <x:v>Approved SOPs</x:v>
      </x:c>
      <x:c r="C430" s="2"/>
      <x:c r="D430" s="2" t="str">
        <x:v>Cumulative total</x:v>
      </x:c>
      <x:c r="E430" s="20"/>
      <x:c r="F430" s="20"/>
      <x:c r="G430" s="20"/>
      <x:c r="H430" s="2" t="str">
        <x:f>IF(D430="Rate",IF(COUNT(F430:G430)&lt;2,"",IF(G430=0,"n.a.",F430/G430)),IF(COUNT(E430)=0,"",E430))</x:f>
      </x:c>
      <x:c r="I430" s="2" t="str">
        <x:f>IF(AND(ISNUMBER(H430),ISNUMBER(C430)),H430-C430,"")</x:f>
      </x:c>
      <x:c r="J430" s="2" t="str">
        <x:v>SOPs</x:v>
      </x:c>
      <x:c r="K430" s="2" t="str">
        <x:v>Wyline</x:v>
      </x:c>
      <x:c r="L430" s="28" t="str"/>
      <x:c r="M430" s="20"/>
      <x:c r="N430" s="21"/>
      <x:c r="O430" s="26" t="str">
        <x:v>10 core SOPs plus ADS-01 and SOC-01 additions; approved version and independent-run evidence required.</x:v>
      </x:c>
      <x:c r="P430" s="26" t="str">
        <x:v>PDF §8 with §§17 b–d additions</x:v>
      </x:c>
      <x:c r="Q430" s="2" t="n">
        <x:f>IF(ISNUMBER(H430),1,0)</x:f>
        <x:v>0</x:v>
      </x:c>
    </x:row>
    <x:row r="431" ht="46" customHeight="1">
      <x:c r="A431" s="17" t="n">
        <x:v>46341</x:v>
      </x:c>
      <x:c r="B431" s="2" t="str">
        <x:v>Accepted AI agents</x:v>
      </x:c>
      <x:c r="C431" s="2"/>
      <x:c r="D431" s="2" t="str">
        <x:v>Cumulative total</x:v>
      </x:c>
      <x:c r="E431" s="20"/>
      <x:c r="F431" s="20"/>
      <x:c r="G431" s="20"/>
      <x:c r="H431" s="2" t="str">
        <x:f>IF(D431="Rate",IF(COUNT(F431:G431)&lt;2,"",IF(G431=0,"n.a.",F431/G431)),IF(COUNT(E431)=0,"",E431))</x:f>
      </x:c>
      <x:c r="I431" s="2" t="str">
        <x:f>IF(AND(ISNUMBER(H431),ISNUMBER(C431)),H431-C431,"")</x:f>
      </x:c>
      <x:c r="J431" s="2" t="str">
        <x:v>agents</x:v>
      </x:c>
      <x:c r="K431" s="2" t="str">
        <x:v>Emman</x:v>
      </x:c>
      <x:c r="L431" s="28" t="str"/>
      <x:c r="M431" s="20"/>
      <x:c r="N431" s="21"/>
      <x:c r="O431" s="26" t="str">
        <x:v>Scout, Writer, Inbox, Phone Assist, LinkedIn Assist, Follow-up, Scoreboard and Client Reporter; acceptance evidence required.</x:v>
      </x:c>
      <x:c r="P431" s="26" t="str">
        <x:v>PDF §7</x:v>
      </x:c>
      <x:c r="Q431" s="2" t="n">
        <x:f>IF(ISNUMBER(H431),1,0)</x:f>
        <x:v>0</x:v>
      </x:c>
    </x:row>
    <x:row r="432" ht="46" customHeight="1">
      <x:c r="A432" s="17" t="n">
        <x:v>46342</x:v>
      </x:c>
      <x:c r="B432" s="2" t="str">
        <x:v>Qualified inquiries</x:v>
      </x:c>
      <x:c r="C432" s="2" t="n">
        <x:v>11</x:v>
      </x:c>
      <x:c r="D432" s="2" t="str">
        <x:v>Cumulative total</x:v>
      </x:c>
      <x:c r="E432" s="20"/>
      <x:c r="F432" s="20"/>
      <x:c r="G432" s="20"/>
      <x:c r="H432" s="2" t="str">
        <x:f>IF(D432="Rate",IF(COUNT(F432:G432)&lt;2,"",IF(G432=0,"n.a.",F432/G432)),IF(COUNT(E432)=0,"",E432))</x:f>
      </x:c>
      <x:c r="I432" s="2" t="str">
        <x:f>IF(AND(ISNUMBER(H432),ISNUMBER(C432)),H432-C432,"")</x:f>
      </x:c>
      <x:c r="J432" s="2" t="str">
        <x:v>inquiries</x:v>
      </x:c>
      <x:c r="K432" s="2" t="str">
        <x:v>Nova</x:v>
      </x:c>
      <x:c r="L432" s="28" t="str"/>
      <x:c r="M432" s="20"/>
      <x:c r="N432" s="21"/>
      <x:c r="O432" s="26" t="str">
        <x:v>Unique ICP-matched practices that express relevant interest, need or timing; Nova records practice type, decision-maker access, case volume, service need and readiness within 30–60 days. Raw records, opens and connection accepts do not qualify.</x:v>
      </x:c>
      <x:c r="P432" s="26" t="str">
        <x:v>Original proposal pages 2 and 4 define qualification; 40 by Dec 16 and intermediate pace are newly proposed recovery targets.</x:v>
      </x:c>
      <x:c r="Q432" s="2" t="n">
        <x:f>IF(ISNUMBER(H432),1,0)</x:f>
        <x:v>0</x:v>
      </x:c>
    </x:row>
    <x:row r="433" ht="46" customHeight="1">
      <x:c r="A433" s="17" t="n">
        <x:v>46342</x:v>
      </x:c>
      <x:c r="B433" s="2" t="str">
        <x:v>Qualified conversations booked</x:v>
      </x:c>
      <x:c r="C433" s="2" t="n">
        <x:v>5</x:v>
      </x:c>
      <x:c r="D433" s="2" t="str">
        <x:v>Cumulative total</x:v>
      </x:c>
      <x:c r="E433" s="20"/>
      <x:c r="F433" s="20"/>
      <x:c r="G433" s="20"/>
      <x:c r="H433" s="2" t="str">
        <x:f>IF(D433="Rate",IF(COUNT(F433:G433)&lt;2,"",IF(G433=0,"n.a.",F433/G433)),IF(COUNT(E433)=0,"",E433))</x:f>
      </x:c>
      <x:c r="I433" s="2" t="str">
        <x:f>IF(AND(ISNUMBER(H433),ISNUMBER(C433)),H433-C433,"")</x:f>
      </x:c>
      <x:c r="J433" s="2" t="str">
        <x:v>bookings</x:v>
      </x:c>
      <x:c r="K433" s="2" t="str">
        <x:v>Nova</x:v>
      </x:c>
      <x:c r="L433" s="28" t="str"/>
      <x:c r="M433" s="20"/>
      <x:c r="N433" s="21"/>
      <x:c r="O433" s="26" t="str">
        <x:v>Unique qualified calls/visits booked with Nic; rebooking same opportunity is not a new booking.</x:v>
      </x:c>
      <x:c r="P433" s="26" t="str">
        <x:v>PDF §10; final deadline advanced to user Dec 16</x:v>
      </x:c>
      <x:c r="Q433" s="2" t="n">
        <x:f>IF(ISNUMBER(H433),1,0)</x:f>
        <x:v>0</x:v>
      </x:c>
    </x:row>
    <x:row r="434" ht="46" customHeight="1">
      <x:c r="A434" s="17" t="n">
        <x:v>46342</x:v>
      </x:c>
      <x:c r="B434" s="2" t="str">
        <x:v>Qualified conversations held</x:v>
      </x:c>
      <x:c r="C434" s="2" t="n">
        <x:v>3</x:v>
      </x:c>
      <x:c r="D434" s="2" t="str">
        <x:v>Cumulative total</x:v>
      </x:c>
      <x:c r="E434" s="20"/>
      <x:c r="F434" s="20"/>
      <x:c r="G434" s="20"/>
      <x:c r="H434" s="2" t="str">
        <x:f>IF(D434="Rate",IF(COUNT(F434:G434)&lt;2,"",IF(G434=0,"n.a.",F434/G434)),IF(COUNT(E434)=0,"",E434))</x:f>
      </x:c>
      <x:c r="I434" s="2" t="str">
        <x:f>IF(AND(ISNUMBER(H434),ISNUMBER(C434)),H434-C434,"")</x:f>
      </x:c>
      <x:c r="J434" s="2" t="str">
        <x:v>held</x:v>
      </x:c>
      <x:c r="K434" s="2" t="str">
        <x:v>Nova</x:v>
      </x:c>
      <x:c r="L434" s="28" t="str"/>
      <x:c r="M434" s="20"/>
      <x:c r="N434" s="21"/>
      <x:c r="O434" s="26" t="str">
        <x:v>Completed qualified calls/visits; 6 and 15 are integer planning proxies for 70% of 8 and 75% of 20.</x:v>
      </x:c>
      <x:c r="P434" s="26" t="str">
        <x:v>Derived from source held-rate targets</x:v>
      </x:c>
      <x:c r="Q434" s="2" t="n">
        <x:f>IF(ISNUMBER(H434),1,0)</x:f>
        <x:v>0</x:v>
      </x:c>
    </x:row>
    <x:row r="435" ht="46" customHeight="1">
      <x:c r="A435" s="17" t="n">
        <x:v>46342</x:v>
      </x:c>
      <x:c r="B435" s="2" t="str">
        <x:v>Trial cases received by DSI</x:v>
      </x:c>
      <x:c r="C435" s="2" t="n">
        <x:v>1</x:v>
      </x:c>
      <x:c r="D435" s="2" t="str">
        <x:v>Cumulative total</x:v>
      </x:c>
      <x:c r="E435" s="20"/>
      <x:c r="F435" s="20"/>
      <x:c r="G435" s="20"/>
      <x:c r="H435" s="2" t="str">
        <x:f>IF(D435="Rate",IF(COUNT(F435:G435)&lt;2,"",IF(G435=0,"n.a.",F435/G435)),IF(COUNT(E435)=0,"",E435))</x:f>
      </x:c>
      <x:c r="I435" s="2" t="str">
        <x:f>IF(AND(ISNUMBER(H435),ISNUMBER(C435)),H435-C435,"")</x:f>
      </x:c>
      <x:c r="J435" s="2" t="str">
        <x:v>trials</x:v>
      </x:c>
      <x:c r="K435" s="2" t="str">
        <x:v>Maseeha</x:v>
      </x:c>
      <x:c r="L435" s="28" t="str"/>
      <x:c r="M435" s="20"/>
      <x:c r="N435" s="21"/>
      <x:c r="O435" s="26" t="str">
        <x:v>Practice’s first trial case received by DSI, not merely promised or shipped; subject to Maseeha capacity.</x:v>
      </x:c>
      <x:c r="P435" s="26" t="str">
        <x:v>PDF §10; final deadline advanced to user Dec 16</x:v>
      </x:c>
      <x:c r="Q435" s="2" t="n">
        <x:f>IF(ISNUMBER(H435),1,0)</x:f>
        <x:v>0</x:v>
      </x:c>
    </x:row>
    <x:row r="436" ht="46" customHeight="1">
      <x:c r="A436" s="17" t="n">
        <x:v>46342</x:v>
      </x:c>
      <x:c r="B436" s="2" t="str">
        <x:v>Recurring accounts signed</x:v>
      </x:c>
      <x:c r="C436" s="2"/>
      <x:c r="D436" s="2" t="str">
        <x:v>Cumulative total</x:v>
      </x:c>
      <x:c r="E436" s="20"/>
      <x:c r="F436" s="20"/>
      <x:c r="G436" s="20"/>
      <x:c r="H436" s="2" t="str">
        <x:f>IF(D436="Rate",IF(COUNT(F436:G436)&lt;2,"",IF(G436=0,"n.a.",F436/G436)),IF(COUNT(E436)=0,"",E436))</x:f>
      </x:c>
      <x:c r="I436" s="2" t="str">
        <x:f>IF(AND(ISNUMBER(H436),ISNUMBER(C436)),H436-C436,"")</x:f>
      </x:c>
      <x:c r="J436" s="2" t="str">
        <x:v>accounts</x:v>
      </x:c>
      <x:c r="K436" s="2" t="str">
        <x:v>Nic</x:v>
      </x:c>
      <x:c r="L436" s="28" t="str"/>
      <x:c r="M436" s="20"/>
      <x:c r="N436" s="21"/>
      <x:c r="O436" s="26" t="str">
        <x:v>Plan signed following Day-30 review; only mature trial cohorts eligible. 1–3 is a conditional range.</x:v>
      </x:c>
      <x:c r="P436" s="26" t="str">
        <x:v>PDF §10</x:v>
      </x:c>
      <x:c r="Q436" s="2" t="n">
        <x:f>IF(ISNUMBER(H436),1,0)</x:f>
        <x:v>0</x:v>
      </x:c>
    </x:row>
    <x:row r="437" ht="46" customHeight="1">
      <x:c r="A437" s="17" t="n">
        <x:v>46342</x:v>
      </x:c>
      <x:c r="B437" s="2" t="str">
        <x:v>Referral-sourced bookings</x:v>
      </x:c>
      <x:c r="C437" s="2" t="n">
        <x:v>2</x:v>
      </x:c>
      <x:c r="D437" s="2" t="str">
        <x:v>Cumulative total</x:v>
      </x:c>
      <x:c r="E437" s="20"/>
      <x:c r="F437" s="20"/>
      <x:c r="G437" s="20"/>
      <x:c r="H437" s="2" t="str">
        <x:f>IF(D437="Rate",IF(COUNT(F437:G437)&lt;2,"",IF(G437=0,"n.a.",F437/G437)),IF(COUNT(E437)=0,"",E437))</x:f>
      </x:c>
      <x:c r="I437" s="2" t="str">
        <x:f>IF(AND(ISNUMBER(H437),ISNUMBER(C437)),H437-C437,"")</x:f>
      </x:c>
      <x:c r="J437" s="2" t="str">
        <x:v>bookings</x:v>
      </x:c>
      <x:c r="K437" s="2" t="str">
        <x:v>Nova</x:v>
      </x:c>
      <x:c r="L437" s="28" t="str"/>
      <x:c r="M437" s="20"/>
      <x:c r="N437" s="21"/>
      <x:c r="O437" s="26" t="str">
        <x:v>Subset of booked total with primary Source=Referral; never added on top of all-channel bookings.</x:v>
      </x:c>
      <x:c r="P437" s="26" t="str">
        <x:v>PDF §§10, 16</x:v>
      </x:c>
      <x:c r="Q437" s="2" t="n">
        <x:f>IF(ISNUMBER(H437),1,0)</x:f>
        <x:v>0</x:v>
      </x:c>
    </x:row>
    <x:row r="438" ht="46" customHeight="1">
      <x:c r="A438" s="17" t="n">
        <x:v>46342</x:v>
      </x:c>
      <x:c r="B438" s="2" t="str">
        <x:v>LinkedIn DM-sourced bookings</x:v>
      </x:c>
      <x:c r="C438" s="2" t="n">
        <x:v>2</x:v>
      </x:c>
      <x:c r="D438" s="2" t="str">
        <x:v>Cumulative total</x:v>
      </x:c>
      <x:c r="E438" s="20"/>
      <x:c r="F438" s="20"/>
      <x:c r="G438" s="20"/>
      <x:c r="H438" s="2" t="str">
        <x:f>IF(D438="Rate",IF(COUNT(F438:G438)&lt;2,"",IF(G438=0,"n.a.",F438/G438)),IF(COUNT(E438)=0,"",E438))</x:f>
      </x:c>
      <x:c r="I438" s="2" t="str">
        <x:f>IF(AND(ISNUMBER(H438),ISNUMBER(C438)),H438-C438,"")</x:f>
      </x:c>
      <x:c r="J438" s="2" t="str">
        <x:v>bookings</x:v>
      </x:c>
      <x:c r="K438" s="2" t="str">
        <x:v>Dexter</x:v>
      </x:c>
      <x:c r="L438" s="28" t="str"/>
      <x:c r="M438" s="20"/>
      <x:c r="N438" s="21"/>
      <x:c r="O438" s="26" t="str">
        <x:v>Subset of booked total with primary Source=LinkedIn DM; assists tracked separately.</x:v>
      </x:c>
      <x:c r="P438" s="26" t="str">
        <x:v>PDF §§10, 17 a</x:v>
      </x:c>
      <x:c r="Q438" s="2" t="n">
        <x:f>IF(ISNUMBER(H438),1,0)</x:f>
        <x:v>0</x:v>
      </x:c>
    </x:row>
    <x:row r="439" ht="46" customHeight="1">
      <x:c r="A439" s="17" t="n">
        <x:v>46342</x:v>
      </x:c>
      <x:c r="B439" s="2" t="str">
        <x:v>Verified contacts ready</x:v>
      </x:c>
      <x:c r="C439" s="2" t="n">
        <x:v>500</x:v>
      </x:c>
      <x:c r="D439" s="2" t="str">
        <x:v>Cumulative total</x:v>
      </x:c>
      <x:c r="E439" s="20"/>
      <x:c r="F439" s="20"/>
      <x:c r="G439" s="20"/>
      <x:c r="H439" s="2" t="str">
        <x:f>IF(D439="Rate",IF(COUNT(F439:G439)&lt;2,"",IF(G439=0,"n.a.",F439/G439)),IF(COUNT(E439)=0,"",E439))</x:f>
      </x:c>
      <x:c r="I439" s="2" t="str">
        <x:f>IF(AND(ISNUMBER(H439),ISNUMBER(C439)),H439-C439,"")</x:f>
      </x:c>
      <x:c r="J439" s="2" t="str">
        <x:v>contacts</x:v>
      </x:c>
      <x:c r="K439" s="2" t="str">
        <x:v>Joey</x:v>
      </x:c>
      <x:c r="L439" s="28" t="str"/>
      <x:c r="M439" s="20"/>
      <x:c r="N439" s="21"/>
      <x:c r="O439" s="26" t="str">
        <x:v>Unique contacts passing Scout and loaded in CQL; count once per contact.</x:v>
      </x:c>
      <x:c r="P439" s="26" t="str">
        <x:v>PDF §§10, 14; 750 due Dec 12 moved to Fri Dec 11</x:v>
      </x:c>
      <x:c r="Q439" s="2" t="n">
        <x:f>IF(ISNUMBER(H439),1,0)</x:f>
        <x:v>0</x:v>
      </x:c>
    </x:row>
    <x:row r="440" ht="46" customHeight="1">
      <x:c r="A440" s="17" t="n">
        <x:v>46342</x:v>
      </x:c>
      <x:c r="B440" s="2" t="str">
        <x:v>Permission-based referral introductions</x:v>
      </x:c>
      <x:c r="C440" s="2" t="n">
        <x:v>5</x:v>
      </x:c>
      <x:c r="D440" s="2" t="str">
        <x:v>Cumulative total</x:v>
      </x:c>
      <x:c r="E440" s="20"/>
      <x:c r="F440" s="20"/>
      <x:c r="G440" s="20"/>
      <x:c r="H440" s="2" t="str">
        <x:f>IF(D440="Rate",IF(COUNT(F440:G440)&lt;2,"",IF(G440=0,"n.a.",F440/G440)),IF(COUNT(E440)=0,"",E440))</x:f>
      </x:c>
      <x:c r="I440" s="2" t="str">
        <x:f>IF(AND(ISNUMBER(H440),ISNUMBER(C440)),H440-C440,"")</x:f>
      </x:c>
      <x:c r="J440" s="2" t="str">
        <x:v>introductions</x:v>
      </x:c>
      <x:c r="K440" s="2" t="str">
        <x:v>Maseeha</x:v>
      </x:c>
      <x:c r="L440" s="28" t="str"/>
      <x:c r="M440" s="20"/>
      <x:c r="N440" s="21"/>
      <x:c r="O440" s="26" t="str">
        <x:v>Unique introductions with consent and referrer recorded, verified by Maseeha within 2 business days.</x:v>
      </x:c>
      <x:c r="P440" s="26" t="str">
        <x:v>PDF §§10, 16</x:v>
      </x:c>
      <x:c r="Q440" s="2" t="n">
        <x:f>IF(ISNUMBER(H440),1,0)</x:f>
        <x:v>0</x:v>
      </x:c>
    </x:row>
    <x:row r="441" ht="46" customHeight="1">
      <x:c r="A441" s="17" t="n">
        <x:v>46342</x:v>
      </x:c>
      <x:c r="B441" s="2" t="str">
        <x:v>Human reply rate</x:v>
      </x:c>
      <x:c r="C441" s="40" t="n">
        <x:v>0.02</x:v>
      </x:c>
      <x:c r="D441" s="2" t="str">
        <x:v>Rate</x:v>
      </x:c>
      <x:c r="E441" s="20"/>
      <x:c r="F441" s="20"/>
      <x:c r="G441" s="20"/>
      <x:c r="H441" s="40" t="str">
        <x:f>IF(D441="Rate",IF(COUNT(F441:G441)&lt;2,"",IF(G441=0,"n.a.",F441/G441)),IF(COUNT(E441)=0,"",E441))</x:f>
      </x:c>
      <x:c r="I441" s="40" t="str">
        <x:f>IF(AND(ISNUMBER(H441),ISNUMBER(C441)),H441-C441,"")</x:f>
      </x:c>
      <x:c r="J441" s="2" t="str">
        <x:v>%</x:v>
      </x:c>
      <x:c r="K441" s="2" t="str">
        <x:v>Kenneth</x:v>
      </x:c>
      <x:c r="L441" s="28" t="str"/>
      <x:c r="M441" s="20"/>
      <x:c r="N441" s="21"/>
      <x:c r="O441" s="26" t="str">
        <x:v>Unique emailed contacts that give a qualifying human reply / unique contacts emailed in the same send cohort. Exclude OOO, auto-replies, bounces and unsubscribe-only replies. Deduplicate contacts across sequence steps; zero denominator is N/A.</x:v>
      </x:c>
      <x:c r="P441" s="26" t="str">
        <x:v>PDF §10</x:v>
      </x:c>
      <x:c r="Q441" s="2" t="n">
        <x:f>IF(ISNUMBER(H441),1,0)</x:f>
        <x:v>0</x:v>
      </x:c>
    </x:row>
    <x:row r="442" ht="46" customHeight="1">
      <x:c r="A442" s="17" t="n">
        <x:v>46342</x:v>
      </x:c>
      <x:c r="B442" s="2" t="str">
        <x:v>Positive reply rate</x:v>
      </x:c>
      <x:c r="C442" s="40" t="n">
        <x:v>0.01</x:v>
      </x:c>
      <x:c r="D442" s="2" t="str">
        <x:v>Rate</x:v>
      </x:c>
      <x:c r="E442" s="20"/>
      <x:c r="F442" s="20"/>
      <x:c r="G442" s="20"/>
      <x:c r="H442" s="40" t="str">
        <x:f>IF(D442="Rate",IF(COUNT(F442:G442)&lt;2,"",IF(G442=0,"n.a.",F442/G442)),IF(COUNT(E442)=0,"",E442))</x:f>
      </x:c>
      <x:c r="I442" s="40" t="str">
        <x:f>IF(AND(ISNUMBER(H442),ISNUMBER(C442)),H442-C442,"")</x:f>
      </x:c>
      <x:c r="J442" s="2" t="str">
        <x:v>%</x:v>
      </x:c>
      <x:c r="K442" s="2" t="str">
        <x:v>Kenneth</x:v>
      </x:c>
      <x:c r="L442" s="28" t="str"/>
      <x:c r="M442" s="20"/>
      <x:c r="N442" s="21"/>
      <x:c r="O442" s="26" t="str">
        <x:v>Unique emailed contacts classified interested or relevant question / unique contacts emailed in the same send cohort. Deduplicate across sequence steps; zero denominator is N/A. Keep this email rate separate from all-channel qualified inquiries.</x:v>
      </x:c>
      <x:c r="P442" s="26" t="str">
        <x:v>PDF §10</x:v>
      </x:c>
      <x:c r="Q442" s="2" t="n">
        <x:f>IF(ISNUMBER(H442),1,0)</x:f>
        <x:v>0</x:v>
      </x:c>
    </x:row>
    <x:row r="443" ht="46" customHeight="1">
      <x:c r="A443" s="17" t="n">
        <x:v>46342</x:v>
      </x:c>
      <x:c r="B443" s="2" t="str">
        <x:v>Replies answered within 15 minutes</x:v>
      </x:c>
      <x:c r="C443" s="40" t="n">
        <x:v>1</x:v>
      </x:c>
      <x:c r="D443" s="2" t="str">
        <x:v>Rate</x:v>
      </x:c>
      <x:c r="E443" s="20"/>
      <x:c r="F443" s="20"/>
      <x:c r="G443" s="20"/>
      <x:c r="H443" s="40" t="str">
        <x:f>IF(D443="Rate",IF(COUNT(F443:G443)&lt;2,"",IF(G443=0,"n.a.",F443/G443)),IF(COUNT(E443)=0,"",E443))</x:f>
      </x:c>
      <x:c r="I443" s="40" t="str">
        <x:f>IF(AND(ISNUMBER(H443),ISNUMBER(C443)),H443-C443,"")</x:f>
      </x:c>
      <x:c r="J443" s="2" t="str">
        <x:v>%</x:v>
      </x:c>
      <x:c r="K443" s="2" t="str">
        <x:v>Nova</x:v>
      </x:c>
      <x:c r="L443" s="28" t="str"/>
      <x:c r="M443" s="20"/>
      <x:c r="N443" s="21"/>
      <x:c r="O443"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443" s="26" t="str">
        <x:v>PDF §9; clock convention clarified for tracker</x:v>
      </x:c>
      <x:c r="Q443" s="2" t="n">
        <x:f>IF(ISNUMBER(H443),1,0)</x:f>
        <x:v>0</x:v>
      </x:c>
    </x:row>
    <x:row r="444" ht="46" customHeight="1">
      <x:c r="A444" s="17" t="n">
        <x:v>46342</x:v>
      </x:c>
      <x:c r="B444" s="2" t="str">
        <x:v>Held rate</x:v>
      </x:c>
      <x:c r="C444" s="40" t="n">
        <x:v>0.7</x:v>
      </x:c>
      <x:c r="D444" s="2" t="str">
        <x:v>Rate</x:v>
      </x:c>
      <x:c r="E444" s="20"/>
      <x:c r="F444" s="20"/>
      <x:c r="G444" s="20"/>
      <x:c r="H444" s="40" t="str">
        <x:f>IF(D444="Rate",IF(COUNT(F444:G444)&lt;2,"",IF(G444=0,"n.a.",F444/G444)),IF(COUNT(E444)=0,"",E444))</x:f>
      </x:c>
      <x:c r="I444" s="40" t="str">
        <x:f>IF(AND(ISNUMBER(H444),ISNUMBER(C444)),H444-C444,"")</x:f>
      </x:c>
      <x:c r="J444" s="2" t="str">
        <x:v>%</x:v>
      </x:c>
      <x:c r="K444" s="2" t="str">
        <x:v>Nova</x:v>
      </x:c>
      <x:c r="L444" s="28" t="str"/>
      <x:c r="M444" s="20"/>
      <x:c r="N444" s="21"/>
      <x:c r="O444" s="26" t="str">
        <x:v>Qualified conversations actually held / unique booked conversations whose scheduled time has passed. Exclude upcoming appointments. Rebooking the same opportunity is not a second booking. A zero denominator is N/A.</x:v>
      </x:c>
      <x:c r="P444" s="26" t="str">
        <x:v>PDF §10; due-cohort denominator clarified</x:v>
      </x:c>
      <x:c r="Q444" s="2" t="n">
        <x:f>IF(ISNUMBER(H444),1,0)</x:f>
        <x:v>0</x:v>
      </x:c>
    </x:row>
    <x:row r="445" ht="46" customHeight="1">
      <x:c r="A445" s="17" t="n">
        <x:v>46342</x:v>
      </x:c>
      <x:c r="B445" s="2" t="str">
        <x:v>Positive-to-booked conversion</x:v>
      </x:c>
      <x:c r="C445" s="40" t="n">
        <x:v>0.5</x:v>
      </x:c>
      <x:c r="D445" s="2" t="str">
        <x:v>Rate</x:v>
      </x:c>
      <x:c r="E445" s="20"/>
      <x:c r="F445" s="20"/>
      <x:c r="G445" s="20"/>
      <x:c r="H445" s="40" t="str">
        <x:f>IF(D445="Rate",IF(COUNT(F445:G445)&lt;2,"",IF(G445=0,"n.a.",F445/G445)),IF(COUNT(E445)=0,"",E445))</x:f>
      </x:c>
      <x:c r="I445" s="40" t="str">
        <x:f>IF(AND(ISNUMBER(H445),ISNUMBER(C445)),H445-C445,"")</x:f>
      </x:c>
      <x:c r="J445" s="2" t="str">
        <x:v>%</x:v>
      </x:c>
      <x:c r="K445" s="2" t="str">
        <x:v>Nova</x:v>
      </x:c>
      <x:c r="L445" s="28" t="str"/>
      <x:c r="M445" s="20"/>
      <x:c r="N445" s="21"/>
      <x:c r="O445" s="26" t="str">
        <x:v>Unique email-positive opportunities booked / unique email-positive opportunities in the same reviewed cohort. Use a documented follow-up window. This differs from the all-channel 40-inquiry/20-booking planning assumption. A zero denominator is N/A.</x:v>
      </x:c>
      <x:c r="P445" s="26" t="str">
        <x:v>PDF §9</x:v>
      </x:c>
      <x:c r="Q445" s="2" t="n">
        <x:f>IF(ISNUMBER(H445),1,0)</x:f>
        <x:v>0</x:v>
      </x:c>
    </x:row>
    <x:row r="446" ht="46" customHeight="1">
      <x:c r="A446" s="17" t="n">
        <x:v>46342</x:v>
      </x:c>
      <x:c r="B446" s="2" t="str">
        <x:v>Existing-account referral asks</x:v>
      </x:c>
      <x:c r="C446" s="2" t="n">
        <x:v>27</x:v>
      </x:c>
      <x:c r="D446" s="2" t="str">
        <x:v>Cumulative total</x:v>
      </x:c>
      <x:c r="E446" s="20"/>
      <x:c r="F446" s="20"/>
      <x:c r="G446" s="20"/>
      <x:c r="H446" s="2" t="str">
        <x:f>IF(D446="Rate",IF(COUNT(F446:G446)&lt;2,"",IF(G446=0,"n.a.",F446/G446)),IF(COUNT(E446)=0,"",E446))</x:f>
      </x:c>
      <x:c r="I446" s="2" t="str">
        <x:f>IF(AND(ISNUMBER(H446),ISNUMBER(C446)),H446-C446,"")</x:f>
      </x:c>
      <x:c r="J446" s="2" t="str">
        <x:v>accounts asked</x:v>
      </x:c>
      <x:c r="K446" s="2" t="str">
        <x:v>Maseeha</x:v>
      </x:c>
      <x:c r="L446" s="28" t="str"/>
      <x:c r="M446" s="20"/>
      <x:c r="N446" s="21"/>
      <x:c r="O446" s="26" t="str">
        <x:v>Ask 25 unique A/B accounts (5 A and 20 B) by November 13; proposed pace 35 total by November 20; complete the remaining C accounts to reach 41 total by November 25. One introduction is the ask; asks and received intros are separate counts.</x:v>
      </x:c>
      <x:c r="P446" s="26" t="str">
        <x:v>PDF §16 supplies 25 A/B byNov 14 and 16 C byNov 25; Friday deadline and 35-byNov 20 pace are proposed scheduling allocations.</x:v>
      </x:c>
      <x:c r="Q446" s="2" t="n">
        <x:f>IF(ISNUMBER(H446),1,0)</x:f>
        <x:v>0</x:v>
      </x:c>
    </x:row>
    <x:row r="447" ht="46" customHeight="1">
      <x:c r="A447" s="17" t="n">
        <x:v>46342</x:v>
      </x:c>
      <x:c r="B447" s="2" t="str">
        <x:v>Approved SOPs</x:v>
      </x:c>
      <x:c r="C447" s="2"/>
      <x:c r="D447" s="2" t="str">
        <x:v>Cumulative total</x:v>
      </x:c>
      <x:c r="E447" s="20"/>
      <x:c r="F447" s="20"/>
      <x:c r="G447" s="20"/>
      <x:c r="H447" s="2" t="str">
        <x:f>IF(D447="Rate",IF(COUNT(F447:G447)&lt;2,"",IF(G447=0,"n.a.",F447/G447)),IF(COUNT(E447)=0,"",E447))</x:f>
      </x:c>
      <x:c r="I447" s="2" t="str">
        <x:f>IF(AND(ISNUMBER(H447),ISNUMBER(C447)),H447-C447,"")</x:f>
      </x:c>
      <x:c r="J447" s="2" t="str">
        <x:v>SOPs</x:v>
      </x:c>
      <x:c r="K447" s="2" t="str">
        <x:v>Wyline</x:v>
      </x:c>
      <x:c r="L447" s="28" t="str"/>
      <x:c r="M447" s="20"/>
      <x:c r="N447" s="21"/>
      <x:c r="O447" s="26" t="str">
        <x:v>10 core SOPs plus ADS-01 and SOC-01 additions; approved version and independent-run evidence required.</x:v>
      </x:c>
      <x:c r="P447" s="26" t="str">
        <x:v>PDF §8 with §§17 b–d additions</x:v>
      </x:c>
      <x:c r="Q447" s="2" t="n">
        <x:f>IF(ISNUMBER(H447),1,0)</x:f>
        <x:v>0</x:v>
      </x:c>
    </x:row>
    <x:row r="448" ht="46" customHeight="1">
      <x:c r="A448" s="17" t="n">
        <x:v>46342</x:v>
      </x:c>
      <x:c r="B448" s="2" t="str">
        <x:v>Accepted AI agents</x:v>
      </x:c>
      <x:c r="C448" s="2"/>
      <x:c r="D448" s="2" t="str">
        <x:v>Cumulative total</x:v>
      </x:c>
      <x:c r="E448" s="20"/>
      <x:c r="F448" s="20"/>
      <x:c r="G448" s="20"/>
      <x:c r="H448" s="2" t="str">
        <x:f>IF(D448="Rate",IF(COUNT(F448:G448)&lt;2,"",IF(G448=0,"n.a.",F448/G448)),IF(COUNT(E448)=0,"",E448))</x:f>
      </x:c>
      <x:c r="I448" s="2" t="str">
        <x:f>IF(AND(ISNUMBER(H448),ISNUMBER(C448)),H448-C448,"")</x:f>
      </x:c>
      <x:c r="J448" s="2" t="str">
        <x:v>agents</x:v>
      </x:c>
      <x:c r="K448" s="2" t="str">
        <x:v>Emman</x:v>
      </x:c>
      <x:c r="L448" s="28" t="str"/>
      <x:c r="M448" s="20"/>
      <x:c r="N448" s="21"/>
      <x:c r="O448" s="26" t="str">
        <x:v>Scout, Writer, Inbox, Phone Assist, LinkedIn Assist, Follow-up, Scoreboard and Client Reporter; acceptance evidence required.</x:v>
      </x:c>
      <x:c r="P448" s="26" t="str">
        <x:v>PDF §7</x:v>
      </x:c>
      <x:c r="Q448" s="2" t="n">
        <x:f>IF(ISNUMBER(H448),1,0)</x:f>
        <x:v>0</x:v>
      </x:c>
    </x:row>
    <x:row r="449" ht="46" customHeight="1">
      <x:c r="A449" s="17" t="n">
        <x:v>46343</x:v>
      </x:c>
      <x:c r="B449" s="2" t="str">
        <x:v>Qualified inquiries</x:v>
      </x:c>
      <x:c r="C449" s="2" t="n">
        <x:v>12</x:v>
      </x:c>
      <x:c r="D449" s="2" t="str">
        <x:v>Cumulative total</x:v>
      </x:c>
      <x:c r="E449" s="20"/>
      <x:c r="F449" s="20"/>
      <x:c r="G449" s="20"/>
      <x:c r="H449" s="2" t="str">
        <x:f>IF(D449="Rate",IF(COUNT(F449:G449)&lt;2,"",IF(G449=0,"n.a.",F449/G449)),IF(COUNT(E449)=0,"",E449))</x:f>
      </x:c>
      <x:c r="I449" s="2" t="str">
        <x:f>IF(AND(ISNUMBER(H449),ISNUMBER(C449)),H449-C449,"")</x:f>
      </x:c>
      <x:c r="J449" s="2" t="str">
        <x:v>inquiries</x:v>
      </x:c>
      <x:c r="K449" s="2" t="str">
        <x:v>Nova</x:v>
      </x:c>
      <x:c r="L449" s="28" t="str"/>
      <x:c r="M449" s="20"/>
      <x:c r="N449" s="21"/>
      <x:c r="O449" s="26" t="str">
        <x:v>Unique ICP-matched practices that express relevant interest, need or timing; Nova records practice type, decision-maker access, case volume, service need and readiness within 30–60 days. Raw records, opens and connection accepts do not qualify.</x:v>
      </x:c>
      <x:c r="P449" s="26" t="str">
        <x:v>Original proposal pages 2 and 4 define qualification; 40 by Dec 16 and intermediate pace are newly proposed recovery targets.</x:v>
      </x:c>
      <x:c r="Q449" s="2" t="n">
        <x:f>IF(ISNUMBER(H449),1,0)</x:f>
        <x:v>0</x:v>
      </x:c>
    </x:row>
    <x:row r="450" ht="46" customHeight="1">
      <x:c r="A450" s="17" t="n">
        <x:v>46343</x:v>
      </x:c>
      <x:c r="B450" s="2" t="str">
        <x:v>Qualified conversations booked</x:v>
      </x:c>
      <x:c r="C450" s="2" t="n">
        <x:v>6</x:v>
      </x:c>
      <x:c r="D450" s="2" t="str">
        <x:v>Cumulative total</x:v>
      </x:c>
      <x:c r="E450" s="20"/>
      <x:c r="F450" s="20"/>
      <x:c r="G450" s="20"/>
      <x:c r="H450" s="2" t="str">
        <x:f>IF(D450="Rate",IF(COUNT(F450:G450)&lt;2,"",IF(G450=0,"n.a.",F450/G450)),IF(COUNT(E450)=0,"",E450))</x:f>
      </x:c>
      <x:c r="I450" s="2" t="str">
        <x:f>IF(AND(ISNUMBER(H450),ISNUMBER(C450)),H450-C450,"")</x:f>
      </x:c>
      <x:c r="J450" s="2" t="str">
        <x:v>bookings</x:v>
      </x:c>
      <x:c r="K450" s="2" t="str">
        <x:v>Nova</x:v>
      </x:c>
      <x:c r="L450" s="28" t="str"/>
      <x:c r="M450" s="20"/>
      <x:c r="N450" s="21"/>
      <x:c r="O450" s="26" t="str">
        <x:v>Unique qualified calls/visits booked with Nic; rebooking same opportunity is not a new booking.</x:v>
      </x:c>
      <x:c r="P450" s="26" t="str">
        <x:v>PDF §10; final deadline advanced to user Dec 16</x:v>
      </x:c>
      <x:c r="Q450" s="2" t="n">
        <x:f>IF(ISNUMBER(H450),1,0)</x:f>
        <x:v>0</x:v>
      </x:c>
    </x:row>
    <x:row r="451" ht="46" customHeight="1">
      <x:c r="A451" s="17" t="n">
        <x:v>46343</x:v>
      </x:c>
      <x:c r="B451" s="2" t="str">
        <x:v>Qualified conversations held</x:v>
      </x:c>
      <x:c r="C451" s="2" t="n">
        <x:v>4</x:v>
      </x:c>
      <x:c r="D451" s="2" t="str">
        <x:v>Cumulative total</x:v>
      </x:c>
      <x:c r="E451" s="20"/>
      <x:c r="F451" s="20"/>
      <x:c r="G451" s="20"/>
      <x:c r="H451" s="2" t="str">
        <x:f>IF(D451="Rate",IF(COUNT(F451:G451)&lt;2,"",IF(G451=0,"n.a.",F451/G451)),IF(COUNT(E451)=0,"",E451))</x:f>
      </x:c>
      <x:c r="I451" s="2" t="str">
        <x:f>IF(AND(ISNUMBER(H451),ISNUMBER(C451)),H451-C451,"")</x:f>
      </x:c>
      <x:c r="J451" s="2" t="str">
        <x:v>held</x:v>
      </x:c>
      <x:c r="K451" s="2" t="str">
        <x:v>Nova</x:v>
      </x:c>
      <x:c r="L451" s="28" t="str"/>
      <x:c r="M451" s="20"/>
      <x:c r="N451" s="21"/>
      <x:c r="O451" s="26" t="str">
        <x:v>Completed qualified calls/visits; 6 and 15 are integer planning proxies for 70% of 8 and 75% of 20.</x:v>
      </x:c>
      <x:c r="P451" s="26" t="str">
        <x:v>Derived from source held-rate targets</x:v>
      </x:c>
      <x:c r="Q451" s="2" t="n">
        <x:f>IF(ISNUMBER(H451),1,0)</x:f>
        <x:v>0</x:v>
      </x:c>
    </x:row>
    <x:row r="452" ht="46" customHeight="1">
      <x:c r="A452" s="17" t="n">
        <x:v>46343</x:v>
      </x:c>
      <x:c r="B452" s="2" t="str">
        <x:v>Trial cases received by DSI</x:v>
      </x:c>
      <x:c r="C452" s="2" t="n">
        <x:v>1</x:v>
      </x:c>
      <x:c r="D452" s="2" t="str">
        <x:v>Cumulative total</x:v>
      </x:c>
      <x:c r="E452" s="20"/>
      <x:c r="F452" s="20"/>
      <x:c r="G452" s="20"/>
      <x:c r="H452" s="2" t="str">
        <x:f>IF(D452="Rate",IF(COUNT(F452:G452)&lt;2,"",IF(G452=0,"n.a.",F452/G452)),IF(COUNT(E452)=0,"",E452))</x:f>
      </x:c>
      <x:c r="I452" s="2" t="str">
        <x:f>IF(AND(ISNUMBER(H452),ISNUMBER(C452)),H452-C452,"")</x:f>
      </x:c>
      <x:c r="J452" s="2" t="str">
        <x:v>trials</x:v>
      </x:c>
      <x:c r="K452" s="2" t="str">
        <x:v>Maseeha</x:v>
      </x:c>
      <x:c r="L452" s="28" t="str"/>
      <x:c r="M452" s="20"/>
      <x:c r="N452" s="21"/>
      <x:c r="O452" s="26" t="str">
        <x:v>Practice’s first trial case received by DSI, not merely promised or shipped; subject to Maseeha capacity.</x:v>
      </x:c>
      <x:c r="P452" s="26" t="str">
        <x:v>PDF §10; final deadline advanced to user Dec 16</x:v>
      </x:c>
      <x:c r="Q452" s="2" t="n">
        <x:f>IF(ISNUMBER(H452),1,0)</x:f>
        <x:v>0</x:v>
      </x:c>
    </x:row>
    <x:row r="453" ht="46" customHeight="1">
      <x:c r="A453" s="17" t="n">
        <x:v>46343</x:v>
      </x:c>
      <x:c r="B453" s="2" t="str">
        <x:v>Recurring accounts signed</x:v>
      </x:c>
      <x:c r="C453" s="2"/>
      <x:c r="D453" s="2" t="str">
        <x:v>Cumulative total</x:v>
      </x:c>
      <x:c r="E453" s="20"/>
      <x:c r="F453" s="20"/>
      <x:c r="G453" s="20"/>
      <x:c r="H453" s="2" t="str">
        <x:f>IF(D453="Rate",IF(COUNT(F453:G453)&lt;2,"",IF(G453=0,"n.a.",F453/G453)),IF(COUNT(E453)=0,"",E453))</x:f>
      </x:c>
      <x:c r="I453" s="2" t="str">
        <x:f>IF(AND(ISNUMBER(H453),ISNUMBER(C453)),H453-C453,"")</x:f>
      </x:c>
      <x:c r="J453" s="2" t="str">
        <x:v>accounts</x:v>
      </x:c>
      <x:c r="K453" s="2" t="str">
        <x:v>Nic</x:v>
      </x:c>
      <x:c r="L453" s="28" t="str"/>
      <x:c r="M453" s="20"/>
      <x:c r="N453" s="21"/>
      <x:c r="O453" s="26" t="str">
        <x:v>Plan signed following Day-30 review; only mature trial cohorts eligible. 1–3 is a conditional range.</x:v>
      </x:c>
      <x:c r="P453" s="26" t="str">
        <x:v>PDF §10</x:v>
      </x:c>
      <x:c r="Q453" s="2" t="n">
        <x:f>IF(ISNUMBER(H453),1,0)</x:f>
        <x:v>0</x:v>
      </x:c>
    </x:row>
    <x:row r="454" ht="46" customHeight="1">
      <x:c r="A454" s="17" t="n">
        <x:v>46343</x:v>
      </x:c>
      <x:c r="B454" s="2" t="str">
        <x:v>Referral-sourced bookings</x:v>
      </x:c>
      <x:c r="C454" s="2" t="n">
        <x:v>2</x:v>
      </x:c>
      <x:c r="D454" s="2" t="str">
        <x:v>Cumulative total</x:v>
      </x:c>
      <x:c r="E454" s="20"/>
      <x:c r="F454" s="20"/>
      <x:c r="G454" s="20"/>
      <x:c r="H454" s="2" t="str">
        <x:f>IF(D454="Rate",IF(COUNT(F454:G454)&lt;2,"",IF(G454=0,"n.a.",F454/G454)),IF(COUNT(E454)=0,"",E454))</x:f>
      </x:c>
      <x:c r="I454" s="2" t="str">
        <x:f>IF(AND(ISNUMBER(H454),ISNUMBER(C454)),H454-C454,"")</x:f>
      </x:c>
      <x:c r="J454" s="2" t="str">
        <x:v>bookings</x:v>
      </x:c>
      <x:c r="K454" s="2" t="str">
        <x:v>Nova</x:v>
      </x:c>
      <x:c r="L454" s="28" t="str"/>
      <x:c r="M454" s="20"/>
      <x:c r="N454" s="21"/>
      <x:c r="O454" s="26" t="str">
        <x:v>Subset of booked total with primary Source=Referral; never added on top of all-channel bookings.</x:v>
      </x:c>
      <x:c r="P454" s="26" t="str">
        <x:v>PDF §§10, 16</x:v>
      </x:c>
      <x:c r="Q454" s="2" t="n">
        <x:f>IF(ISNUMBER(H454),1,0)</x:f>
        <x:v>0</x:v>
      </x:c>
    </x:row>
    <x:row r="455" ht="46" customHeight="1">
      <x:c r="A455" s="17" t="n">
        <x:v>46343</x:v>
      </x:c>
      <x:c r="B455" s="2" t="str">
        <x:v>LinkedIn DM-sourced bookings</x:v>
      </x:c>
      <x:c r="C455" s="2" t="n">
        <x:v>2</x:v>
      </x:c>
      <x:c r="D455" s="2" t="str">
        <x:v>Cumulative total</x:v>
      </x:c>
      <x:c r="E455" s="20"/>
      <x:c r="F455" s="20"/>
      <x:c r="G455" s="20"/>
      <x:c r="H455" s="2" t="str">
        <x:f>IF(D455="Rate",IF(COUNT(F455:G455)&lt;2,"",IF(G455=0,"n.a.",F455/G455)),IF(COUNT(E455)=0,"",E455))</x:f>
      </x:c>
      <x:c r="I455" s="2" t="str">
        <x:f>IF(AND(ISNUMBER(H455),ISNUMBER(C455)),H455-C455,"")</x:f>
      </x:c>
      <x:c r="J455" s="2" t="str">
        <x:v>bookings</x:v>
      </x:c>
      <x:c r="K455" s="2" t="str">
        <x:v>Dexter</x:v>
      </x:c>
      <x:c r="L455" s="28" t="str"/>
      <x:c r="M455" s="20"/>
      <x:c r="N455" s="21"/>
      <x:c r="O455" s="26" t="str">
        <x:v>Subset of booked total with primary Source=LinkedIn DM; assists tracked separately.</x:v>
      </x:c>
      <x:c r="P455" s="26" t="str">
        <x:v>PDF §§10, 17 a</x:v>
      </x:c>
      <x:c r="Q455" s="2" t="n">
        <x:f>IF(ISNUMBER(H455),1,0)</x:f>
        <x:v>0</x:v>
      </x:c>
    </x:row>
    <x:row r="456" ht="46" customHeight="1">
      <x:c r="A456" s="17" t="n">
        <x:v>46343</x:v>
      </x:c>
      <x:c r="B456" s="2" t="str">
        <x:v>Verified contacts ready</x:v>
      </x:c>
      <x:c r="C456" s="2" t="n">
        <x:v>500</x:v>
      </x:c>
      <x:c r="D456" s="2" t="str">
        <x:v>Cumulative total</x:v>
      </x:c>
      <x:c r="E456" s="20"/>
      <x:c r="F456" s="20"/>
      <x:c r="G456" s="20"/>
      <x:c r="H456" s="2" t="str">
        <x:f>IF(D456="Rate",IF(COUNT(F456:G456)&lt;2,"",IF(G456=0,"n.a.",F456/G456)),IF(COUNT(E456)=0,"",E456))</x:f>
      </x:c>
      <x:c r="I456" s="2" t="str">
        <x:f>IF(AND(ISNUMBER(H456),ISNUMBER(C456)),H456-C456,"")</x:f>
      </x:c>
      <x:c r="J456" s="2" t="str">
        <x:v>contacts</x:v>
      </x:c>
      <x:c r="K456" s="2" t="str">
        <x:v>Joey</x:v>
      </x:c>
      <x:c r="L456" s="28" t="str"/>
      <x:c r="M456" s="20"/>
      <x:c r="N456" s="21"/>
      <x:c r="O456" s="26" t="str">
        <x:v>Unique contacts passing Scout and loaded in CQL; count once per contact.</x:v>
      </x:c>
      <x:c r="P456" s="26" t="str">
        <x:v>PDF §§10, 14; 750 due Dec 12 moved to Fri Dec 11</x:v>
      </x:c>
      <x:c r="Q456" s="2" t="n">
        <x:f>IF(ISNUMBER(H456),1,0)</x:f>
        <x:v>0</x:v>
      </x:c>
    </x:row>
    <x:row r="457" ht="46" customHeight="1">
      <x:c r="A457" s="17" t="n">
        <x:v>46343</x:v>
      </x:c>
      <x:c r="B457" s="2" t="str">
        <x:v>Permission-based referral introductions</x:v>
      </x:c>
      <x:c r="C457" s="2" t="n">
        <x:v>6</x:v>
      </x:c>
      <x:c r="D457" s="2" t="str">
        <x:v>Cumulative total</x:v>
      </x:c>
      <x:c r="E457" s="20"/>
      <x:c r="F457" s="20"/>
      <x:c r="G457" s="20"/>
      <x:c r="H457" s="2" t="str">
        <x:f>IF(D457="Rate",IF(COUNT(F457:G457)&lt;2,"",IF(G457=0,"n.a.",F457/G457)),IF(COUNT(E457)=0,"",E457))</x:f>
      </x:c>
      <x:c r="I457" s="2" t="str">
        <x:f>IF(AND(ISNUMBER(H457),ISNUMBER(C457)),H457-C457,"")</x:f>
      </x:c>
      <x:c r="J457" s="2" t="str">
        <x:v>introductions</x:v>
      </x:c>
      <x:c r="K457" s="2" t="str">
        <x:v>Maseeha</x:v>
      </x:c>
      <x:c r="L457" s="28" t="str"/>
      <x:c r="M457" s="20"/>
      <x:c r="N457" s="21"/>
      <x:c r="O457" s="26" t="str">
        <x:v>Unique introductions with consent and referrer recorded, verified by Maseeha within 2 business days.</x:v>
      </x:c>
      <x:c r="P457" s="26" t="str">
        <x:v>PDF §§10, 16</x:v>
      </x:c>
      <x:c r="Q457" s="2" t="n">
        <x:f>IF(ISNUMBER(H457),1,0)</x:f>
        <x:v>0</x:v>
      </x:c>
    </x:row>
    <x:row r="458" ht="46" customHeight="1">
      <x:c r="A458" s="17" t="n">
        <x:v>46343</x:v>
      </x:c>
      <x:c r="B458" s="2" t="str">
        <x:v>Human reply rate</x:v>
      </x:c>
      <x:c r="C458" s="40" t="n">
        <x:v>0.02</x:v>
      </x:c>
      <x:c r="D458" s="2" t="str">
        <x:v>Rate</x:v>
      </x:c>
      <x:c r="E458" s="20"/>
      <x:c r="F458" s="20"/>
      <x:c r="G458" s="20"/>
      <x:c r="H458" s="40" t="str">
        <x:f>IF(D458="Rate",IF(COUNT(F458:G458)&lt;2,"",IF(G458=0,"n.a.",F458/G458)),IF(COUNT(E458)=0,"",E458))</x:f>
      </x:c>
      <x:c r="I458" s="40" t="str">
        <x:f>IF(AND(ISNUMBER(H458),ISNUMBER(C458)),H458-C458,"")</x:f>
      </x:c>
      <x:c r="J458" s="2" t="str">
        <x:v>%</x:v>
      </x:c>
      <x:c r="K458" s="2" t="str">
        <x:v>Kenneth</x:v>
      </x:c>
      <x:c r="L458" s="28" t="str"/>
      <x:c r="M458" s="20"/>
      <x:c r="N458" s="21"/>
      <x:c r="O458" s="26" t="str">
        <x:v>Unique emailed contacts that give a qualifying human reply / unique contacts emailed in the same send cohort. Exclude OOO, auto-replies, bounces and unsubscribe-only replies. Deduplicate contacts across sequence steps; zero denominator is N/A.</x:v>
      </x:c>
      <x:c r="P458" s="26" t="str">
        <x:v>PDF §10</x:v>
      </x:c>
      <x:c r="Q458" s="2" t="n">
        <x:f>IF(ISNUMBER(H458),1,0)</x:f>
        <x:v>0</x:v>
      </x:c>
    </x:row>
    <x:row r="459" ht="46" customHeight="1">
      <x:c r="A459" s="17" t="n">
        <x:v>46343</x:v>
      </x:c>
      <x:c r="B459" s="2" t="str">
        <x:v>Positive reply rate</x:v>
      </x:c>
      <x:c r="C459" s="40" t="n">
        <x:v>0.01</x:v>
      </x:c>
      <x:c r="D459" s="2" t="str">
        <x:v>Rate</x:v>
      </x:c>
      <x:c r="E459" s="20"/>
      <x:c r="F459" s="20"/>
      <x:c r="G459" s="20"/>
      <x:c r="H459" s="40" t="str">
        <x:f>IF(D459="Rate",IF(COUNT(F459:G459)&lt;2,"",IF(G459=0,"n.a.",F459/G459)),IF(COUNT(E459)=0,"",E459))</x:f>
      </x:c>
      <x:c r="I459" s="40" t="str">
        <x:f>IF(AND(ISNUMBER(H459),ISNUMBER(C459)),H459-C459,"")</x:f>
      </x:c>
      <x:c r="J459" s="2" t="str">
        <x:v>%</x:v>
      </x:c>
      <x:c r="K459" s="2" t="str">
        <x:v>Kenneth</x:v>
      </x:c>
      <x:c r="L459" s="28" t="str"/>
      <x:c r="M459" s="20"/>
      <x:c r="N459" s="21"/>
      <x:c r="O459" s="26" t="str">
        <x:v>Unique emailed contacts classified interested or relevant question / unique contacts emailed in the same send cohort. Deduplicate across sequence steps; zero denominator is N/A. Keep this email rate separate from all-channel qualified inquiries.</x:v>
      </x:c>
      <x:c r="P459" s="26" t="str">
        <x:v>PDF §10</x:v>
      </x:c>
      <x:c r="Q459" s="2" t="n">
        <x:f>IF(ISNUMBER(H459),1,0)</x:f>
        <x:v>0</x:v>
      </x:c>
    </x:row>
    <x:row r="460" ht="46" customHeight="1">
      <x:c r="A460" s="17" t="n">
        <x:v>46343</x:v>
      </x:c>
      <x:c r="B460" s="2" t="str">
        <x:v>Replies answered within 15 minutes</x:v>
      </x:c>
      <x:c r="C460" s="40" t="n">
        <x:v>1</x:v>
      </x:c>
      <x:c r="D460" s="2" t="str">
        <x:v>Rate</x:v>
      </x:c>
      <x:c r="E460" s="20"/>
      <x:c r="F460" s="20"/>
      <x:c r="G460" s="20"/>
      <x:c r="H460" s="40" t="str">
        <x:f>IF(D460="Rate",IF(COUNT(F460:G460)&lt;2,"",IF(G460=0,"n.a.",F460/G460)),IF(COUNT(E460)=0,"",E460))</x:f>
      </x:c>
      <x:c r="I460" s="40" t="str">
        <x:f>IF(AND(ISNUMBER(H460),ISNUMBER(C460)),H460-C460,"")</x:f>
      </x:c>
      <x:c r="J460" s="2" t="str">
        <x:v>%</x:v>
      </x:c>
      <x:c r="K460" s="2" t="str">
        <x:v>Nova</x:v>
      </x:c>
      <x:c r="L460" s="28" t="str"/>
      <x:c r="M460" s="20"/>
      <x:c r="N460" s="21"/>
      <x:c r="O460"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460" s="26" t="str">
        <x:v>PDF §9; clock convention clarified for tracker</x:v>
      </x:c>
      <x:c r="Q460" s="2" t="n">
        <x:f>IF(ISNUMBER(H460),1,0)</x:f>
        <x:v>0</x:v>
      </x:c>
    </x:row>
    <x:row r="461" ht="46" customHeight="1">
      <x:c r="A461" s="17" t="n">
        <x:v>46343</x:v>
      </x:c>
      <x:c r="B461" s="2" t="str">
        <x:v>Held rate</x:v>
      </x:c>
      <x:c r="C461" s="40" t="n">
        <x:v>0.7</x:v>
      </x:c>
      <x:c r="D461" s="2" t="str">
        <x:v>Rate</x:v>
      </x:c>
      <x:c r="E461" s="20"/>
      <x:c r="F461" s="20"/>
      <x:c r="G461" s="20"/>
      <x:c r="H461" s="40" t="str">
        <x:f>IF(D461="Rate",IF(COUNT(F461:G461)&lt;2,"",IF(G461=0,"n.a.",F461/G461)),IF(COUNT(E461)=0,"",E461))</x:f>
      </x:c>
      <x:c r="I461" s="40" t="str">
        <x:f>IF(AND(ISNUMBER(H461),ISNUMBER(C461)),H461-C461,"")</x:f>
      </x:c>
      <x:c r="J461" s="2" t="str">
        <x:v>%</x:v>
      </x:c>
      <x:c r="K461" s="2" t="str">
        <x:v>Nova</x:v>
      </x:c>
      <x:c r="L461" s="28" t="str"/>
      <x:c r="M461" s="20"/>
      <x:c r="N461" s="21"/>
      <x:c r="O461" s="26" t="str">
        <x:v>Qualified conversations actually held / unique booked conversations whose scheduled time has passed. Exclude upcoming appointments. Rebooking the same opportunity is not a second booking. A zero denominator is N/A.</x:v>
      </x:c>
      <x:c r="P461" s="26" t="str">
        <x:v>PDF §10; due-cohort denominator clarified</x:v>
      </x:c>
      <x:c r="Q461" s="2" t="n">
        <x:f>IF(ISNUMBER(H461),1,0)</x:f>
        <x:v>0</x:v>
      </x:c>
    </x:row>
    <x:row r="462" ht="46" customHeight="1">
      <x:c r="A462" s="17" t="n">
        <x:v>46343</x:v>
      </x:c>
      <x:c r="B462" s="2" t="str">
        <x:v>Positive-to-booked conversion</x:v>
      </x:c>
      <x:c r="C462" s="40" t="n">
        <x:v>0.5</x:v>
      </x:c>
      <x:c r="D462" s="2" t="str">
        <x:v>Rate</x:v>
      </x:c>
      <x:c r="E462" s="20"/>
      <x:c r="F462" s="20"/>
      <x:c r="G462" s="20"/>
      <x:c r="H462" s="40" t="str">
        <x:f>IF(D462="Rate",IF(COUNT(F462:G462)&lt;2,"",IF(G462=0,"n.a.",F462/G462)),IF(COUNT(E462)=0,"",E462))</x:f>
      </x:c>
      <x:c r="I462" s="40" t="str">
        <x:f>IF(AND(ISNUMBER(H462),ISNUMBER(C462)),H462-C462,"")</x:f>
      </x:c>
      <x:c r="J462" s="2" t="str">
        <x:v>%</x:v>
      </x:c>
      <x:c r="K462" s="2" t="str">
        <x:v>Nova</x:v>
      </x:c>
      <x:c r="L462" s="28" t="str"/>
      <x:c r="M462" s="20"/>
      <x:c r="N462" s="21"/>
      <x:c r="O462" s="26" t="str">
        <x:v>Unique email-positive opportunities booked / unique email-positive opportunities in the same reviewed cohort. Use a documented follow-up window. This differs from the all-channel 40-inquiry/20-booking planning assumption. A zero denominator is N/A.</x:v>
      </x:c>
      <x:c r="P462" s="26" t="str">
        <x:v>PDF §9</x:v>
      </x:c>
      <x:c r="Q462" s="2" t="n">
        <x:f>IF(ISNUMBER(H462),1,0)</x:f>
        <x:v>0</x:v>
      </x:c>
    </x:row>
    <x:row r="463" ht="46" customHeight="1">
      <x:c r="A463" s="17" t="n">
        <x:v>46343</x:v>
      </x:c>
      <x:c r="B463" s="2" t="str">
        <x:v>Existing-account referral asks</x:v>
      </x:c>
      <x:c r="C463" s="2" t="n">
        <x:v>29</x:v>
      </x:c>
      <x:c r="D463" s="2" t="str">
        <x:v>Cumulative total</x:v>
      </x:c>
      <x:c r="E463" s="20"/>
      <x:c r="F463" s="20"/>
      <x:c r="G463" s="20"/>
      <x:c r="H463" s="2" t="str">
        <x:f>IF(D463="Rate",IF(COUNT(F463:G463)&lt;2,"",IF(G463=0,"n.a.",F463/G463)),IF(COUNT(E463)=0,"",E463))</x:f>
      </x:c>
      <x:c r="I463" s="2" t="str">
        <x:f>IF(AND(ISNUMBER(H463),ISNUMBER(C463)),H463-C463,"")</x:f>
      </x:c>
      <x:c r="J463" s="2" t="str">
        <x:v>accounts asked</x:v>
      </x:c>
      <x:c r="K463" s="2" t="str">
        <x:v>Maseeha</x:v>
      </x:c>
      <x:c r="L463" s="28" t="str"/>
      <x:c r="M463" s="20"/>
      <x:c r="N463" s="21"/>
      <x:c r="O463" s="26" t="str">
        <x:v>Ask 25 unique A/B accounts (5 A and 20 B) by November 13; proposed pace 35 total by November 20; complete the remaining C accounts to reach 41 total by November 25. One introduction is the ask; asks and received intros are separate counts.</x:v>
      </x:c>
      <x:c r="P463" s="26" t="str">
        <x:v>PDF §16 supplies 25 A/B byNov 14 and 16 C byNov 25; Friday deadline and 35-byNov 20 pace are proposed scheduling allocations.</x:v>
      </x:c>
      <x:c r="Q463" s="2" t="n">
        <x:f>IF(ISNUMBER(H463),1,0)</x:f>
        <x:v>0</x:v>
      </x:c>
    </x:row>
    <x:row r="464" ht="46" customHeight="1">
      <x:c r="A464" s="17" t="n">
        <x:v>46343</x:v>
      </x:c>
      <x:c r="B464" s="2" t="str">
        <x:v>Approved SOPs</x:v>
      </x:c>
      <x:c r="C464" s="2"/>
      <x:c r="D464" s="2" t="str">
        <x:v>Cumulative total</x:v>
      </x:c>
      <x:c r="E464" s="20"/>
      <x:c r="F464" s="20"/>
      <x:c r="G464" s="20"/>
      <x:c r="H464" s="2" t="str">
        <x:f>IF(D464="Rate",IF(COUNT(F464:G464)&lt;2,"",IF(G464=0,"n.a.",F464/G464)),IF(COUNT(E464)=0,"",E464))</x:f>
      </x:c>
      <x:c r="I464" s="2" t="str">
        <x:f>IF(AND(ISNUMBER(H464),ISNUMBER(C464)),H464-C464,"")</x:f>
      </x:c>
      <x:c r="J464" s="2" t="str">
        <x:v>SOPs</x:v>
      </x:c>
      <x:c r="K464" s="2" t="str">
        <x:v>Wyline</x:v>
      </x:c>
      <x:c r="L464" s="28" t="str"/>
      <x:c r="M464" s="20"/>
      <x:c r="N464" s="21"/>
      <x:c r="O464" s="26" t="str">
        <x:v>10 core SOPs plus ADS-01 and SOC-01 additions; approved version and independent-run evidence required.</x:v>
      </x:c>
      <x:c r="P464" s="26" t="str">
        <x:v>PDF §8 with §§17 b–d additions</x:v>
      </x:c>
      <x:c r="Q464" s="2" t="n">
        <x:f>IF(ISNUMBER(H464),1,0)</x:f>
        <x:v>0</x:v>
      </x:c>
    </x:row>
    <x:row r="465" ht="46" customHeight="1">
      <x:c r="A465" s="17" t="n">
        <x:v>46343</x:v>
      </x:c>
      <x:c r="B465" s="2" t="str">
        <x:v>Accepted AI agents</x:v>
      </x:c>
      <x:c r="C465" s="2"/>
      <x:c r="D465" s="2" t="str">
        <x:v>Cumulative total</x:v>
      </x:c>
      <x:c r="E465" s="20"/>
      <x:c r="F465" s="20"/>
      <x:c r="G465" s="20"/>
      <x:c r="H465" s="2" t="str">
        <x:f>IF(D465="Rate",IF(COUNT(F465:G465)&lt;2,"",IF(G465=0,"n.a.",F465/G465)),IF(COUNT(E465)=0,"",E465))</x:f>
      </x:c>
      <x:c r="I465" s="2" t="str">
        <x:f>IF(AND(ISNUMBER(H465),ISNUMBER(C465)),H465-C465,"")</x:f>
      </x:c>
      <x:c r="J465" s="2" t="str">
        <x:v>agents</x:v>
      </x:c>
      <x:c r="K465" s="2" t="str">
        <x:v>Emman</x:v>
      </x:c>
      <x:c r="L465" s="28" t="str"/>
      <x:c r="M465" s="20"/>
      <x:c r="N465" s="21"/>
      <x:c r="O465" s="26" t="str">
        <x:v>Scout, Writer, Inbox, Phone Assist, LinkedIn Assist, Follow-up, Scoreboard and Client Reporter; acceptance evidence required.</x:v>
      </x:c>
      <x:c r="P465" s="26" t="str">
        <x:v>PDF §7</x:v>
      </x:c>
      <x:c r="Q465" s="2" t="n">
        <x:f>IF(ISNUMBER(H465),1,0)</x:f>
        <x:v>0</x:v>
      </x:c>
    </x:row>
    <x:row r="466" ht="46" customHeight="1">
      <x:c r="A466" s="17" t="n">
        <x:v>46344</x:v>
      </x:c>
      <x:c r="B466" s="2" t="str">
        <x:v>Qualified inquiries</x:v>
      </x:c>
      <x:c r="C466" s="2" t="n">
        <x:v>13</x:v>
      </x:c>
      <x:c r="D466" s="2" t="str">
        <x:v>Cumulative total</x:v>
      </x:c>
      <x:c r="E466" s="20"/>
      <x:c r="F466" s="20"/>
      <x:c r="G466" s="20"/>
      <x:c r="H466" s="2" t="str">
        <x:f>IF(D466="Rate",IF(COUNT(F466:G466)&lt;2,"",IF(G466=0,"n.a.",F466/G466)),IF(COUNT(E466)=0,"",E466))</x:f>
      </x:c>
      <x:c r="I466" s="2" t="str">
        <x:f>IF(AND(ISNUMBER(H466),ISNUMBER(C466)),H466-C466,"")</x:f>
      </x:c>
      <x:c r="J466" s="2" t="str">
        <x:v>inquiries</x:v>
      </x:c>
      <x:c r="K466" s="2" t="str">
        <x:v>Nova</x:v>
      </x:c>
      <x:c r="L466" s="28" t="str"/>
      <x:c r="M466" s="20"/>
      <x:c r="N466" s="21"/>
      <x:c r="O466" s="26" t="str">
        <x:v>Unique ICP-matched practices that express relevant interest, need or timing; Nova records practice type, decision-maker access, case volume, service need and readiness within 30–60 days. Raw records, opens and connection accepts do not qualify.</x:v>
      </x:c>
      <x:c r="P466" s="26" t="str">
        <x:v>Original proposal pages 2 and 4 define qualification; 40 by Dec 16 and intermediate pace are newly proposed recovery targets.</x:v>
      </x:c>
      <x:c r="Q466" s="2" t="n">
        <x:f>IF(ISNUMBER(H466),1,0)</x:f>
        <x:v>0</x:v>
      </x:c>
    </x:row>
    <x:row r="467" ht="46" customHeight="1">
      <x:c r="A467" s="17" t="n">
        <x:v>46344</x:v>
      </x:c>
      <x:c r="B467" s="2" t="str">
        <x:v>Qualified conversations booked</x:v>
      </x:c>
      <x:c r="C467" s="2" t="n">
        <x:v>6</x:v>
      </x:c>
      <x:c r="D467" s="2" t="str">
        <x:v>Cumulative total</x:v>
      </x:c>
      <x:c r="E467" s="20"/>
      <x:c r="F467" s="20"/>
      <x:c r="G467" s="20"/>
      <x:c r="H467" s="2" t="str">
        <x:f>IF(D467="Rate",IF(COUNT(F467:G467)&lt;2,"",IF(G467=0,"n.a.",F467/G467)),IF(COUNT(E467)=0,"",E467))</x:f>
      </x:c>
      <x:c r="I467" s="2" t="str">
        <x:f>IF(AND(ISNUMBER(H467),ISNUMBER(C467)),H467-C467,"")</x:f>
      </x:c>
      <x:c r="J467" s="2" t="str">
        <x:v>bookings</x:v>
      </x:c>
      <x:c r="K467" s="2" t="str">
        <x:v>Nova</x:v>
      </x:c>
      <x:c r="L467" s="28" t="str"/>
      <x:c r="M467" s="20"/>
      <x:c r="N467" s="21"/>
      <x:c r="O467" s="26" t="str">
        <x:v>Unique qualified calls/visits booked with Nic; rebooking same opportunity is not a new booking.</x:v>
      </x:c>
      <x:c r="P467" s="26" t="str">
        <x:v>PDF §10; final deadline advanced to user Dec 16</x:v>
      </x:c>
      <x:c r="Q467" s="2" t="n">
        <x:f>IF(ISNUMBER(H467),1,0)</x:f>
        <x:v>0</x:v>
      </x:c>
    </x:row>
    <x:row r="468" ht="46" customHeight="1">
      <x:c r="A468" s="17" t="n">
        <x:v>46344</x:v>
      </x:c>
      <x:c r="B468" s="2" t="str">
        <x:v>Qualified conversations held</x:v>
      </x:c>
      <x:c r="C468" s="2" t="n">
        <x:v>4</x:v>
      </x:c>
      <x:c r="D468" s="2" t="str">
        <x:v>Cumulative total</x:v>
      </x:c>
      <x:c r="E468" s="20"/>
      <x:c r="F468" s="20"/>
      <x:c r="G468" s="20"/>
      <x:c r="H468" s="2" t="str">
        <x:f>IF(D468="Rate",IF(COUNT(F468:G468)&lt;2,"",IF(G468=0,"n.a.",F468/G468)),IF(COUNT(E468)=0,"",E468))</x:f>
      </x:c>
      <x:c r="I468" s="2" t="str">
        <x:f>IF(AND(ISNUMBER(H468),ISNUMBER(C468)),H468-C468,"")</x:f>
      </x:c>
      <x:c r="J468" s="2" t="str">
        <x:v>held</x:v>
      </x:c>
      <x:c r="K468" s="2" t="str">
        <x:v>Nova</x:v>
      </x:c>
      <x:c r="L468" s="28" t="str"/>
      <x:c r="M468" s="20"/>
      <x:c r="N468" s="21"/>
      <x:c r="O468" s="26" t="str">
        <x:v>Completed qualified calls/visits; 6 and 15 are integer planning proxies for 70% of 8 and 75% of 20.</x:v>
      </x:c>
      <x:c r="P468" s="26" t="str">
        <x:v>Derived from source held-rate targets</x:v>
      </x:c>
      <x:c r="Q468" s="2" t="n">
        <x:f>IF(ISNUMBER(H468),1,0)</x:f>
        <x:v>0</x:v>
      </x:c>
    </x:row>
    <x:row r="469" ht="46" customHeight="1">
      <x:c r="A469" s="17" t="n">
        <x:v>46344</x:v>
      </x:c>
      <x:c r="B469" s="2" t="str">
        <x:v>Trial cases received by DSI</x:v>
      </x:c>
      <x:c r="C469" s="2" t="n">
        <x:v>1</x:v>
      </x:c>
      <x:c r="D469" s="2" t="str">
        <x:v>Cumulative total</x:v>
      </x:c>
      <x:c r="E469" s="20"/>
      <x:c r="F469" s="20"/>
      <x:c r="G469" s="20"/>
      <x:c r="H469" s="2" t="str">
        <x:f>IF(D469="Rate",IF(COUNT(F469:G469)&lt;2,"",IF(G469=0,"n.a.",F469/G469)),IF(COUNT(E469)=0,"",E469))</x:f>
      </x:c>
      <x:c r="I469" s="2" t="str">
        <x:f>IF(AND(ISNUMBER(H469),ISNUMBER(C469)),H469-C469,"")</x:f>
      </x:c>
      <x:c r="J469" s="2" t="str">
        <x:v>trials</x:v>
      </x:c>
      <x:c r="K469" s="2" t="str">
        <x:v>Maseeha</x:v>
      </x:c>
      <x:c r="L469" s="28" t="str"/>
      <x:c r="M469" s="20"/>
      <x:c r="N469" s="21"/>
      <x:c r="O469" s="26" t="str">
        <x:v>Practice’s first trial case received by DSI, not merely promised or shipped; subject to Maseeha capacity.</x:v>
      </x:c>
      <x:c r="P469" s="26" t="str">
        <x:v>PDF §10; final deadline advanced to user Dec 16</x:v>
      </x:c>
      <x:c r="Q469" s="2" t="n">
        <x:f>IF(ISNUMBER(H469),1,0)</x:f>
        <x:v>0</x:v>
      </x:c>
    </x:row>
    <x:row r="470" ht="46" customHeight="1">
      <x:c r="A470" s="17" t="n">
        <x:v>46344</x:v>
      </x:c>
      <x:c r="B470" s="2" t="str">
        <x:v>Recurring accounts signed</x:v>
      </x:c>
      <x:c r="C470" s="2"/>
      <x:c r="D470" s="2" t="str">
        <x:v>Cumulative total</x:v>
      </x:c>
      <x:c r="E470" s="20"/>
      <x:c r="F470" s="20"/>
      <x:c r="G470" s="20"/>
      <x:c r="H470" s="2" t="str">
        <x:f>IF(D470="Rate",IF(COUNT(F470:G470)&lt;2,"",IF(G470=0,"n.a.",F470/G470)),IF(COUNT(E470)=0,"",E470))</x:f>
      </x:c>
      <x:c r="I470" s="2" t="str">
        <x:f>IF(AND(ISNUMBER(H470),ISNUMBER(C470)),H470-C470,"")</x:f>
      </x:c>
      <x:c r="J470" s="2" t="str">
        <x:v>accounts</x:v>
      </x:c>
      <x:c r="K470" s="2" t="str">
        <x:v>Nic</x:v>
      </x:c>
      <x:c r="L470" s="28" t="str"/>
      <x:c r="M470" s="20"/>
      <x:c r="N470" s="21"/>
      <x:c r="O470" s="26" t="str">
        <x:v>Plan signed following Day-30 review; only mature trial cohorts eligible. 1–3 is a conditional range.</x:v>
      </x:c>
      <x:c r="P470" s="26" t="str">
        <x:v>PDF §10</x:v>
      </x:c>
      <x:c r="Q470" s="2" t="n">
        <x:f>IF(ISNUMBER(H470),1,0)</x:f>
        <x:v>0</x:v>
      </x:c>
    </x:row>
    <x:row r="471" ht="46" customHeight="1">
      <x:c r="A471" s="17" t="n">
        <x:v>46344</x:v>
      </x:c>
      <x:c r="B471" s="2" t="str">
        <x:v>Referral-sourced bookings</x:v>
      </x:c>
      <x:c r="C471" s="2" t="n">
        <x:v>3</x:v>
      </x:c>
      <x:c r="D471" s="2" t="str">
        <x:v>Cumulative total</x:v>
      </x:c>
      <x:c r="E471" s="20"/>
      <x:c r="F471" s="20"/>
      <x:c r="G471" s="20"/>
      <x:c r="H471" s="2" t="str">
        <x:f>IF(D471="Rate",IF(COUNT(F471:G471)&lt;2,"",IF(G471=0,"n.a.",F471/G471)),IF(COUNT(E471)=0,"",E471))</x:f>
      </x:c>
      <x:c r="I471" s="2" t="str">
        <x:f>IF(AND(ISNUMBER(H471),ISNUMBER(C471)),H471-C471,"")</x:f>
      </x:c>
      <x:c r="J471" s="2" t="str">
        <x:v>bookings</x:v>
      </x:c>
      <x:c r="K471" s="2" t="str">
        <x:v>Nova</x:v>
      </x:c>
      <x:c r="L471" s="28" t="str"/>
      <x:c r="M471" s="20"/>
      <x:c r="N471" s="21"/>
      <x:c r="O471" s="26" t="str">
        <x:v>Subset of booked total with primary Source=Referral; never added on top of all-channel bookings.</x:v>
      </x:c>
      <x:c r="P471" s="26" t="str">
        <x:v>PDF §§10, 16</x:v>
      </x:c>
      <x:c r="Q471" s="2" t="n">
        <x:f>IF(ISNUMBER(H471),1,0)</x:f>
        <x:v>0</x:v>
      </x:c>
    </x:row>
    <x:row r="472" ht="46" customHeight="1">
      <x:c r="A472" s="17" t="n">
        <x:v>46344</x:v>
      </x:c>
      <x:c r="B472" s="2" t="str">
        <x:v>LinkedIn DM-sourced bookings</x:v>
      </x:c>
      <x:c r="C472" s="2" t="n">
        <x:v>2</x:v>
      </x:c>
      <x:c r="D472" s="2" t="str">
        <x:v>Cumulative total</x:v>
      </x:c>
      <x:c r="E472" s="20"/>
      <x:c r="F472" s="20"/>
      <x:c r="G472" s="20"/>
      <x:c r="H472" s="2" t="str">
        <x:f>IF(D472="Rate",IF(COUNT(F472:G472)&lt;2,"",IF(G472=0,"n.a.",F472/G472)),IF(COUNT(E472)=0,"",E472))</x:f>
      </x:c>
      <x:c r="I472" s="2" t="str">
        <x:f>IF(AND(ISNUMBER(H472),ISNUMBER(C472)),H472-C472,"")</x:f>
      </x:c>
      <x:c r="J472" s="2" t="str">
        <x:v>bookings</x:v>
      </x:c>
      <x:c r="K472" s="2" t="str">
        <x:v>Dexter</x:v>
      </x:c>
      <x:c r="L472" s="28" t="str"/>
      <x:c r="M472" s="20"/>
      <x:c r="N472" s="21"/>
      <x:c r="O472" s="26" t="str">
        <x:v>Subset of booked total with primary Source=LinkedIn DM; assists tracked separately.</x:v>
      </x:c>
      <x:c r="P472" s="26" t="str">
        <x:v>PDF §§10, 17 a</x:v>
      </x:c>
      <x:c r="Q472" s="2" t="n">
        <x:f>IF(ISNUMBER(H472),1,0)</x:f>
        <x:v>0</x:v>
      </x:c>
    </x:row>
    <x:row r="473" ht="46" customHeight="1">
      <x:c r="A473" s="17" t="n">
        <x:v>46344</x:v>
      </x:c>
      <x:c r="B473" s="2" t="str">
        <x:v>Verified contacts ready</x:v>
      </x:c>
      <x:c r="C473" s="2" t="n">
        <x:v>500</x:v>
      </x:c>
      <x:c r="D473" s="2" t="str">
        <x:v>Cumulative total</x:v>
      </x:c>
      <x:c r="E473" s="20"/>
      <x:c r="F473" s="20"/>
      <x:c r="G473" s="20"/>
      <x:c r="H473" s="2" t="str">
        <x:f>IF(D473="Rate",IF(COUNT(F473:G473)&lt;2,"",IF(G473=0,"n.a.",F473/G473)),IF(COUNT(E473)=0,"",E473))</x:f>
      </x:c>
      <x:c r="I473" s="2" t="str">
        <x:f>IF(AND(ISNUMBER(H473),ISNUMBER(C473)),H473-C473,"")</x:f>
      </x:c>
      <x:c r="J473" s="2" t="str">
        <x:v>contacts</x:v>
      </x:c>
      <x:c r="K473" s="2" t="str">
        <x:v>Joey</x:v>
      </x:c>
      <x:c r="L473" s="28" t="str"/>
      <x:c r="M473" s="20"/>
      <x:c r="N473" s="21"/>
      <x:c r="O473" s="26" t="str">
        <x:v>Unique contacts passing Scout and loaded in CQL; count once per contact.</x:v>
      </x:c>
      <x:c r="P473" s="26" t="str">
        <x:v>PDF §§10, 14; 750 due Dec 12 moved to Fri Dec 11</x:v>
      </x:c>
      <x:c r="Q473" s="2" t="n">
        <x:f>IF(ISNUMBER(H473),1,0)</x:f>
        <x:v>0</x:v>
      </x:c>
    </x:row>
    <x:row r="474" ht="46" customHeight="1">
      <x:c r="A474" s="17" t="n">
        <x:v>46344</x:v>
      </x:c>
      <x:c r="B474" s="2" t="str">
        <x:v>Permission-based referral introductions</x:v>
      </x:c>
      <x:c r="C474" s="2" t="n">
        <x:v>6</x:v>
      </x:c>
      <x:c r="D474" s="2" t="str">
        <x:v>Cumulative total</x:v>
      </x:c>
      <x:c r="E474" s="20"/>
      <x:c r="F474" s="20"/>
      <x:c r="G474" s="20"/>
      <x:c r="H474" s="2" t="str">
        <x:f>IF(D474="Rate",IF(COUNT(F474:G474)&lt;2,"",IF(G474=0,"n.a.",F474/G474)),IF(COUNT(E474)=0,"",E474))</x:f>
      </x:c>
      <x:c r="I474" s="2" t="str">
        <x:f>IF(AND(ISNUMBER(H474),ISNUMBER(C474)),H474-C474,"")</x:f>
      </x:c>
      <x:c r="J474" s="2" t="str">
        <x:v>introductions</x:v>
      </x:c>
      <x:c r="K474" s="2" t="str">
        <x:v>Maseeha</x:v>
      </x:c>
      <x:c r="L474" s="28" t="str"/>
      <x:c r="M474" s="20"/>
      <x:c r="N474" s="21"/>
      <x:c r="O474" s="26" t="str">
        <x:v>Unique introductions with consent and referrer recorded, verified by Maseeha within 2 business days.</x:v>
      </x:c>
      <x:c r="P474" s="26" t="str">
        <x:v>PDF §§10, 16</x:v>
      </x:c>
      <x:c r="Q474" s="2" t="n">
        <x:f>IF(ISNUMBER(H474),1,0)</x:f>
        <x:v>0</x:v>
      </x:c>
    </x:row>
    <x:row r="475" ht="46" customHeight="1">
      <x:c r="A475" s="17" t="n">
        <x:v>46344</x:v>
      </x:c>
      <x:c r="B475" s="2" t="str">
        <x:v>Human reply rate</x:v>
      </x:c>
      <x:c r="C475" s="40" t="n">
        <x:v>0.02</x:v>
      </x:c>
      <x:c r="D475" s="2" t="str">
        <x:v>Rate</x:v>
      </x:c>
      <x:c r="E475" s="20"/>
      <x:c r="F475" s="20"/>
      <x:c r="G475" s="20"/>
      <x:c r="H475" s="40" t="str">
        <x:f>IF(D475="Rate",IF(COUNT(F475:G475)&lt;2,"",IF(G475=0,"n.a.",F475/G475)),IF(COUNT(E475)=0,"",E475))</x:f>
      </x:c>
      <x:c r="I475" s="40" t="str">
        <x:f>IF(AND(ISNUMBER(H475),ISNUMBER(C475)),H475-C475,"")</x:f>
      </x:c>
      <x:c r="J475" s="2" t="str">
        <x:v>%</x:v>
      </x:c>
      <x:c r="K475" s="2" t="str">
        <x:v>Kenneth</x:v>
      </x:c>
      <x:c r="L475" s="28" t="str"/>
      <x:c r="M475" s="20"/>
      <x:c r="N475" s="21"/>
      <x:c r="O475" s="26" t="str">
        <x:v>Unique emailed contacts that give a qualifying human reply / unique contacts emailed in the same send cohort. Exclude OOO, auto-replies, bounces and unsubscribe-only replies. Deduplicate contacts across sequence steps; zero denominator is N/A.</x:v>
      </x:c>
      <x:c r="P475" s="26" t="str">
        <x:v>PDF §10</x:v>
      </x:c>
      <x:c r="Q475" s="2" t="n">
        <x:f>IF(ISNUMBER(H475),1,0)</x:f>
        <x:v>0</x:v>
      </x:c>
    </x:row>
    <x:row r="476" ht="46" customHeight="1">
      <x:c r="A476" s="17" t="n">
        <x:v>46344</x:v>
      </x:c>
      <x:c r="B476" s="2" t="str">
        <x:v>Positive reply rate</x:v>
      </x:c>
      <x:c r="C476" s="40" t="n">
        <x:v>0.01</x:v>
      </x:c>
      <x:c r="D476" s="2" t="str">
        <x:v>Rate</x:v>
      </x:c>
      <x:c r="E476" s="20"/>
      <x:c r="F476" s="20"/>
      <x:c r="G476" s="20"/>
      <x:c r="H476" s="40" t="str">
        <x:f>IF(D476="Rate",IF(COUNT(F476:G476)&lt;2,"",IF(G476=0,"n.a.",F476/G476)),IF(COUNT(E476)=0,"",E476))</x:f>
      </x:c>
      <x:c r="I476" s="40" t="str">
        <x:f>IF(AND(ISNUMBER(H476),ISNUMBER(C476)),H476-C476,"")</x:f>
      </x:c>
      <x:c r="J476" s="2" t="str">
        <x:v>%</x:v>
      </x:c>
      <x:c r="K476" s="2" t="str">
        <x:v>Kenneth</x:v>
      </x:c>
      <x:c r="L476" s="28" t="str"/>
      <x:c r="M476" s="20"/>
      <x:c r="N476" s="21"/>
      <x:c r="O476" s="26" t="str">
        <x:v>Unique emailed contacts classified interested or relevant question / unique contacts emailed in the same send cohort. Deduplicate across sequence steps; zero denominator is N/A. Keep this email rate separate from all-channel qualified inquiries.</x:v>
      </x:c>
      <x:c r="P476" s="26" t="str">
        <x:v>PDF §10</x:v>
      </x:c>
      <x:c r="Q476" s="2" t="n">
        <x:f>IF(ISNUMBER(H476),1,0)</x:f>
        <x:v>0</x:v>
      </x:c>
    </x:row>
    <x:row r="477" ht="46" customHeight="1">
      <x:c r="A477" s="17" t="n">
        <x:v>46344</x:v>
      </x:c>
      <x:c r="B477" s="2" t="str">
        <x:v>Replies answered within 15 minutes</x:v>
      </x:c>
      <x:c r="C477" s="40" t="n">
        <x:v>1</x:v>
      </x:c>
      <x:c r="D477" s="2" t="str">
        <x:v>Rate</x:v>
      </x:c>
      <x:c r="E477" s="20"/>
      <x:c r="F477" s="20"/>
      <x:c r="G477" s="20"/>
      <x:c r="H477" s="40" t="str">
        <x:f>IF(D477="Rate",IF(COUNT(F477:G477)&lt;2,"",IF(G477=0,"n.a.",F477/G477)),IF(COUNT(E477)=0,"",E477))</x:f>
      </x:c>
      <x:c r="I477" s="40" t="str">
        <x:f>IF(AND(ISNUMBER(H477),ISNUMBER(C477)),H477-C477,"")</x:f>
      </x:c>
      <x:c r="J477" s="2" t="str">
        <x:v>%</x:v>
      </x:c>
      <x:c r="K477" s="2" t="str">
        <x:v>Nova</x:v>
      </x:c>
      <x:c r="L477" s="28" t="str"/>
      <x:c r="M477" s="20"/>
      <x:c r="N477" s="21"/>
      <x:c r="O477"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477" s="26" t="str">
        <x:v>PDF §9; clock convention clarified for tracker</x:v>
      </x:c>
      <x:c r="Q477" s="2" t="n">
        <x:f>IF(ISNUMBER(H477),1,0)</x:f>
        <x:v>0</x:v>
      </x:c>
    </x:row>
    <x:row r="478" ht="46" customHeight="1">
      <x:c r="A478" s="17" t="n">
        <x:v>46344</x:v>
      </x:c>
      <x:c r="B478" s="2" t="str">
        <x:v>Held rate</x:v>
      </x:c>
      <x:c r="C478" s="40" t="n">
        <x:v>0.7</x:v>
      </x:c>
      <x:c r="D478" s="2" t="str">
        <x:v>Rate</x:v>
      </x:c>
      <x:c r="E478" s="20"/>
      <x:c r="F478" s="20"/>
      <x:c r="G478" s="20"/>
      <x:c r="H478" s="40" t="str">
        <x:f>IF(D478="Rate",IF(COUNT(F478:G478)&lt;2,"",IF(G478=0,"n.a.",F478/G478)),IF(COUNT(E478)=0,"",E478))</x:f>
      </x:c>
      <x:c r="I478" s="40" t="str">
        <x:f>IF(AND(ISNUMBER(H478),ISNUMBER(C478)),H478-C478,"")</x:f>
      </x:c>
      <x:c r="J478" s="2" t="str">
        <x:v>%</x:v>
      </x:c>
      <x:c r="K478" s="2" t="str">
        <x:v>Nova</x:v>
      </x:c>
      <x:c r="L478" s="28" t="str"/>
      <x:c r="M478" s="20"/>
      <x:c r="N478" s="21"/>
      <x:c r="O478" s="26" t="str">
        <x:v>Qualified conversations actually held / unique booked conversations whose scheduled time has passed. Exclude upcoming appointments. Rebooking the same opportunity is not a second booking. A zero denominator is N/A.</x:v>
      </x:c>
      <x:c r="P478" s="26" t="str">
        <x:v>PDF §10; due-cohort denominator clarified</x:v>
      </x:c>
      <x:c r="Q478" s="2" t="n">
        <x:f>IF(ISNUMBER(H478),1,0)</x:f>
        <x:v>0</x:v>
      </x:c>
    </x:row>
    <x:row r="479" ht="46" customHeight="1">
      <x:c r="A479" s="17" t="n">
        <x:v>46344</x:v>
      </x:c>
      <x:c r="B479" s="2" t="str">
        <x:v>Positive-to-booked conversion</x:v>
      </x:c>
      <x:c r="C479" s="40" t="n">
        <x:v>0.5</x:v>
      </x:c>
      <x:c r="D479" s="2" t="str">
        <x:v>Rate</x:v>
      </x:c>
      <x:c r="E479" s="20"/>
      <x:c r="F479" s="20"/>
      <x:c r="G479" s="20"/>
      <x:c r="H479" s="40" t="str">
        <x:f>IF(D479="Rate",IF(COUNT(F479:G479)&lt;2,"",IF(G479=0,"n.a.",F479/G479)),IF(COUNT(E479)=0,"",E479))</x:f>
      </x:c>
      <x:c r="I479" s="40" t="str">
        <x:f>IF(AND(ISNUMBER(H479),ISNUMBER(C479)),H479-C479,"")</x:f>
      </x:c>
      <x:c r="J479" s="2" t="str">
        <x:v>%</x:v>
      </x:c>
      <x:c r="K479" s="2" t="str">
        <x:v>Nova</x:v>
      </x:c>
      <x:c r="L479" s="28" t="str"/>
      <x:c r="M479" s="20"/>
      <x:c r="N479" s="21"/>
      <x:c r="O479" s="26" t="str">
        <x:v>Unique email-positive opportunities booked / unique email-positive opportunities in the same reviewed cohort. Use a documented follow-up window. This differs from the all-channel 40-inquiry/20-booking planning assumption. A zero denominator is N/A.</x:v>
      </x:c>
      <x:c r="P479" s="26" t="str">
        <x:v>PDF §9</x:v>
      </x:c>
      <x:c r="Q479" s="2" t="n">
        <x:f>IF(ISNUMBER(H479),1,0)</x:f>
        <x:v>0</x:v>
      </x:c>
    </x:row>
    <x:row r="480" ht="46" customHeight="1">
      <x:c r="A480" s="17" t="n">
        <x:v>46344</x:v>
      </x:c>
      <x:c r="B480" s="2" t="str">
        <x:v>Existing-account referral asks</x:v>
      </x:c>
      <x:c r="C480" s="2" t="n">
        <x:v>31</x:v>
      </x:c>
      <x:c r="D480" s="2" t="str">
        <x:v>Cumulative total</x:v>
      </x:c>
      <x:c r="E480" s="20"/>
      <x:c r="F480" s="20"/>
      <x:c r="G480" s="20"/>
      <x:c r="H480" s="2" t="str">
        <x:f>IF(D480="Rate",IF(COUNT(F480:G480)&lt;2,"",IF(G480=0,"n.a.",F480/G480)),IF(COUNT(E480)=0,"",E480))</x:f>
      </x:c>
      <x:c r="I480" s="2" t="str">
        <x:f>IF(AND(ISNUMBER(H480),ISNUMBER(C480)),H480-C480,"")</x:f>
      </x:c>
      <x:c r="J480" s="2" t="str">
        <x:v>accounts asked</x:v>
      </x:c>
      <x:c r="K480" s="2" t="str">
        <x:v>Maseeha</x:v>
      </x:c>
      <x:c r="L480" s="28" t="str"/>
      <x:c r="M480" s="20"/>
      <x:c r="N480" s="21"/>
      <x:c r="O480" s="26" t="str">
        <x:v>Ask 25 unique A/B accounts (5 A and 20 B) by November 13; proposed pace 35 total by November 20; complete the remaining C accounts to reach 41 total by November 25. One introduction is the ask; asks and received intros are separate counts.</x:v>
      </x:c>
      <x:c r="P480" s="26" t="str">
        <x:v>PDF §16 supplies 25 A/B byNov 14 and 16 C byNov 25; Friday deadline and 35-byNov 20 pace are proposed scheduling allocations.</x:v>
      </x:c>
      <x:c r="Q480" s="2" t="n">
        <x:f>IF(ISNUMBER(H480),1,0)</x:f>
        <x:v>0</x:v>
      </x:c>
    </x:row>
    <x:row r="481" ht="46" customHeight="1">
      <x:c r="A481" s="17" t="n">
        <x:v>46344</x:v>
      </x:c>
      <x:c r="B481" s="2" t="str">
        <x:v>Approved SOPs</x:v>
      </x:c>
      <x:c r="C481" s="2"/>
      <x:c r="D481" s="2" t="str">
        <x:v>Cumulative total</x:v>
      </x:c>
      <x:c r="E481" s="20"/>
      <x:c r="F481" s="20"/>
      <x:c r="G481" s="20"/>
      <x:c r="H481" s="2" t="str">
        <x:f>IF(D481="Rate",IF(COUNT(F481:G481)&lt;2,"",IF(G481=0,"n.a.",F481/G481)),IF(COUNT(E481)=0,"",E481))</x:f>
      </x:c>
      <x:c r="I481" s="2" t="str">
        <x:f>IF(AND(ISNUMBER(H481),ISNUMBER(C481)),H481-C481,"")</x:f>
      </x:c>
      <x:c r="J481" s="2" t="str">
        <x:v>SOPs</x:v>
      </x:c>
      <x:c r="K481" s="2" t="str">
        <x:v>Wyline</x:v>
      </x:c>
      <x:c r="L481" s="28" t="str"/>
      <x:c r="M481" s="20"/>
      <x:c r="N481" s="21"/>
      <x:c r="O481" s="26" t="str">
        <x:v>10 core SOPs plus ADS-01 and SOC-01 additions; approved version and independent-run evidence required.</x:v>
      </x:c>
      <x:c r="P481" s="26" t="str">
        <x:v>PDF §8 with §§17 b–d additions</x:v>
      </x:c>
      <x:c r="Q481" s="2" t="n">
        <x:f>IF(ISNUMBER(H481),1,0)</x:f>
        <x:v>0</x:v>
      </x:c>
    </x:row>
    <x:row r="482" ht="46" customHeight="1">
      <x:c r="A482" s="17" t="n">
        <x:v>46344</x:v>
      </x:c>
      <x:c r="B482" s="2" t="str">
        <x:v>Accepted AI agents</x:v>
      </x:c>
      <x:c r="C482" s="2"/>
      <x:c r="D482" s="2" t="str">
        <x:v>Cumulative total</x:v>
      </x:c>
      <x:c r="E482" s="20"/>
      <x:c r="F482" s="20"/>
      <x:c r="G482" s="20"/>
      <x:c r="H482" s="2" t="str">
        <x:f>IF(D482="Rate",IF(COUNT(F482:G482)&lt;2,"",IF(G482=0,"n.a.",F482/G482)),IF(COUNT(E482)=0,"",E482))</x:f>
      </x:c>
      <x:c r="I482" s="2" t="str">
        <x:f>IF(AND(ISNUMBER(H482),ISNUMBER(C482)),H482-C482,"")</x:f>
      </x:c>
      <x:c r="J482" s="2" t="str">
        <x:v>agents</x:v>
      </x:c>
      <x:c r="K482" s="2" t="str">
        <x:v>Emman</x:v>
      </x:c>
      <x:c r="L482" s="28" t="str"/>
      <x:c r="M482" s="20"/>
      <x:c r="N482" s="21"/>
      <x:c r="O482" s="26" t="str">
        <x:v>Scout, Writer, Inbox, Phone Assist, LinkedIn Assist, Follow-up, Scoreboard and Client Reporter; acceptance evidence required.</x:v>
      </x:c>
      <x:c r="P482" s="26" t="str">
        <x:v>PDF §7</x:v>
      </x:c>
      <x:c r="Q482" s="2" t="n">
        <x:f>IF(ISNUMBER(H482),1,0)</x:f>
        <x:v>0</x:v>
      </x:c>
    </x:row>
    <x:row r="483" ht="46" customHeight="1">
      <x:c r="A483" s="17" t="n">
        <x:v>46345</x:v>
      </x:c>
      <x:c r="B483" s="2" t="str">
        <x:v>Qualified inquiries</x:v>
      </x:c>
      <x:c r="C483" s="2" t="n">
        <x:v>14</x:v>
      </x:c>
      <x:c r="D483" s="2" t="str">
        <x:v>Cumulative total</x:v>
      </x:c>
      <x:c r="E483" s="20"/>
      <x:c r="F483" s="20"/>
      <x:c r="G483" s="20"/>
      <x:c r="H483" s="2" t="str">
        <x:f>IF(D483="Rate",IF(COUNT(F483:G483)&lt;2,"",IF(G483=0,"n.a.",F483/G483)),IF(COUNT(E483)=0,"",E483))</x:f>
      </x:c>
      <x:c r="I483" s="2" t="str">
        <x:f>IF(AND(ISNUMBER(H483),ISNUMBER(C483)),H483-C483,"")</x:f>
      </x:c>
      <x:c r="J483" s="2" t="str">
        <x:v>inquiries</x:v>
      </x:c>
      <x:c r="K483" s="2" t="str">
        <x:v>Nova</x:v>
      </x:c>
      <x:c r="L483" s="28" t="str"/>
      <x:c r="M483" s="20"/>
      <x:c r="N483" s="21"/>
      <x:c r="O483" s="26" t="str">
        <x:v>Unique ICP-matched practices that express relevant interest, need or timing; Nova records practice type, decision-maker access, case volume, service need and readiness within 30–60 days. Raw records, opens and connection accepts do not qualify.</x:v>
      </x:c>
      <x:c r="P483" s="26" t="str">
        <x:v>Original proposal pages 2 and 4 define qualification; 40 by Dec 16 and intermediate pace are newly proposed recovery targets.</x:v>
      </x:c>
      <x:c r="Q483" s="2" t="n">
        <x:f>IF(ISNUMBER(H483),1,0)</x:f>
        <x:v>0</x:v>
      </x:c>
    </x:row>
    <x:row r="484" ht="46" customHeight="1">
      <x:c r="A484" s="17" t="n">
        <x:v>46345</x:v>
      </x:c>
      <x:c r="B484" s="2" t="str">
        <x:v>Qualified conversations booked</x:v>
      </x:c>
      <x:c r="C484" s="2" t="n">
        <x:v>7</x:v>
      </x:c>
      <x:c r="D484" s="2" t="str">
        <x:v>Cumulative total</x:v>
      </x:c>
      <x:c r="E484" s="20"/>
      <x:c r="F484" s="20"/>
      <x:c r="G484" s="20"/>
      <x:c r="H484" s="2" t="str">
        <x:f>IF(D484="Rate",IF(COUNT(F484:G484)&lt;2,"",IF(G484=0,"n.a.",F484/G484)),IF(COUNT(E484)=0,"",E484))</x:f>
      </x:c>
      <x:c r="I484" s="2" t="str">
        <x:f>IF(AND(ISNUMBER(H484),ISNUMBER(C484)),H484-C484,"")</x:f>
      </x:c>
      <x:c r="J484" s="2" t="str">
        <x:v>bookings</x:v>
      </x:c>
      <x:c r="K484" s="2" t="str">
        <x:v>Nova</x:v>
      </x:c>
      <x:c r="L484" s="28" t="str"/>
      <x:c r="M484" s="20"/>
      <x:c r="N484" s="21"/>
      <x:c r="O484" s="26" t="str">
        <x:v>Unique qualified calls/visits booked with Nic; rebooking same opportunity is not a new booking.</x:v>
      </x:c>
      <x:c r="P484" s="26" t="str">
        <x:v>PDF §10; final deadline advanced to user Dec 16</x:v>
      </x:c>
      <x:c r="Q484" s="2" t="n">
        <x:f>IF(ISNUMBER(H484),1,0)</x:f>
        <x:v>0</x:v>
      </x:c>
    </x:row>
    <x:row r="485" ht="46" customHeight="1">
      <x:c r="A485" s="17" t="n">
        <x:v>46345</x:v>
      </x:c>
      <x:c r="B485" s="2" t="str">
        <x:v>Qualified conversations held</x:v>
      </x:c>
      <x:c r="C485" s="2" t="n">
        <x:v>5</x:v>
      </x:c>
      <x:c r="D485" s="2" t="str">
        <x:v>Cumulative total</x:v>
      </x:c>
      <x:c r="E485" s="20"/>
      <x:c r="F485" s="20"/>
      <x:c r="G485" s="20"/>
      <x:c r="H485" s="2" t="str">
        <x:f>IF(D485="Rate",IF(COUNT(F485:G485)&lt;2,"",IF(G485=0,"n.a.",F485/G485)),IF(COUNT(E485)=0,"",E485))</x:f>
      </x:c>
      <x:c r="I485" s="2" t="str">
        <x:f>IF(AND(ISNUMBER(H485),ISNUMBER(C485)),H485-C485,"")</x:f>
      </x:c>
      <x:c r="J485" s="2" t="str">
        <x:v>held</x:v>
      </x:c>
      <x:c r="K485" s="2" t="str">
        <x:v>Nova</x:v>
      </x:c>
      <x:c r="L485" s="28" t="str"/>
      <x:c r="M485" s="20"/>
      <x:c r="N485" s="21"/>
      <x:c r="O485" s="26" t="str">
        <x:v>Completed qualified calls/visits; 6 and 15 are integer planning proxies for 70% of 8 and 75% of 20.</x:v>
      </x:c>
      <x:c r="P485" s="26" t="str">
        <x:v>Derived from source held-rate targets</x:v>
      </x:c>
      <x:c r="Q485" s="2" t="n">
        <x:f>IF(ISNUMBER(H485),1,0)</x:f>
        <x:v>0</x:v>
      </x:c>
    </x:row>
    <x:row r="486" ht="46" customHeight="1">
      <x:c r="A486" s="17" t="n">
        <x:v>46345</x:v>
      </x:c>
      <x:c r="B486" s="2" t="str">
        <x:v>Trial cases received by DSI</x:v>
      </x:c>
      <x:c r="C486" s="2" t="n">
        <x:v>1</x:v>
      </x:c>
      <x:c r="D486" s="2" t="str">
        <x:v>Cumulative total</x:v>
      </x:c>
      <x:c r="E486" s="20"/>
      <x:c r="F486" s="20"/>
      <x:c r="G486" s="20"/>
      <x:c r="H486" s="2" t="str">
        <x:f>IF(D486="Rate",IF(COUNT(F486:G486)&lt;2,"",IF(G486=0,"n.a.",F486/G486)),IF(COUNT(E486)=0,"",E486))</x:f>
      </x:c>
      <x:c r="I486" s="2" t="str">
        <x:f>IF(AND(ISNUMBER(H486),ISNUMBER(C486)),H486-C486,"")</x:f>
      </x:c>
      <x:c r="J486" s="2" t="str">
        <x:v>trials</x:v>
      </x:c>
      <x:c r="K486" s="2" t="str">
        <x:v>Maseeha</x:v>
      </x:c>
      <x:c r="L486" s="28" t="str"/>
      <x:c r="M486" s="20"/>
      <x:c r="N486" s="21"/>
      <x:c r="O486" s="26" t="str">
        <x:v>Practice’s first trial case received by DSI, not merely promised or shipped; subject to Maseeha capacity.</x:v>
      </x:c>
      <x:c r="P486" s="26" t="str">
        <x:v>PDF §10; final deadline advanced to user Dec 16</x:v>
      </x:c>
      <x:c r="Q486" s="2" t="n">
        <x:f>IF(ISNUMBER(H486),1,0)</x:f>
        <x:v>0</x:v>
      </x:c>
    </x:row>
    <x:row r="487" ht="46" customHeight="1">
      <x:c r="A487" s="17" t="n">
        <x:v>46345</x:v>
      </x:c>
      <x:c r="B487" s="2" t="str">
        <x:v>Recurring accounts signed</x:v>
      </x:c>
      <x:c r="C487" s="2"/>
      <x:c r="D487" s="2" t="str">
        <x:v>Cumulative total</x:v>
      </x:c>
      <x:c r="E487" s="20"/>
      <x:c r="F487" s="20"/>
      <x:c r="G487" s="20"/>
      <x:c r="H487" s="2" t="str">
        <x:f>IF(D487="Rate",IF(COUNT(F487:G487)&lt;2,"",IF(G487=0,"n.a.",F487/G487)),IF(COUNT(E487)=0,"",E487))</x:f>
      </x:c>
      <x:c r="I487" s="2" t="str">
        <x:f>IF(AND(ISNUMBER(H487),ISNUMBER(C487)),H487-C487,"")</x:f>
      </x:c>
      <x:c r="J487" s="2" t="str">
        <x:v>accounts</x:v>
      </x:c>
      <x:c r="K487" s="2" t="str">
        <x:v>Nic</x:v>
      </x:c>
      <x:c r="L487" s="28" t="str"/>
      <x:c r="M487" s="20"/>
      <x:c r="N487" s="21"/>
      <x:c r="O487" s="26" t="str">
        <x:v>Plan signed following Day-30 review; only mature trial cohorts eligible. 1–3 is a conditional range.</x:v>
      </x:c>
      <x:c r="P487" s="26" t="str">
        <x:v>PDF §10</x:v>
      </x:c>
      <x:c r="Q487" s="2" t="n">
        <x:f>IF(ISNUMBER(H487),1,0)</x:f>
        <x:v>0</x:v>
      </x:c>
    </x:row>
    <x:row r="488" ht="46" customHeight="1">
      <x:c r="A488" s="17" t="n">
        <x:v>46345</x:v>
      </x:c>
      <x:c r="B488" s="2" t="str">
        <x:v>Referral-sourced bookings</x:v>
      </x:c>
      <x:c r="C488" s="2" t="n">
        <x:v>3</x:v>
      </x:c>
      <x:c r="D488" s="2" t="str">
        <x:v>Cumulative total</x:v>
      </x:c>
      <x:c r="E488" s="20"/>
      <x:c r="F488" s="20"/>
      <x:c r="G488" s="20"/>
      <x:c r="H488" s="2" t="str">
        <x:f>IF(D488="Rate",IF(COUNT(F488:G488)&lt;2,"",IF(G488=0,"n.a.",F488/G488)),IF(COUNT(E488)=0,"",E488))</x:f>
      </x:c>
      <x:c r="I488" s="2" t="str">
        <x:f>IF(AND(ISNUMBER(H488),ISNUMBER(C488)),H488-C488,"")</x:f>
      </x:c>
      <x:c r="J488" s="2" t="str">
        <x:v>bookings</x:v>
      </x:c>
      <x:c r="K488" s="2" t="str">
        <x:v>Nova</x:v>
      </x:c>
      <x:c r="L488" s="28" t="str"/>
      <x:c r="M488" s="20"/>
      <x:c r="N488" s="21"/>
      <x:c r="O488" s="26" t="str">
        <x:v>Subset of booked total with primary Source=Referral; never added on top of all-channel bookings.</x:v>
      </x:c>
      <x:c r="P488" s="26" t="str">
        <x:v>PDF §§10, 16</x:v>
      </x:c>
      <x:c r="Q488" s="2" t="n">
        <x:f>IF(ISNUMBER(H488),1,0)</x:f>
        <x:v>0</x:v>
      </x:c>
    </x:row>
    <x:row r="489" ht="46" customHeight="1">
      <x:c r="A489" s="17" t="n">
        <x:v>46345</x:v>
      </x:c>
      <x:c r="B489" s="2" t="str">
        <x:v>LinkedIn DM-sourced bookings</x:v>
      </x:c>
      <x:c r="C489" s="2" t="n">
        <x:v>2</x:v>
      </x:c>
      <x:c r="D489" s="2" t="str">
        <x:v>Cumulative total</x:v>
      </x:c>
      <x:c r="E489" s="20"/>
      <x:c r="F489" s="20"/>
      <x:c r="G489" s="20"/>
      <x:c r="H489" s="2" t="str">
        <x:f>IF(D489="Rate",IF(COUNT(F489:G489)&lt;2,"",IF(G489=0,"n.a.",F489/G489)),IF(COUNT(E489)=0,"",E489))</x:f>
      </x:c>
      <x:c r="I489" s="2" t="str">
        <x:f>IF(AND(ISNUMBER(H489),ISNUMBER(C489)),H489-C489,"")</x:f>
      </x:c>
      <x:c r="J489" s="2" t="str">
        <x:v>bookings</x:v>
      </x:c>
      <x:c r="K489" s="2" t="str">
        <x:v>Dexter</x:v>
      </x:c>
      <x:c r="L489" s="28" t="str"/>
      <x:c r="M489" s="20"/>
      <x:c r="N489" s="21"/>
      <x:c r="O489" s="26" t="str">
        <x:v>Subset of booked total with primary Source=LinkedIn DM; assists tracked separately.</x:v>
      </x:c>
      <x:c r="P489" s="26" t="str">
        <x:v>PDF §§10, 17 a</x:v>
      </x:c>
      <x:c r="Q489" s="2" t="n">
        <x:f>IF(ISNUMBER(H489),1,0)</x:f>
        <x:v>0</x:v>
      </x:c>
    </x:row>
    <x:row r="490" ht="46" customHeight="1">
      <x:c r="A490" s="17" t="n">
        <x:v>46345</x:v>
      </x:c>
      <x:c r="B490" s="2" t="str">
        <x:v>Verified contacts ready</x:v>
      </x:c>
      <x:c r="C490" s="2" t="n">
        <x:v>500</x:v>
      </x:c>
      <x:c r="D490" s="2" t="str">
        <x:v>Cumulative total</x:v>
      </x:c>
      <x:c r="E490" s="20"/>
      <x:c r="F490" s="20"/>
      <x:c r="G490" s="20"/>
      <x:c r="H490" s="2" t="str">
        <x:f>IF(D490="Rate",IF(COUNT(F490:G490)&lt;2,"",IF(G490=0,"n.a.",F490/G490)),IF(COUNT(E490)=0,"",E490))</x:f>
      </x:c>
      <x:c r="I490" s="2" t="str">
        <x:f>IF(AND(ISNUMBER(H490),ISNUMBER(C490)),H490-C490,"")</x:f>
      </x:c>
      <x:c r="J490" s="2" t="str">
        <x:v>contacts</x:v>
      </x:c>
      <x:c r="K490" s="2" t="str">
        <x:v>Joey</x:v>
      </x:c>
      <x:c r="L490" s="28" t="str"/>
      <x:c r="M490" s="20"/>
      <x:c r="N490" s="21"/>
      <x:c r="O490" s="26" t="str">
        <x:v>Unique contacts passing Scout and loaded in CQL; count once per contact.</x:v>
      </x:c>
      <x:c r="P490" s="26" t="str">
        <x:v>PDF §§10, 14; 750 due Dec 12 moved to Fri Dec 11</x:v>
      </x:c>
      <x:c r="Q490" s="2" t="n">
        <x:f>IF(ISNUMBER(H490),1,0)</x:f>
        <x:v>0</x:v>
      </x:c>
    </x:row>
    <x:row r="491" ht="46" customHeight="1">
      <x:c r="A491" s="17" t="n">
        <x:v>46345</x:v>
      </x:c>
      <x:c r="B491" s="2" t="str">
        <x:v>Permission-based referral introductions</x:v>
      </x:c>
      <x:c r="C491" s="2" t="n">
        <x:v>7</x:v>
      </x:c>
      <x:c r="D491" s="2" t="str">
        <x:v>Cumulative total</x:v>
      </x:c>
      <x:c r="E491" s="20"/>
      <x:c r="F491" s="20"/>
      <x:c r="G491" s="20"/>
      <x:c r="H491" s="2" t="str">
        <x:f>IF(D491="Rate",IF(COUNT(F491:G491)&lt;2,"",IF(G491=0,"n.a.",F491/G491)),IF(COUNT(E491)=0,"",E491))</x:f>
      </x:c>
      <x:c r="I491" s="2" t="str">
        <x:f>IF(AND(ISNUMBER(H491),ISNUMBER(C491)),H491-C491,"")</x:f>
      </x:c>
      <x:c r="J491" s="2" t="str">
        <x:v>introductions</x:v>
      </x:c>
      <x:c r="K491" s="2" t="str">
        <x:v>Maseeha</x:v>
      </x:c>
      <x:c r="L491" s="28" t="str"/>
      <x:c r="M491" s="20"/>
      <x:c r="N491" s="21"/>
      <x:c r="O491" s="26" t="str">
        <x:v>Unique introductions with consent and referrer recorded, verified by Maseeha within 2 business days.</x:v>
      </x:c>
      <x:c r="P491" s="26" t="str">
        <x:v>PDF §§10, 16</x:v>
      </x:c>
      <x:c r="Q491" s="2" t="n">
        <x:f>IF(ISNUMBER(H491),1,0)</x:f>
        <x:v>0</x:v>
      </x:c>
    </x:row>
    <x:row r="492" ht="46" customHeight="1">
      <x:c r="A492" s="17" t="n">
        <x:v>46345</x:v>
      </x:c>
      <x:c r="B492" s="2" t="str">
        <x:v>Human reply rate</x:v>
      </x:c>
      <x:c r="C492" s="40" t="n">
        <x:v>0.02</x:v>
      </x:c>
      <x:c r="D492" s="2" t="str">
        <x:v>Rate</x:v>
      </x:c>
      <x:c r="E492" s="20"/>
      <x:c r="F492" s="20"/>
      <x:c r="G492" s="20"/>
      <x:c r="H492" s="40" t="str">
        <x:f>IF(D492="Rate",IF(COUNT(F492:G492)&lt;2,"",IF(G492=0,"n.a.",F492/G492)),IF(COUNT(E492)=0,"",E492))</x:f>
      </x:c>
      <x:c r="I492" s="40" t="str">
        <x:f>IF(AND(ISNUMBER(H492),ISNUMBER(C492)),H492-C492,"")</x:f>
      </x:c>
      <x:c r="J492" s="2" t="str">
        <x:v>%</x:v>
      </x:c>
      <x:c r="K492" s="2" t="str">
        <x:v>Kenneth</x:v>
      </x:c>
      <x:c r="L492" s="28" t="str"/>
      <x:c r="M492" s="20"/>
      <x:c r="N492" s="21"/>
      <x:c r="O492" s="26" t="str">
        <x:v>Unique emailed contacts that give a qualifying human reply / unique contacts emailed in the same send cohort. Exclude OOO, auto-replies, bounces and unsubscribe-only replies. Deduplicate contacts across sequence steps; zero denominator is N/A.</x:v>
      </x:c>
      <x:c r="P492" s="26" t="str">
        <x:v>PDF §10</x:v>
      </x:c>
      <x:c r="Q492" s="2" t="n">
        <x:f>IF(ISNUMBER(H492),1,0)</x:f>
        <x:v>0</x:v>
      </x:c>
    </x:row>
    <x:row r="493" ht="46" customHeight="1">
      <x:c r="A493" s="17" t="n">
        <x:v>46345</x:v>
      </x:c>
      <x:c r="B493" s="2" t="str">
        <x:v>Positive reply rate</x:v>
      </x:c>
      <x:c r="C493" s="40" t="n">
        <x:v>0.01</x:v>
      </x:c>
      <x:c r="D493" s="2" t="str">
        <x:v>Rate</x:v>
      </x:c>
      <x:c r="E493" s="20"/>
      <x:c r="F493" s="20"/>
      <x:c r="G493" s="20"/>
      <x:c r="H493" s="40" t="str">
        <x:f>IF(D493="Rate",IF(COUNT(F493:G493)&lt;2,"",IF(G493=0,"n.a.",F493/G493)),IF(COUNT(E493)=0,"",E493))</x:f>
      </x:c>
      <x:c r="I493" s="40" t="str">
        <x:f>IF(AND(ISNUMBER(H493),ISNUMBER(C493)),H493-C493,"")</x:f>
      </x:c>
      <x:c r="J493" s="2" t="str">
        <x:v>%</x:v>
      </x:c>
      <x:c r="K493" s="2" t="str">
        <x:v>Kenneth</x:v>
      </x:c>
      <x:c r="L493" s="28" t="str"/>
      <x:c r="M493" s="20"/>
      <x:c r="N493" s="21"/>
      <x:c r="O493" s="26" t="str">
        <x:v>Unique emailed contacts classified interested or relevant question / unique contacts emailed in the same send cohort. Deduplicate across sequence steps; zero denominator is N/A. Keep this email rate separate from all-channel qualified inquiries.</x:v>
      </x:c>
      <x:c r="P493" s="26" t="str">
        <x:v>PDF §10</x:v>
      </x:c>
      <x:c r="Q493" s="2" t="n">
        <x:f>IF(ISNUMBER(H493),1,0)</x:f>
        <x:v>0</x:v>
      </x:c>
    </x:row>
    <x:row r="494" ht="46" customHeight="1">
      <x:c r="A494" s="17" t="n">
        <x:v>46345</x:v>
      </x:c>
      <x:c r="B494" s="2" t="str">
        <x:v>Replies answered within 15 minutes</x:v>
      </x:c>
      <x:c r="C494" s="40" t="n">
        <x:v>1</x:v>
      </x:c>
      <x:c r="D494" s="2" t="str">
        <x:v>Rate</x:v>
      </x:c>
      <x:c r="E494" s="20"/>
      <x:c r="F494" s="20"/>
      <x:c r="G494" s="20"/>
      <x:c r="H494" s="40" t="str">
        <x:f>IF(D494="Rate",IF(COUNT(F494:G494)&lt;2,"",IF(G494=0,"n.a.",F494/G494)),IF(COUNT(E494)=0,"",E494))</x:f>
      </x:c>
      <x:c r="I494" s="40" t="str">
        <x:f>IF(AND(ISNUMBER(H494),ISNUMBER(C494)),H494-C494,"")</x:f>
      </x:c>
      <x:c r="J494" s="2" t="str">
        <x:v>%</x:v>
      </x:c>
      <x:c r="K494" s="2" t="str">
        <x:v>Nova</x:v>
      </x:c>
      <x:c r="L494" s="28" t="str"/>
      <x:c r="M494" s="20"/>
      <x:c r="N494" s="21"/>
      <x:c r="O494"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494" s="26" t="str">
        <x:v>PDF §9; clock convention clarified for tracker</x:v>
      </x:c>
      <x:c r="Q494" s="2" t="n">
        <x:f>IF(ISNUMBER(H494),1,0)</x:f>
        <x:v>0</x:v>
      </x:c>
    </x:row>
    <x:row r="495" ht="46" customHeight="1">
      <x:c r="A495" s="17" t="n">
        <x:v>46345</x:v>
      </x:c>
      <x:c r="B495" s="2" t="str">
        <x:v>Held rate</x:v>
      </x:c>
      <x:c r="C495" s="40" t="n">
        <x:v>0.7</x:v>
      </x:c>
      <x:c r="D495" s="2" t="str">
        <x:v>Rate</x:v>
      </x:c>
      <x:c r="E495" s="20"/>
      <x:c r="F495" s="20"/>
      <x:c r="G495" s="20"/>
      <x:c r="H495" s="40" t="str">
        <x:f>IF(D495="Rate",IF(COUNT(F495:G495)&lt;2,"",IF(G495=0,"n.a.",F495/G495)),IF(COUNT(E495)=0,"",E495))</x:f>
      </x:c>
      <x:c r="I495" s="40" t="str">
        <x:f>IF(AND(ISNUMBER(H495),ISNUMBER(C495)),H495-C495,"")</x:f>
      </x:c>
      <x:c r="J495" s="2" t="str">
        <x:v>%</x:v>
      </x:c>
      <x:c r="K495" s="2" t="str">
        <x:v>Nova</x:v>
      </x:c>
      <x:c r="L495" s="28" t="str"/>
      <x:c r="M495" s="20"/>
      <x:c r="N495" s="21"/>
      <x:c r="O495" s="26" t="str">
        <x:v>Qualified conversations actually held / unique booked conversations whose scheduled time has passed. Exclude upcoming appointments. Rebooking the same opportunity is not a second booking. A zero denominator is N/A.</x:v>
      </x:c>
      <x:c r="P495" s="26" t="str">
        <x:v>PDF §10; due-cohort denominator clarified</x:v>
      </x:c>
      <x:c r="Q495" s="2" t="n">
        <x:f>IF(ISNUMBER(H495),1,0)</x:f>
        <x:v>0</x:v>
      </x:c>
    </x:row>
    <x:row r="496" ht="46" customHeight="1">
      <x:c r="A496" s="17" t="n">
        <x:v>46345</x:v>
      </x:c>
      <x:c r="B496" s="2" t="str">
        <x:v>Positive-to-booked conversion</x:v>
      </x:c>
      <x:c r="C496" s="40" t="n">
        <x:v>0.5</x:v>
      </x:c>
      <x:c r="D496" s="2" t="str">
        <x:v>Rate</x:v>
      </x:c>
      <x:c r="E496" s="20"/>
      <x:c r="F496" s="20"/>
      <x:c r="G496" s="20"/>
      <x:c r="H496" s="40" t="str">
        <x:f>IF(D496="Rate",IF(COUNT(F496:G496)&lt;2,"",IF(G496=0,"n.a.",F496/G496)),IF(COUNT(E496)=0,"",E496))</x:f>
      </x:c>
      <x:c r="I496" s="40" t="str">
        <x:f>IF(AND(ISNUMBER(H496),ISNUMBER(C496)),H496-C496,"")</x:f>
      </x:c>
      <x:c r="J496" s="2" t="str">
        <x:v>%</x:v>
      </x:c>
      <x:c r="K496" s="2" t="str">
        <x:v>Nova</x:v>
      </x:c>
      <x:c r="L496" s="28" t="str"/>
      <x:c r="M496" s="20"/>
      <x:c r="N496" s="21"/>
      <x:c r="O496" s="26" t="str">
        <x:v>Unique email-positive opportunities booked / unique email-positive opportunities in the same reviewed cohort. Use a documented follow-up window. This differs from the all-channel 40-inquiry/20-booking planning assumption. A zero denominator is N/A.</x:v>
      </x:c>
      <x:c r="P496" s="26" t="str">
        <x:v>PDF §9</x:v>
      </x:c>
      <x:c r="Q496" s="2" t="n">
        <x:f>IF(ISNUMBER(H496),1,0)</x:f>
        <x:v>0</x:v>
      </x:c>
    </x:row>
    <x:row r="497" ht="46" customHeight="1">
      <x:c r="A497" s="17" t="n">
        <x:v>46345</x:v>
      </x:c>
      <x:c r="B497" s="2" t="str">
        <x:v>Existing-account referral asks</x:v>
      </x:c>
      <x:c r="C497" s="2" t="n">
        <x:v>33</x:v>
      </x:c>
      <x:c r="D497" s="2" t="str">
        <x:v>Cumulative total</x:v>
      </x:c>
      <x:c r="E497" s="20"/>
      <x:c r="F497" s="20"/>
      <x:c r="G497" s="20"/>
      <x:c r="H497" s="2" t="str">
        <x:f>IF(D497="Rate",IF(COUNT(F497:G497)&lt;2,"",IF(G497=0,"n.a.",F497/G497)),IF(COUNT(E497)=0,"",E497))</x:f>
      </x:c>
      <x:c r="I497" s="2" t="str">
        <x:f>IF(AND(ISNUMBER(H497),ISNUMBER(C497)),H497-C497,"")</x:f>
      </x:c>
      <x:c r="J497" s="2" t="str">
        <x:v>accounts asked</x:v>
      </x:c>
      <x:c r="K497" s="2" t="str">
        <x:v>Maseeha</x:v>
      </x:c>
      <x:c r="L497" s="28" t="str"/>
      <x:c r="M497" s="20"/>
      <x:c r="N497" s="21"/>
      <x:c r="O497" s="26" t="str">
        <x:v>Ask 25 unique A/B accounts (5 A and 20 B) by November 13; proposed pace 35 total by November 20; complete the remaining C accounts to reach 41 total by November 25. One introduction is the ask; asks and received intros are separate counts.</x:v>
      </x:c>
      <x:c r="P497" s="26" t="str">
        <x:v>PDF §16 supplies 25 A/B byNov 14 and 16 C byNov 25; Friday deadline and 35-byNov 20 pace are proposed scheduling allocations.</x:v>
      </x:c>
      <x:c r="Q497" s="2" t="n">
        <x:f>IF(ISNUMBER(H497),1,0)</x:f>
        <x:v>0</x:v>
      </x:c>
    </x:row>
    <x:row r="498" ht="46" customHeight="1">
      <x:c r="A498" s="17" t="n">
        <x:v>46345</x:v>
      </x:c>
      <x:c r="B498" s="2" t="str">
        <x:v>Approved SOPs</x:v>
      </x:c>
      <x:c r="C498" s="2"/>
      <x:c r="D498" s="2" t="str">
        <x:v>Cumulative total</x:v>
      </x:c>
      <x:c r="E498" s="20"/>
      <x:c r="F498" s="20"/>
      <x:c r="G498" s="20"/>
      <x:c r="H498" s="2" t="str">
        <x:f>IF(D498="Rate",IF(COUNT(F498:G498)&lt;2,"",IF(G498=0,"n.a.",F498/G498)),IF(COUNT(E498)=0,"",E498))</x:f>
      </x:c>
      <x:c r="I498" s="2" t="str">
        <x:f>IF(AND(ISNUMBER(H498),ISNUMBER(C498)),H498-C498,"")</x:f>
      </x:c>
      <x:c r="J498" s="2" t="str">
        <x:v>SOPs</x:v>
      </x:c>
      <x:c r="K498" s="2" t="str">
        <x:v>Wyline</x:v>
      </x:c>
      <x:c r="L498" s="28" t="str"/>
      <x:c r="M498" s="20"/>
      <x:c r="N498" s="21"/>
      <x:c r="O498" s="26" t="str">
        <x:v>10 core SOPs plus ADS-01 and SOC-01 additions; approved version and independent-run evidence required.</x:v>
      </x:c>
      <x:c r="P498" s="26" t="str">
        <x:v>PDF §8 with §§17 b–d additions</x:v>
      </x:c>
      <x:c r="Q498" s="2" t="n">
        <x:f>IF(ISNUMBER(H498),1,0)</x:f>
        <x:v>0</x:v>
      </x:c>
    </x:row>
    <x:row r="499" ht="46" customHeight="1">
      <x:c r="A499" s="17" t="n">
        <x:v>46345</x:v>
      </x:c>
      <x:c r="B499" s="2" t="str">
        <x:v>Accepted AI agents</x:v>
      </x:c>
      <x:c r="C499" s="2"/>
      <x:c r="D499" s="2" t="str">
        <x:v>Cumulative total</x:v>
      </x:c>
      <x:c r="E499" s="20"/>
      <x:c r="F499" s="20"/>
      <x:c r="G499" s="20"/>
      <x:c r="H499" s="2" t="str">
        <x:f>IF(D499="Rate",IF(COUNT(F499:G499)&lt;2,"",IF(G499=0,"n.a.",F499/G499)),IF(COUNT(E499)=0,"",E499))</x:f>
      </x:c>
      <x:c r="I499" s="2" t="str">
        <x:f>IF(AND(ISNUMBER(H499),ISNUMBER(C499)),H499-C499,"")</x:f>
      </x:c>
      <x:c r="J499" s="2" t="str">
        <x:v>agents</x:v>
      </x:c>
      <x:c r="K499" s="2" t="str">
        <x:v>Emman</x:v>
      </x:c>
      <x:c r="L499" s="28" t="str"/>
      <x:c r="M499" s="20"/>
      <x:c r="N499" s="21"/>
      <x:c r="O499" s="26" t="str">
        <x:v>Scout, Writer, Inbox, Phone Assist, LinkedIn Assist, Follow-up, Scoreboard and Client Reporter; acceptance evidence required.</x:v>
      </x:c>
      <x:c r="P499" s="26" t="str">
        <x:v>PDF §7</x:v>
      </x:c>
      <x:c r="Q499" s="2" t="n">
        <x:f>IF(ISNUMBER(H499),1,0)</x:f>
        <x:v>0</x:v>
      </x:c>
    </x:row>
    <x:row r="500" ht="46" customHeight="1">
      <x:c r="A500" s="17" t="n">
        <x:v>46346</x:v>
      </x:c>
      <x:c r="B500" s="2" t="str">
        <x:v>Qualified inquiries</x:v>
      </x:c>
      <x:c r="C500" s="2" t="n">
        <x:v>16</x:v>
      </x:c>
      <x:c r="D500" s="2" t="str">
        <x:v>Cumulative total</x:v>
      </x:c>
      <x:c r="E500" s="20"/>
      <x:c r="F500" s="20"/>
      <x:c r="G500" s="20"/>
      <x:c r="H500" s="2" t="str">
        <x:f>IF(D500="Rate",IF(COUNT(F500:G500)&lt;2,"",IF(G500=0,"n.a.",F500/G500)),IF(COUNT(E500)=0,"",E500))</x:f>
      </x:c>
      <x:c r="I500" s="2" t="str">
        <x:f>IF(AND(ISNUMBER(H500),ISNUMBER(C500)),H500-C500,"")</x:f>
      </x:c>
      <x:c r="J500" s="2" t="str">
        <x:v>inquiries</x:v>
      </x:c>
      <x:c r="K500" s="2" t="str">
        <x:v>Nova</x:v>
      </x:c>
      <x:c r="L500" s="28" t="str"/>
      <x:c r="M500" s="20"/>
      <x:c r="N500" s="21"/>
      <x:c r="O500" s="26" t="str">
        <x:v>Unique ICP-matched practices that express relevant interest, need or timing; Nova records practice type, decision-maker access, case volume, service need and readiness within 30–60 days. Raw records, opens and connection accepts do not qualify.</x:v>
      </x:c>
      <x:c r="P500" s="26" t="str">
        <x:v>Original proposal pages 2 and 4 define qualification; 40 by Dec 16 and intermediate pace are newly proposed recovery targets.</x:v>
      </x:c>
      <x:c r="Q500" s="2" t="n">
        <x:f>IF(ISNUMBER(H500),1,0)</x:f>
        <x:v>0</x:v>
      </x:c>
    </x:row>
    <x:row r="501" ht="46" customHeight="1">
      <x:c r="A501" s="17" t="n">
        <x:v>46346</x:v>
      </x:c>
      <x:c r="B501" s="2" t="str">
        <x:v>Qualified conversations booked</x:v>
      </x:c>
      <x:c r="C501" s="2" t="n">
        <x:v>8</x:v>
      </x:c>
      <x:c r="D501" s="2" t="str">
        <x:v>Cumulative total</x:v>
      </x:c>
      <x:c r="E501" s="20"/>
      <x:c r="F501" s="20"/>
      <x:c r="G501" s="20"/>
      <x:c r="H501" s="2" t="str">
        <x:f>IF(D501="Rate",IF(COUNT(F501:G501)&lt;2,"",IF(G501=0,"n.a.",F501/G501)),IF(COUNT(E501)=0,"",E501))</x:f>
      </x:c>
      <x:c r="I501" s="2" t="str">
        <x:f>IF(AND(ISNUMBER(H501),ISNUMBER(C501)),H501-C501,"")</x:f>
      </x:c>
      <x:c r="J501" s="2" t="str">
        <x:v>bookings</x:v>
      </x:c>
      <x:c r="K501" s="2" t="str">
        <x:v>Nova</x:v>
      </x:c>
      <x:c r="L501" s="28" t="str"/>
      <x:c r="M501" s="20"/>
      <x:c r="N501" s="21"/>
      <x:c r="O501" s="26" t="str">
        <x:v>Unique qualified calls/visits booked with Nic; rebooking same opportunity is not a new booking.</x:v>
      </x:c>
      <x:c r="P501" s="26" t="str">
        <x:v>PDF §10; final deadline advanced to user Dec 16</x:v>
      </x:c>
      <x:c r="Q501" s="2" t="n">
        <x:f>IF(ISNUMBER(H501),1,0)</x:f>
        <x:v>0</x:v>
      </x:c>
    </x:row>
    <x:row r="502" ht="46" customHeight="1">
      <x:c r="A502" s="17" t="n">
        <x:v>46346</x:v>
      </x:c>
      <x:c r="B502" s="2" t="str">
        <x:v>Qualified conversations held</x:v>
      </x:c>
      <x:c r="C502" s="2" t="n">
        <x:v>6</x:v>
      </x:c>
      <x:c r="D502" s="2" t="str">
        <x:v>Cumulative total</x:v>
      </x:c>
      <x:c r="E502" s="20"/>
      <x:c r="F502" s="20"/>
      <x:c r="G502" s="20"/>
      <x:c r="H502" s="2" t="str">
        <x:f>IF(D502="Rate",IF(COUNT(F502:G502)&lt;2,"",IF(G502=0,"n.a.",F502/G502)),IF(COUNT(E502)=0,"",E502))</x:f>
      </x:c>
      <x:c r="I502" s="2" t="str">
        <x:f>IF(AND(ISNUMBER(H502),ISNUMBER(C502)),H502-C502,"")</x:f>
      </x:c>
      <x:c r="J502" s="2" t="str">
        <x:v>held</x:v>
      </x:c>
      <x:c r="K502" s="2" t="str">
        <x:v>Nova</x:v>
      </x:c>
      <x:c r="L502" s="28" t="str"/>
      <x:c r="M502" s="20"/>
      <x:c r="N502" s="21"/>
      <x:c r="O502" s="26" t="str">
        <x:v>Completed qualified calls/visits; 6 and 15 are integer planning proxies for 70% of 8 and 75% of 20.</x:v>
      </x:c>
      <x:c r="P502" s="26" t="str">
        <x:v>Derived from source held-rate targets</x:v>
      </x:c>
      <x:c r="Q502" s="2" t="n">
        <x:f>IF(ISNUMBER(H502),1,0)</x:f>
        <x:v>0</x:v>
      </x:c>
    </x:row>
    <x:row r="503" ht="46" customHeight="1">
      <x:c r="A503" s="17" t="n">
        <x:v>46346</x:v>
      </x:c>
      <x:c r="B503" s="2" t="str">
        <x:v>Trial cases received by DSI</x:v>
      </x:c>
      <x:c r="C503" s="2" t="n">
        <x:v>2</x:v>
      </x:c>
      <x:c r="D503" s="2" t="str">
        <x:v>Cumulative total</x:v>
      </x:c>
      <x:c r="E503" s="20"/>
      <x:c r="F503" s="20"/>
      <x:c r="G503" s="20"/>
      <x:c r="H503" s="2" t="str">
        <x:f>IF(D503="Rate",IF(COUNT(F503:G503)&lt;2,"",IF(G503=0,"n.a.",F503/G503)),IF(COUNT(E503)=0,"",E503))</x:f>
      </x:c>
      <x:c r="I503" s="2" t="str">
        <x:f>IF(AND(ISNUMBER(H503),ISNUMBER(C503)),H503-C503,"")</x:f>
      </x:c>
      <x:c r="J503" s="2" t="str">
        <x:v>trials</x:v>
      </x:c>
      <x:c r="K503" s="2" t="str">
        <x:v>Maseeha</x:v>
      </x:c>
      <x:c r="L503" s="28" t="str"/>
      <x:c r="M503" s="20"/>
      <x:c r="N503" s="21"/>
      <x:c r="O503" s="26" t="str">
        <x:v>Practice’s first trial case received by DSI, not merely promised or shipped; subject to Maseeha capacity.</x:v>
      </x:c>
      <x:c r="P503" s="26" t="str">
        <x:v>PDF §10; final deadline advanced to user Dec 16</x:v>
      </x:c>
      <x:c r="Q503" s="2" t="n">
        <x:f>IF(ISNUMBER(H503),1,0)</x:f>
        <x:v>0</x:v>
      </x:c>
    </x:row>
    <x:row r="504" ht="46" customHeight="1">
      <x:c r="A504" s="17" t="n">
        <x:v>46346</x:v>
      </x:c>
      <x:c r="B504" s="2" t="str">
        <x:v>Recurring accounts signed</x:v>
      </x:c>
      <x:c r="C504" s="2" t="n">
        <x:v>0</x:v>
      </x:c>
      <x:c r="D504" s="2" t="str">
        <x:v>Cumulative total</x:v>
      </x:c>
      <x:c r="E504" s="20"/>
      <x:c r="F504" s="20"/>
      <x:c r="G504" s="20"/>
      <x:c r="H504" s="2" t="str">
        <x:f>IF(D504="Rate",IF(COUNT(F504:G504)&lt;2,"",IF(G504=0,"n.a.",F504/G504)),IF(COUNT(E504)=0,"",E504))</x:f>
      </x:c>
      <x:c r="I504" s="2" t="str">
        <x:f>IF(AND(ISNUMBER(H504),ISNUMBER(C504)),H504-C504,"")</x:f>
      </x:c>
      <x:c r="J504" s="2" t="str">
        <x:v>accounts</x:v>
      </x:c>
      <x:c r="K504" s="2" t="str">
        <x:v>Nic</x:v>
      </x:c>
      <x:c r="L504" s="28" t="str"/>
      <x:c r="M504" s="20"/>
      <x:c r="N504" s="21"/>
      <x:c r="O504" s="26" t="str">
        <x:v>Plan signed following Day-30 review; only mature trial cohorts eligible. 1–3 is a conditional range.</x:v>
      </x:c>
      <x:c r="P504" s="26" t="str">
        <x:v>PDF §10</x:v>
      </x:c>
      <x:c r="Q504" s="2" t="n">
        <x:f>IF(ISNUMBER(H504),1,0)</x:f>
        <x:v>0</x:v>
      </x:c>
    </x:row>
    <x:row r="505" ht="46" customHeight="1">
      <x:c r="A505" s="17" t="n">
        <x:v>46346</x:v>
      </x:c>
      <x:c r="B505" s="2" t="str">
        <x:v>Referral-sourced bookings</x:v>
      </x:c>
      <x:c r="C505" s="2" t="n">
        <x:v>4</x:v>
      </x:c>
      <x:c r="D505" s="2" t="str">
        <x:v>Cumulative total</x:v>
      </x:c>
      <x:c r="E505" s="20"/>
      <x:c r="F505" s="20"/>
      <x:c r="G505" s="20"/>
      <x:c r="H505" s="2" t="str">
        <x:f>IF(D505="Rate",IF(COUNT(F505:G505)&lt;2,"",IF(G505=0,"n.a.",F505/G505)),IF(COUNT(E505)=0,"",E505))</x:f>
      </x:c>
      <x:c r="I505" s="2" t="str">
        <x:f>IF(AND(ISNUMBER(H505),ISNUMBER(C505)),H505-C505,"")</x:f>
      </x:c>
      <x:c r="J505" s="2" t="str">
        <x:v>bookings</x:v>
      </x:c>
      <x:c r="K505" s="2" t="str">
        <x:v>Nova</x:v>
      </x:c>
      <x:c r="L505" s="28" t="str"/>
      <x:c r="M505" s="20"/>
      <x:c r="N505" s="21"/>
      <x:c r="O505" s="26" t="str">
        <x:v>Subset of booked total with primary Source=Referral; never added on top of all-channel bookings.</x:v>
      </x:c>
      <x:c r="P505" s="26" t="str">
        <x:v>PDF §§10, 16</x:v>
      </x:c>
      <x:c r="Q505" s="2" t="n">
        <x:f>IF(ISNUMBER(H505),1,0)</x:f>
        <x:v>0</x:v>
      </x:c>
    </x:row>
    <x:row r="506" ht="46" customHeight="1">
      <x:c r="A506" s="17" t="n">
        <x:v>46346</x:v>
      </x:c>
      <x:c r="B506" s="2" t="str">
        <x:v>LinkedIn DM-sourced bookings</x:v>
      </x:c>
      <x:c r="C506" s="2" t="n">
        <x:v>3</x:v>
      </x:c>
      <x:c r="D506" s="2" t="str">
        <x:v>Cumulative total</x:v>
      </x:c>
      <x:c r="E506" s="20"/>
      <x:c r="F506" s="20"/>
      <x:c r="G506" s="20"/>
      <x:c r="H506" s="2" t="str">
        <x:f>IF(D506="Rate",IF(COUNT(F506:G506)&lt;2,"",IF(G506=0,"n.a.",F506/G506)),IF(COUNT(E506)=0,"",E506))</x:f>
      </x:c>
      <x:c r="I506" s="2" t="str">
        <x:f>IF(AND(ISNUMBER(H506),ISNUMBER(C506)),H506-C506,"")</x:f>
      </x:c>
      <x:c r="J506" s="2" t="str">
        <x:v>bookings</x:v>
      </x:c>
      <x:c r="K506" s="2" t="str">
        <x:v>Dexter</x:v>
      </x:c>
      <x:c r="L506" s="28" t="str"/>
      <x:c r="M506" s="20"/>
      <x:c r="N506" s="21"/>
      <x:c r="O506" s="26" t="str">
        <x:v>Subset of booked total with primary Source=LinkedIn DM; assists tracked separately.</x:v>
      </x:c>
      <x:c r="P506" s="26" t="str">
        <x:v>PDF §§10, 17 a</x:v>
      </x:c>
      <x:c r="Q506" s="2" t="n">
        <x:f>IF(ISNUMBER(H506),1,0)</x:f>
        <x:v>0</x:v>
      </x:c>
    </x:row>
    <x:row r="507" ht="46" customHeight="1">
      <x:c r="A507" s="17" t="n">
        <x:v>46346</x:v>
      </x:c>
      <x:c r="B507" s="2" t="str">
        <x:v>Verified contacts ready</x:v>
      </x:c>
      <x:c r="C507" s="2" t="n">
        <x:v>500</x:v>
      </x:c>
      <x:c r="D507" s="2" t="str">
        <x:v>Cumulative total</x:v>
      </x:c>
      <x:c r="E507" s="20"/>
      <x:c r="F507" s="20"/>
      <x:c r="G507" s="20"/>
      <x:c r="H507" s="2" t="str">
        <x:f>IF(D507="Rate",IF(COUNT(F507:G507)&lt;2,"",IF(G507=0,"n.a.",F507/G507)),IF(COUNT(E507)=0,"",E507))</x:f>
      </x:c>
      <x:c r="I507" s="2" t="str">
        <x:f>IF(AND(ISNUMBER(H507),ISNUMBER(C507)),H507-C507,"")</x:f>
      </x:c>
      <x:c r="J507" s="2" t="str">
        <x:v>contacts</x:v>
      </x:c>
      <x:c r="K507" s="2" t="str">
        <x:v>Joey</x:v>
      </x:c>
      <x:c r="L507" s="28" t="str"/>
      <x:c r="M507" s="20"/>
      <x:c r="N507" s="21"/>
      <x:c r="O507" s="26" t="str">
        <x:v>Unique contacts passing Scout and loaded in CQL; count once per contact.</x:v>
      </x:c>
      <x:c r="P507" s="26" t="str">
        <x:v>PDF §§10, 14; 750 due Dec 12 moved to Fri Dec 11</x:v>
      </x:c>
      <x:c r="Q507" s="2" t="n">
        <x:f>IF(ISNUMBER(H507),1,0)</x:f>
        <x:v>0</x:v>
      </x:c>
    </x:row>
    <x:row r="508" ht="46" customHeight="1">
      <x:c r="A508" s="17" t="n">
        <x:v>46346</x:v>
      </x:c>
      <x:c r="B508" s="2" t="str">
        <x:v>Permission-based referral introductions</x:v>
      </x:c>
      <x:c r="C508" s="2" t="n">
        <x:v>8</x:v>
      </x:c>
      <x:c r="D508" s="2" t="str">
        <x:v>Cumulative total</x:v>
      </x:c>
      <x:c r="E508" s="20"/>
      <x:c r="F508" s="20"/>
      <x:c r="G508" s="20"/>
      <x:c r="H508" s="2" t="str">
        <x:f>IF(D508="Rate",IF(COUNT(F508:G508)&lt;2,"",IF(G508=0,"n.a.",F508/G508)),IF(COUNT(E508)=0,"",E508))</x:f>
      </x:c>
      <x:c r="I508" s="2" t="str">
        <x:f>IF(AND(ISNUMBER(H508),ISNUMBER(C508)),H508-C508,"")</x:f>
      </x:c>
      <x:c r="J508" s="2" t="str">
        <x:v>introductions</x:v>
      </x:c>
      <x:c r="K508" s="2" t="str">
        <x:v>Maseeha</x:v>
      </x:c>
      <x:c r="L508" s="28" t="str"/>
      <x:c r="M508" s="20"/>
      <x:c r="N508" s="21"/>
      <x:c r="O508" s="26" t="str">
        <x:v>Unique introductions with consent and referrer recorded, verified by Maseeha within 2 business days.</x:v>
      </x:c>
      <x:c r="P508" s="26" t="str">
        <x:v>PDF §§10, 16</x:v>
      </x:c>
      <x:c r="Q508" s="2" t="n">
        <x:f>IF(ISNUMBER(H508),1,0)</x:f>
        <x:v>0</x:v>
      </x:c>
    </x:row>
    <x:row r="509" ht="46" customHeight="1">
      <x:c r="A509" s="17" t="n">
        <x:v>46346</x:v>
      </x:c>
      <x:c r="B509" s="2" t="str">
        <x:v>Human reply rate</x:v>
      </x:c>
      <x:c r="C509" s="40" t="n">
        <x:v>0.02</x:v>
      </x:c>
      <x:c r="D509" s="2" t="str">
        <x:v>Rate</x:v>
      </x:c>
      <x:c r="E509" s="20"/>
      <x:c r="F509" s="20"/>
      <x:c r="G509" s="20"/>
      <x:c r="H509" s="40" t="str">
        <x:f>IF(D509="Rate",IF(COUNT(F509:G509)&lt;2,"",IF(G509=0,"n.a.",F509/G509)),IF(COUNT(E509)=0,"",E509))</x:f>
      </x:c>
      <x:c r="I509" s="40" t="str">
        <x:f>IF(AND(ISNUMBER(H509),ISNUMBER(C509)),H509-C509,"")</x:f>
      </x:c>
      <x:c r="J509" s="2" t="str">
        <x:v>%</x:v>
      </x:c>
      <x:c r="K509" s="2" t="str">
        <x:v>Kenneth</x:v>
      </x:c>
      <x:c r="L509" s="28" t="str"/>
      <x:c r="M509" s="20"/>
      <x:c r="N509" s="21"/>
      <x:c r="O509" s="26" t="str">
        <x:v>Unique emailed contacts that give a qualifying human reply / unique contacts emailed in the same send cohort. Exclude OOO, auto-replies, bounces and unsubscribe-only replies. Deduplicate contacts across sequence steps; zero denominator is N/A.</x:v>
      </x:c>
      <x:c r="P509" s="26" t="str">
        <x:v>PDF §10</x:v>
      </x:c>
      <x:c r="Q509" s="2" t="n">
        <x:f>IF(ISNUMBER(H509),1,0)</x:f>
        <x:v>0</x:v>
      </x:c>
    </x:row>
    <x:row r="510" ht="46" customHeight="1">
      <x:c r="A510" s="17" t="n">
        <x:v>46346</x:v>
      </x:c>
      <x:c r="B510" s="2" t="str">
        <x:v>Positive reply rate</x:v>
      </x:c>
      <x:c r="C510" s="40" t="n">
        <x:v>0.01</x:v>
      </x:c>
      <x:c r="D510" s="2" t="str">
        <x:v>Rate</x:v>
      </x:c>
      <x:c r="E510" s="20"/>
      <x:c r="F510" s="20"/>
      <x:c r="G510" s="20"/>
      <x:c r="H510" s="40" t="str">
        <x:f>IF(D510="Rate",IF(COUNT(F510:G510)&lt;2,"",IF(G510=0,"n.a.",F510/G510)),IF(COUNT(E510)=0,"",E510))</x:f>
      </x:c>
      <x:c r="I510" s="40" t="str">
        <x:f>IF(AND(ISNUMBER(H510),ISNUMBER(C510)),H510-C510,"")</x:f>
      </x:c>
      <x:c r="J510" s="2" t="str">
        <x:v>%</x:v>
      </x:c>
      <x:c r="K510" s="2" t="str">
        <x:v>Kenneth</x:v>
      </x:c>
      <x:c r="L510" s="28" t="str"/>
      <x:c r="M510" s="20"/>
      <x:c r="N510" s="21"/>
      <x:c r="O510" s="26" t="str">
        <x:v>Unique emailed contacts classified interested or relevant question / unique contacts emailed in the same send cohort. Deduplicate across sequence steps; zero denominator is N/A. Keep this email rate separate from all-channel qualified inquiries.</x:v>
      </x:c>
      <x:c r="P510" s="26" t="str">
        <x:v>PDF §10</x:v>
      </x:c>
      <x:c r="Q510" s="2" t="n">
        <x:f>IF(ISNUMBER(H510),1,0)</x:f>
        <x:v>0</x:v>
      </x:c>
    </x:row>
    <x:row r="511" ht="46" customHeight="1">
      <x:c r="A511" s="17" t="n">
        <x:v>46346</x:v>
      </x:c>
      <x:c r="B511" s="2" t="str">
        <x:v>Replies answered within 15 minutes</x:v>
      </x:c>
      <x:c r="C511" s="40" t="n">
        <x:v>1</x:v>
      </x:c>
      <x:c r="D511" s="2" t="str">
        <x:v>Rate</x:v>
      </x:c>
      <x:c r="E511" s="20"/>
      <x:c r="F511" s="20"/>
      <x:c r="G511" s="20"/>
      <x:c r="H511" s="40" t="str">
        <x:f>IF(D511="Rate",IF(COUNT(F511:G511)&lt;2,"",IF(G511=0,"n.a.",F511/G511)),IF(COUNT(E511)=0,"",E511))</x:f>
      </x:c>
      <x:c r="I511" s="40" t="str">
        <x:f>IF(AND(ISNUMBER(H511),ISNUMBER(C511)),H511-C511,"")</x:f>
      </x:c>
      <x:c r="J511" s="2" t="str">
        <x:v>%</x:v>
      </x:c>
      <x:c r="K511" s="2" t="str">
        <x:v>Nova</x:v>
      </x:c>
      <x:c r="L511" s="28" t="str"/>
      <x:c r="M511" s="20"/>
      <x:c r="N511" s="21"/>
      <x:c r="O511"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11" s="26" t="str">
        <x:v>PDF §9; clock convention clarified for tracker</x:v>
      </x:c>
      <x:c r="Q511" s="2" t="n">
        <x:f>IF(ISNUMBER(H511),1,0)</x:f>
        <x:v>0</x:v>
      </x:c>
    </x:row>
    <x:row r="512" ht="46" customHeight="1">
      <x:c r="A512" s="17" t="n">
        <x:v>46346</x:v>
      </x:c>
      <x:c r="B512" s="2" t="str">
        <x:v>Held rate</x:v>
      </x:c>
      <x:c r="C512" s="40" t="n">
        <x:v>0.7</x:v>
      </x:c>
      <x:c r="D512" s="2" t="str">
        <x:v>Rate</x:v>
      </x:c>
      <x:c r="E512" s="20"/>
      <x:c r="F512" s="20"/>
      <x:c r="G512" s="20"/>
      <x:c r="H512" s="40" t="str">
        <x:f>IF(D512="Rate",IF(COUNT(F512:G512)&lt;2,"",IF(G512=0,"n.a.",F512/G512)),IF(COUNT(E512)=0,"",E512))</x:f>
      </x:c>
      <x:c r="I512" s="40" t="str">
        <x:f>IF(AND(ISNUMBER(H512),ISNUMBER(C512)),H512-C512,"")</x:f>
      </x:c>
      <x:c r="J512" s="2" t="str">
        <x:v>%</x:v>
      </x:c>
      <x:c r="K512" s="2" t="str">
        <x:v>Nova</x:v>
      </x:c>
      <x:c r="L512" s="28" t="str"/>
      <x:c r="M512" s="20"/>
      <x:c r="N512" s="21"/>
      <x:c r="O512" s="26" t="str">
        <x:v>Qualified conversations actually held / unique booked conversations whose scheduled time has passed. Exclude upcoming appointments. Rebooking the same opportunity is not a second booking. A zero denominator is N/A.</x:v>
      </x:c>
      <x:c r="P512" s="26" t="str">
        <x:v>PDF §10; due-cohort denominator clarified</x:v>
      </x:c>
      <x:c r="Q512" s="2" t="n">
        <x:f>IF(ISNUMBER(H512),1,0)</x:f>
        <x:v>0</x:v>
      </x:c>
    </x:row>
    <x:row r="513" ht="46" customHeight="1">
      <x:c r="A513" s="17" t="n">
        <x:v>46346</x:v>
      </x:c>
      <x:c r="B513" s="2" t="str">
        <x:v>Positive-to-booked conversion</x:v>
      </x:c>
      <x:c r="C513" s="40" t="n">
        <x:v>0.5</x:v>
      </x:c>
      <x:c r="D513" s="2" t="str">
        <x:v>Rate</x:v>
      </x:c>
      <x:c r="E513" s="20"/>
      <x:c r="F513" s="20"/>
      <x:c r="G513" s="20"/>
      <x:c r="H513" s="40" t="str">
        <x:f>IF(D513="Rate",IF(COUNT(F513:G513)&lt;2,"",IF(G513=0,"n.a.",F513/G513)),IF(COUNT(E513)=0,"",E513))</x:f>
      </x:c>
      <x:c r="I513" s="40" t="str">
        <x:f>IF(AND(ISNUMBER(H513),ISNUMBER(C513)),H513-C513,"")</x:f>
      </x:c>
      <x:c r="J513" s="2" t="str">
        <x:v>%</x:v>
      </x:c>
      <x:c r="K513" s="2" t="str">
        <x:v>Nova</x:v>
      </x:c>
      <x:c r="L513" s="28" t="str"/>
      <x:c r="M513" s="20"/>
      <x:c r="N513" s="21"/>
      <x:c r="O513" s="26" t="str">
        <x:v>Unique email-positive opportunities booked / unique email-positive opportunities in the same reviewed cohort. Use a documented follow-up window. This differs from the all-channel 40-inquiry/20-booking planning assumption. A zero denominator is N/A.</x:v>
      </x:c>
      <x:c r="P513" s="26" t="str">
        <x:v>PDF §9</x:v>
      </x:c>
      <x:c r="Q513" s="2" t="n">
        <x:f>IF(ISNUMBER(H513),1,0)</x:f>
        <x:v>0</x:v>
      </x:c>
    </x:row>
    <x:row r="514" ht="46" customHeight="1">
      <x:c r="A514" s="17" t="n">
        <x:v>46346</x:v>
      </x:c>
      <x:c r="B514" s="2" t="str">
        <x:v>Existing-account referral asks</x:v>
      </x:c>
      <x:c r="C514" s="2" t="n">
        <x:v>35</x:v>
      </x:c>
      <x:c r="D514" s="2" t="str">
        <x:v>Cumulative total</x:v>
      </x:c>
      <x:c r="E514" s="20"/>
      <x:c r="F514" s="20"/>
      <x:c r="G514" s="20"/>
      <x:c r="H514" s="2" t="str">
        <x:f>IF(D514="Rate",IF(COUNT(F514:G514)&lt;2,"",IF(G514=0,"n.a.",F514/G514)),IF(COUNT(E514)=0,"",E514))</x:f>
      </x:c>
      <x:c r="I514" s="2" t="str">
        <x:f>IF(AND(ISNUMBER(H514),ISNUMBER(C514)),H514-C514,"")</x:f>
      </x:c>
      <x:c r="J514" s="2" t="str">
        <x:v>accounts asked</x:v>
      </x:c>
      <x:c r="K514" s="2" t="str">
        <x:v>Maseeha</x:v>
      </x:c>
      <x:c r="L514" s="28" t="str"/>
      <x:c r="M514" s="20"/>
      <x:c r="N514" s="21"/>
      <x:c r="O514" s="26" t="str">
        <x:v>Ask 25 unique A/B accounts (5 A and 20 B) by November 13; proposed pace 35 total by November 20; complete the remaining C accounts to reach 41 total by November 25. One introduction is the ask; asks and received intros are separate counts.</x:v>
      </x:c>
      <x:c r="P514" s="26" t="str">
        <x:v>PDF §16 supplies 25 A/B byNov 14 and 16 C byNov 25; Friday deadline and 35-byNov 20 pace are proposed scheduling allocations.</x:v>
      </x:c>
      <x:c r="Q514" s="2" t="n">
        <x:f>IF(ISNUMBER(H514),1,0)</x:f>
        <x:v>0</x:v>
      </x:c>
    </x:row>
    <x:row r="515" ht="46" customHeight="1">
      <x:c r="A515" s="17" t="n">
        <x:v>46346</x:v>
      </x:c>
      <x:c r="B515" s="2" t="str">
        <x:v>Approved SOPs</x:v>
      </x:c>
      <x:c r="C515" s="2" t="n">
        <x:v>12</x:v>
      </x:c>
      <x:c r="D515" s="2" t="str">
        <x:v>Cumulative total</x:v>
      </x:c>
      <x:c r="E515" s="20"/>
      <x:c r="F515" s="20"/>
      <x:c r="G515" s="20"/>
      <x:c r="H515" s="2" t="str">
        <x:f>IF(D515="Rate",IF(COUNT(F515:G515)&lt;2,"",IF(G515=0,"n.a.",F515/G515)),IF(COUNT(E515)=0,"",E515))</x:f>
      </x:c>
      <x:c r="I515" s="2" t="str">
        <x:f>IF(AND(ISNUMBER(H515),ISNUMBER(C515)),H515-C515,"")</x:f>
      </x:c>
      <x:c r="J515" s="2" t="str">
        <x:v>SOPs</x:v>
      </x:c>
      <x:c r="K515" s="2" t="str">
        <x:v>Wyline</x:v>
      </x:c>
      <x:c r="L515" s="28" t="str"/>
      <x:c r="M515" s="20"/>
      <x:c r="N515" s="21"/>
      <x:c r="O515" s="26" t="str">
        <x:v>10 core SOPs plus ADS-01 and SOC-01 additions; approved version and independent-run evidence required.</x:v>
      </x:c>
      <x:c r="P515" s="26" t="str">
        <x:v>PDF §8 with §§17 b–d additions</x:v>
      </x:c>
      <x:c r="Q515" s="2" t="n">
        <x:f>IF(ISNUMBER(H515),1,0)</x:f>
        <x:v>0</x:v>
      </x:c>
    </x:row>
    <x:row r="516" ht="46" customHeight="1">
      <x:c r="A516" s="17" t="n">
        <x:v>46346</x:v>
      </x:c>
      <x:c r="B516" s="2" t="str">
        <x:v>Accepted AI agents</x:v>
      </x:c>
      <x:c r="C516" s="2" t="n">
        <x:v>8</x:v>
      </x:c>
      <x:c r="D516" s="2" t="str">
        <x:v>Cumulative total</x:v>
      </x:c>
      <x:c r="E516" s="20"/>
      <x:c r="F516" s="20"/>
      <x:c r="G516" s="20"/>
      <x:c r="H516" s="2" t="str">
        <x:f>IF(D516="Rate",IF(COUNT(F516:G516)&lt;2,"",IF(G516=0,"n.a.",F516/G516)),IF(COUNT(E516)=0,"",E516))</x:f>
      </x:c>
      <x:c r="I516" s="2" t="str">
        <x:f>IF(AND(ISNUMBER(H516),ISNUMBER(C516)),H516-C516,"")</x:f>
      </x:c>
      <x:c r="J516" s="2" t="str">
        <x:v>agents</x:v>
      </x:c>
      <x:c r="K516" s="2" t="str">
        <x:v>Emman</x:v>
      </x:c>
      <x:c r="L516" s="28" t="str"/>
      <x:c r="M516" s="20"/>
      <x:c r="N516" s="21"/>
      <x:c r="O516" s="26" t="str">
        <x:v>Scout, Writer, Inbox, Phone Assist, LinkedIn Assist, Follow-up, Scoreboard and Client Reporter; acceptance evidence required.</x:v>
      </x:c>
      <x:c r="P516" s="26" t="str">
        <x:v>PDF §7</x:v>
      </x:c>
      <x:c r="Q516" s="2" t="n">
        <x:f>IF(ISNUMBER(H516),1,0)</x:f>
        <x:v>0</x:v>
      </x:c>
    </x:row>
    <x:row r="517" ht="46" customHeight="1">
      <x:c r="A517" s="17" t="n">
        <x:v>46347</x:v>
      </x:c>
      <x:c r="B517" s="2" t="str">
        <x:v>Qualified inquiries</x:v>
      </x:c>
      <x:c r="C517" s="2" t="n">
        <x:v>16</x:v>
      </x:c>
      <x:c r="D517" s="2" t="str">
        <x:v>Cumulative total</x:v>
      </x:c>
      <x:c r="E517" s="20"/>
      <x:c r="F517" s="20"/>
      <x:c r="G517" s="20"/>
      <x:c r="H517" s="2" t="str">
        <x:f>IF(D517="Rate",IF(COUNT(F517:G517)&lt;2,"",IF(G517=0,"n.a.",F517/G517)),IF(COUNT(E517)=0,"",E517))</x:f>
      </x:c>
      <x:c r="I517" s="2" t="str">
        <x:f>IF(AND(ISNUMBER(H517),ISNUMBER(C517)),H517-C517,"")</x:f>
      </x:c>
      <x:c r="J517" s="2" t="str">
        <x:v>inquiries</x:v>
      </x:c>
      <x:c r="K517" s="2" t="str">
        <x:v>Nova</x:v>
      </x:c>
      <x:c r="L517" s="28" t="str"/>
      <x:c r="M517" s="20"/>
      <x:c r="N517" s="21"/>
      <x:c r="O517" s="26" t="str">
        <x:v>Unique ICP-matched practices that express relevant interest, need or timing; Nova records practice type, decision-maker access, case volume, service need and readiness within 30–60 days. Raw records, opens and connection accepts do not qualify.</x:v>
      </x:c>
      <x:c r="P517" s="26" t="str">
        <x:v>Original proposal pages 2 and 4 define qualification; 40 by Dec 16 and intermediate pace are newly proposed recovery targets.</x:v>
      </x:c>
      <x:c r="Q517" s="2" t="n">
        <x:f>IF(ISNUMBER(H517),1,0)</x:f>
        <x:v>0</x:v>
      </x:c>
    </x:row>
    <x:row r="518" ht="46" customHeight="1">
      <x:c r="A518" s="17" t="n">
        <x:v>46347</x:v>
      </x:c>
      <x:c r="B518" s="2" t="str">
        <x:v>Qualified conversations booked</x:v>
      </x:c>
      <x:c r="C518" s="2" t="n">
        <x:v>8</x:v>
      </x:c>
      <x:c r="D518" s="2" t="str">
        <x:v>Cumulative total</x:v>
      </x:c>
      <x:c r="E518" s="20"/>
      <x:c r="F518" s="20"/>
      <x:c r="G518" s="20"/>
      <x:c r="H518" s="2" t="str">
        <x:f>IF(D518="Rate",IF(COUNT(F518:G518)&lt;2,"",IF(G518=0,"n.a.",F518/G518)),IF(COUNT(E518)=0,"",E518))</x:f>
      </x:c>
      <x:c r="I518" s="2" t="str">
        <x:f>IF(AND(ISNUMBER(H518),ISNUMBER(C518)),H518-C518,"")</x:f>
      </x:c>
      <x:c r="J518" s="2" t="str">
        <x:v>bookings</x:v>
      </x:c>
      <x:c r="K518" s="2" t="str">
        <x:v>Nova</x:v>
      </x:c>
      <x:c r="L518" s="28" t="str"/>
      <x:c r="M518" s="20"/>
      <x:c r="N518" s="21"/>
      <x:c r="O518" s="26" t="str">
        <x:v>Unique qualified calls/visits booked with Nic; rebooking same opportunity is not a new booking.</x:v>
      </x:c>
      <x:c r="P518" s="26" t="str">
        <x:v>PDF §10; final deadline advanced to user Dec 16</x:v>
      </x:c>
      <x:c r="Q518" s="2" t="n">
        <x:f>IF(ISNUMBER(H518),1,0)</x:f>
        <x:v>0</x:v>
      </x:c>
    </x:row>
    <x:row r="519" ht="46" customHeight="1">
      <x:c r="A519" s="17" t="n">
        <x:v>46347</x:v>
      </x:c>
      <x:c r="B519" s="2" t="str">
        <x:v>Qualified conversations held</x:v>
      </x:c>
      <x:c r="C519" s="2" t="n">
        <x:v>6</x:v>
      </x:c>
      <x:c r="D519" s="2" t="str">
        <x:v>Cumulative total</x:v>
      </x:c>
      <x:c r="E519" s="20"/>
      <x:c r="F519" s="20"/>
      <x:c r="G519" s="20"/>
      <x:c r="H519" s="2" t="str">
        <x:f>IF(D519="Rate",IF(COUNT(F519:G519)&lt;2,"",IF(G519=0,"n.a.",F519/G519)),IF(COUNT(E519)=0,"",E519))</x:f>
      </x:c>
      <x:c r="I519" s="2" t="str">
        <x:f>IF(AND(ISNUMBER(H519),ISNUMBER(C519)),H519-C519,"")</x:f>
      </x:c>
      <x:c r="J519" s="2" t="str">
        <x:v>held</x:v>
      </x:c>
      <x:c r="K519" s="2" t="str">
        <x:v>Nova</x:v>
      </x:c>
      <x:c r="L519" s="28" t="str"/>
      <x:c r="M519" s="20"/>
      <x:c r="N519" s="21"/>
      <x:c r="O519" s="26" t="str">
        <x:v>Completed qualified calls/visits; 6 and 15 are integer planning proxies for 70% of 8 and 75% of 20.</x:v>
      </x:c>
      <x:c r="P519" s="26" t="str">
        <x:v>Derived from source held-rate targets</x:v>
      </x:c>
      <x:c r="Q519" s="2" t="n">
        <x:f>IF(ISNUMBER(H519),1,0)</x:f>
        <x:v>0</x:v>
      </x:c>
    </x:row>
    <x:row r="520" ht="46" customHeight="1">
      <x:c r="A520" s="17" t="n">
        <x:v>46347</x:v>
      </x:c>
      <x:c r="B520" s="2" t="str">
        <x:v>Trial cases received by DSI</x:v>
      </x:c>
      <x:c r="C520" s="2" t="n">
        <x:v>2</x:v>
      </x:c>
      <x:c r="D520" s="2" t="str">
        <x:v>Cumulative total</x:v>
      </x:c>
      <x:c r="E520" s="20"/>
      <x:c r="F520" s="20"/>
      <x:c r="G520" s="20"/>
      <x:c r="H520" s="2" t="str">
        <x:f>IF(D520="Rate",IF(COUNT(F520:G520)&lt;2,"",IF(G520=0,"n.a.",F520/G520)),IF(COUNT(E520)=0,"",E520))</x:f>
      </x:c>
      <x:c r="I520" s="2" t="str">
        <x:f>IF(AND(ISNUMBER(H520),ISNUMBER(C520)),H520-C520,"")</x:f>
      </x:c>
      <x:c r="J520" s="2" t="str">
        <x:v>trials</x:v>
      </x:c>
      <x:c r="K520" s="2" t="str">
        <x:v>Maseeha</x:v>
      </x:c>
      <x:c r="L520" s="28" t="str"/>
      <x:c r="M520" s="20"/>
      <x:c r="N520" s="21"/>
      <x:c r="O520" s="26" t="str">
        <x:v>Practice’s first trial case received by DSI, not merely promised or shipped; subject to Maseeha capacity.</x:v>
      </x:c>
      <x:c r="P520" s="26" t="str">
        <x:v>PDF §10; final deadline advanced to user Dec 16</x:v>
      </x:c>
      <x:c r="Q520" s="2" t="n">
        <x:f>IF(ISNUMBER(H520),1,0)</x:f>
        <x:v>0</x:v>
      </x:c>
    </x:row>
    <x:row r="521" ht="46" customHeight="1">
      <x:c r="A521" s="17" t="n">
        <x:v>46347</x:v>
      </x:c>
      <x:c r="B521" s="2" t="str">
        <x:v>Recurring accounts signed</x:v>
      </x:c>
      <x:c r="C521" s="2"/>
      <x:c r="D521" s="2" t="str">
        <x:v>Cumulative total</x:v>
      </x:c>
      <x:c r="E521" s="20"/>
      <x:c r="F521" s="20"/>
      <x:c r="G521" s="20"/>
      <x:c r="H521" s="2" t="str">
        <x:f>IF(D521="Rate",IF(COUNT(F521:G521)&lt;2,"",IF(G521=0,"n.a.",F521/G521)),IF(COUNT(E521)=0,"",E521))</x:f>
      </x:c>
      <x:c r="I521" s="2" t="str">
        <x:f>IF(AND(ISNUMBER(H521),ISNUMBER(C521)),H521-C521,"")</x:f>
      </x:c>
      <x:c r="J521" s="2" t="str">
        <x:v>accounts</x:v>
      </x:c>
      <x:c r="K521" s="2" t="str">
        <x:v>Nic</x:v>
      </x:c>
      <x:c r="L521" s="28" t="str"/>
      <x:c r="M521" s="20"/>
      <x:c r="N521" s="21"/>
      <x:c r="O521" s="26" t="str">
        <x:v>Plan signed following Day-30 review; only mature trial cohorts eligible. 1–3 is a conditional range.</x:v>
      </x:c>
      <x:c r="P521" s="26" t="str">
        <x:v>PDF §10</x:v>
      </x:c>
      <x:c r="Q521" s="2" t="n">
        <x:f>IF(ISNUMBER(H521),1,0)</x:f>
        <x:v>0</x:v>
      </x:c>
    </x:row>
    <x:row r="522" ht="46" customHeight="1">
      <x:c r="A522" s="17" t="n">
        <x:v>46347</x:v>
      </x:c>
      <x:c r="B522" s="2" t="str">
        <x:v>Referral-sourced bookings</x:v>
      </x:c>
      <x:c r="C522" s="2" t="n">
        <x:v>4</x:v>
      </x:c>
      <x:c r="D522" s="2" t="str">
        <x:v>Cumulative total</x:v>
      </x:c>
      <x:c r="E522" s="20"/>
      <x:c r="F522" s="20"/>
      <x:c r="G522" s="20"/>
      <x:c r="H522" s="2" t="str">
        <x:f>IF(D522="Rate",IF(COUNT(F522:G522)&lt;2,"",IF(G522=0,"n.a.",F522/G522)),IF(COUNT(E522)=0,"",E522))</x:f>
      </x:c>
      <x:c r="I522" s="2" t="str">
        <x:f>IF(AND(ISNUMBER(H522),ISNUMBER(C522)),H522-C522,"")</x:f>
      </x:c>
      <x:c r="J522" s="2" t="str">
        <x:v>bookings</x:v>
      </x:c>
      <x:c r="K522" s="2" t="str">
        <x:v>Nova</x:v>
      </x:c>
      <x:c r="L522" s="28" t="str"/>
      <x:c r="M522" s="20"/>
      <x:c r="N522" s="21"/>
      <x:c r="O522" s="26" t="str">
        <x:v>Subset of booked total with primary Source=Referral; never added on top of all-channel bookings.</x:v>
      </x:c>
      <x:c r="P522" s="26" t="str">
        <x:v>PDF §§10, 16</x:v>
      </x:c>
      <x:c r="Q522" s="2" t="n">
        <x:f>IF(ISNUMBER(H522),1,0)</x:f>
        <x:v>0</x:v>
      </x:c>
    </x:row>
    <x:row r="523" ht="46" customHeight="1">
      <x:c r="A523" s="17" t="n">
        <x:v>46347</x:v>
      </x:c>
      <x:c r="B523" s="2" t="str">
        <x:v>LinkedIn DM-sourced bookings</x:v>
      </x:c>
      <x:c r="C523" s="2" t="n">
        <x:v>3</x:v>
      </x:c>
      <x:c r="D523" s="2" t="str">
        <x:v>Cumulative total</x:v>
      </x:c>
      <x:c r="E523" s="20"/>
      <x:c r="F523" s="20"/>
      <x:c r="G523" s="20"/>
      <x:c r="H523" s="2" t="str">
        <x:f>IF(D523="Rate",IF(COUNT(F523:G523)&lt;2,"",IF(G523=0,"n.a.",F523/G523)),IF(COUNT(E523)=0,"",E523))</x:f>
      </x:c>
      <x:c r="I523" s="2" t="str">
        <x:f>IF(AND(ISNUMBER(H523),ISNUMBER(C523)),H523-C523,"")</x:f>
      </x:c>
      <x:c r="J523" s="2" t="str">
        <x:v>bookings</x:v>
      </x:c>
      <x:c r="K523" s="2" t="str">
        <x:v>Dexter</x:v>
      </x:c>
      <x:c r="L523" s="28" t="str"/>
      <x:c r="M523" s="20"/>
      <x:c r="N523" s="21"/>
      <x:c r="O523" s="26" t="str">
        <x:v>Subset of booked total with primary Source=LinkedIn DM; assists tracked separately.</x:v>
      </x:c>
      <x:c r="P523" s="26" t="str">
        <x:v>PDF §§10, 17 a</x:v>
      </x:c>
      <x:c r="Q523" s="2" t="n">
        <x:f>IF(ISNUMBER(H523),1,0)</x:f>
        <x:v>0</x:v>
      </x:c>
    </x:row>
    <x:row r="524" ht="46" customHeight="1">
      <x:c r="A524" s="17" t="n">
        <x:v>46347</x:v>
      </x:c>
      <x:c r="B524" s="2" t="str">
        <x:v>Verified contacts ready</x:v>
      </x:c>
      <x:c r="C524" s="2" t="n">
        <x:v>500</x:v>
      </x:c>
      <x:c r="D524" s="2" t="str">
        <x:v>Cumulative total</x:v>
      </x:c>
      <x:c r="E524" s="20"/>
      <x:c r="F524" s="20"/>
      <x:c r="G524" s="20"/>
      <x:c r="H524" s="2" t="str">
        <x:f>IF(D524="Rate",IF(COUNT(F524:G524)&lt;2,"",IF(G524=0,"n.a.",F524/G524)),IF(COUNT(E524)=0,"",E524))</x:f>
      </x:c>
      <x:c r="I524" s="2" t="str">
        <x:f>IF(AND(ISNUMBER(H524),ISNUMBER(C524)),H524-C524,"")</x:f>
      </x:c>
      <x:c r="J524" s="2" t="str">
        <x:v>contacts</x:v>
      </x:c>
      <x:c r="K524" s="2" t="str">
        <x:v>Joey</x:v>
      </x:c>
      <x:c r="L524" s="28" t="str"/>
      <x:c r="M524" s="20"/>
      <x:c r="N524" s="21"/>
      <x:c r="O524" s="26" t="str">
        <x:v>Unique contacts passing Scout and loaded in CQL; count once per contact.</x:v>
      </x:c>
      <x:c r="P524" s="26" t="str">
        <x:v>PDF §§10, 14; 750 due Dec 12 moved to Fri Dec 11</x:v>
      </x:c>
      <x:c r="Q524" s="2" t="n">
        <x:f>IF(ISNUMBER(H524),1,0)</x:f>
        <x:v>0</x:v>
      </x:c>
    </x:row>
    <x:row r="525" ht="46" customHeight="1">
      <x:c r="A525" s="17" t="n">
        <x:v>46347</x:v>
      </x:c>
      <x:c r="B525" s="2" t="str">
        <x:v>Permission-based referral introductions</x:v>
      </x:c>
      <x:c r="C525" s="2" t="n">
        <x:v>8</x:v>
      </x:c>
      <x:c r="D525" s="2" t="str">
        <x:v>Cumulative total</x:v>
      </x:c>
      <x:c r="E525" s="20"/>
      <x:c r="F525" s="20"/>
      <x:c r="G525" s="20"/>
      <x:c r="H525" s="2" t="str">
        <x:f>IF(D525="Rate",IF(COUNT(F525:G525)&lt;2,"",IF(G525=0,"n.a.",F525/G525)),IF(COUNT(E525)=0,"",E525))</x:f>
      </x:c>
      <x:c r="I525" s="2" t="str">
        <x:f>IF(AND(ISNUMBER(H525),ISNUMBER(C525)),H525-C525,"")</x:f>
      </x:c>
      <x:c r="J525" s="2" t="str">
        <x:v>introductions</x:v>
      </x:c>
      <x:c r="K525" s="2" t="str">
        <x:v>Maseeha</x:v>
      </x:c>
      <x:c r="L525" s="28" t="str"/>
      <x:c r="M525" s="20"/>
      <x:c r="N525" s="21"/>
      <x:c r="O525" s="26" t="str">
        <x:v>Unique introductions with consent and referrer recorded, verified by Maseeha within 2 business days.</x:v>
      </x:c>
      <x:c r="P525" s="26" t="str">
        <x:v>PDF §§10, 16</x:v>
      </x:c>
      <x:c r="Q525" s="2" t="n">
        <x:f>IF(ISNUMBER(H525),1,0)</x:f>
        <x:v>0</x:v>
      </x:c>
    </x:row>
    <x:row r="526" ht="46" customHeight="1">
      <x:c r="A526" s="17" t="n">
        <x:v>46347</x:v>
      </x:c>
      <x:c r="B526" s="2" t="str">
        <x:v>Human reply rate</x:v>
      </x:c>
      <x:c r="C526" s="40" t="n">
        <x:v>0.03</x:v>
      </x:c>
      <x:c r="D526" s="2" t="str">
        <x:v>Rate</x:v>
      </x:c>
      <x:c r="E526" s="20"/>
      <x:c r="F526" s="20"/>
      <x:c r="G526" s="20"/>
      <x:c r="H526" s="40" t="str">
        <x:f>IF(D526="Rate",IF(COUNT(F526:G526)&lt;2,"",IF(G526=0,"n.a.",F526/G526)),IF(COUNT(E526)=0,"",E526))</x:f>
      </x:c>
      <x:c r="I526" s="40" t="str">
        <x:f>IF(AND(ISNUMBER(H526),ISNUMBER(C526)),H526-C526,"")</x:f>
      </x:c>
      <x:c r="J526" s="2" t="str">
        <x:v>%</x:v>
      </x:c>
      <x:c r="K526" s="2" t="str">
        <x:v>Kenneth</x:v>
      </x:c>
      <x:c r="L526" s="28" t="str"/>
      <x:c r="M526" s="20"/>
      <x:c r="N526" s="21"/>
      <x:c r="O526" s="26" t="str">
        <x:v>Unique emailed contacts that give a qualifying human reply / unique contacts emailed in the same send cohort. Exclude OOO, auto-replies, bounces and unsubscribe-only replies. Deduplicate contacts across sequence steps; zero denominator is N/A.</x:v>
      </x:c>
      <x:c r="P526" s="26" t="str">
        <x:v>PDF §10</x:v>
      </x:c>
      <x:c r="Q526" s="2" t="n">
        <x:f>IF(ISNUMBER(H526),1,0)</x:f>
        <x:v>0</x:v>
      </x:c>
    </x:row>
    <x:row r="527" ht="46" customHeight="1">
      <x:c r="A527" s="17" t="n">
        <x:v>46347</x:v>
      </x:c>
      <x:c r="B527" s="2" t="str">
        <x:v>Positive reply rate</x:v>
      </x:c>
      <x:c r="C527" s="40" t="n">
        <x:v>0.015</x:v>
      </x:c>
      <x:c r="D527" s="2" t="str">
        <x:v>Rate</x:v>
      </x:c>
      <x:c r="E527" s="20"/>
      <x:c r="F527" s="20"/>
      <x:c r="G527" s="20"/>
      <x:c r="H527" s="40" t="str">
        <x:f>IF(D527="Rate",IF(COUNT(F527:G527)&lt;2,"",IF(G527=0,"n.a.",F527/G527)),IF(COUNT(E527)=0,"",E527))</x:f>
      </x:c>
      <x:c r="I527" s="40" t="str">
        <x:f>IF(AND(ISNUMBER(H527),ISNUMBER(C527)),H527-C527,"")</x:f>
      </x:c>
      <x:c r="J527" s="2" t="str">
        <x:v>%</x:v>
      </x:c>
      <x:c r="K527" s="2" t="str">
        <x:v>Kenneth</x:v>
      </x:c>
      <x:c r="L527" s="28" t="str"/>
      <x:c r="M527" s="20"/>
      <x:c r="N527" s="21"/>
      <x:c r="O527" s="26" t="str">
        <x:v>Unique emailed contacts classified interested or relevant question / unique contacts emailed in the same send cohort. Deduplicate across sequence steps; zero denominator is N/A. Keep this email rate separate from all-channel qualified inquiries.</x:v>
      </x:c>
      <x:c r="P527" s="26" t="str">
        <x:v>PDF §10</x:v>
      </x:c>
      <x:c r="Q527" s="2" t="n">
        <x:f>IF(ISNUMBER(H527),1,0)</x:f>
        <x:v>0</x:v>
      </x:c>
    </x:row>
    <x:row r="528" ht="46" customHeight="1">
      <x:c r="A528" s="17" t="n">
        <x:v>46347</x:v>
      </x:c>
      <x:c r="B528" s="2" t="str">
        <x:v>Replies answered within 15 minutes</x:v>
      </x:c>
      <x:c r="C528" s="40" t="n">
        <x:v>1</x:v>
      </x:c>
      <x:c r="D528" s="2" t="str">
        <x:v>Rate</x:v>
      </x:c>
      <x:c r="E528" s="20"/>
      <x:c r="F528" s="20"/>
      <x:c r="G528" s="20"/>
      <x:c r="H528" s="40" t="str">
        <x:f>IF(D528="Rate",IF(COUNT(F528:G528)&lt;2,"",IF(G528=0,"n.a.",F528/G528)),IF(COUNT(E528)=0,"",E528))</x:f>
      </x:c>
      <x:c r="I528" s="40" t="str">
        <x:f>IF(AND(ISNUMBER(H528),ISNUMBER(C528)),H528-C528,"")</x:f>
      </x:c>
      <x:c r="J528" s="2" t="str">
        <x:v>%</x:v>
      </x:c>
      <x:c r="K528" s="2" t="str">
        <x:v>Nova</x:v>
      </x:c>
      <x:c r="L528" s="28" t="str"/>
      <x:c r="M528" s="20"/>
      <x:c r="N528" s="21"/>
      <x:c r="O528"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28" s="26" t="str">
        <x:v>PDF §9; clock convention clarified for tracker</x:v>
      </x:c>
      <x:c r="Q528" s="2" t="n">
        <x:f>IF(ISNUMBER(H528),1,0)</x:f>
        <x:v>0</x:v>
      </x:c>
    </x:row>
    <x:row r="529" ht="46" customHeight="1">
      <x:c r="A529" s="17" t="n">
        <x:v>46347</x:v>
      </x:c>
      <x:c r="B529" s="2" t="str">
        <x:v>Held rate</x:v>
      </x:c>
      <x:c r="C529" s="40" t="n">
        <x:v>0.75</x:v>
      </x:c>
      <x:c r="D529" s="2" t="str">
        <x:v>Rate</x:v>
      </x:c>
      <x:c r="E529" s="20"/>
      <x:c r="F529" s="20"/>
      <x:c r="G529" s="20"/>
      <x:c r="H529" s="40" t="str">
        <x:f>IF(D529="Rate",IF(COUNT(F529:G529)&lt;2,"",IF(G529=0,"n.a.",F529/G529)),IF(COUNT(E529)=0,"",E529))</x:f>
      </x:c>
      <x:c r="I529" s="40" t="str">
        <x:f>IF(AND(ISNUMBER(H529),ISNUMBER(C529)),H529-C529,"")</x:f>
      </x:c>
      <x:c r="J529" s="2" t="str">
        <x:v>%</x:v>
      </x:c>
      <x:c r="K529" s="2" t="str">
        <x:v>Nova</x:v>
      </x:c>
      <x:c r="L529" s="28" t="str"/>
      <x:c r="M529" s="20"/>
      <x:c r="N529" s="21"/>
      <x:c r="O529" s="26" t="str">
        <x:v>Qualified conversations actually held / unique booked conversations whose scheduled time has passed. Exclude upcoming appointments. Rebooking the same opportunity is not a second booking. A zero denominator is N/A.</x:v>
      </x:c>
      <x:c r="P529" s="26" t="str">
        <x:v>PDF §10; due-cohort denominator clarified</x:v>
      </x:c>
      <x:c r="Q529" s="2" t="n">
        <x:f>IF(ISNUMBER(H529),1,0)</x:f>
        <x:v>0</x:v>
      </x:c>
    </x:row>
    <x:row r="530" ht="46" customHeight="1">
      <x:c r="A530" s="17" t="n">
        <x:v>46347</x:v>
      </x:c>
      <x:c r="B530" s="2" t="str">
        <x:v>Positive-to-booked conversion</x:v>
      </x:c>
      <x:c r="C530" s="40" t="n">
        <x:v>0.5</x:v>
      </x:c>
      <x:c r="D530" s="2" t="str">
        <x:v>Rate</x:v>
      </x:c>
      <x:c r="E530" s="20"/>
      <x:c r="F530" s="20"/>
      <x:c r="G530" s="20"/>
      <x:c r="H530" s="40" t="str">
        <x:f>IF(D530="Rate",IF(COUNT(F530:G530)&lt;2,"",IF(G530=0,"n.a.",F530/G530)),IF(COUNT(E530)=0,"",E530))</x:f>
      </x:c>
      <x:c r="I530" s="40" t="str">
        <x:f>IF(AND(ISNUMBER(H530),ISNUMBER(C530)),H530-C530,"")</x:f>
      </x:c>
      <x:c r="J530" s="2" t="str">
        <x:v>%</x:v>
      </x:c>
      <x:c r="K530" s="2" t="str">
        <x:v>Nova</x:v>
      </x:c>
      <x:c r="L530" s="28" t="str"/>
      <x:c r="M530" s="20"/>
      <x:c r="N530" s="21"/>
      <x:c r="O530" s="26" t="str">
        <x:v>Unique email-positive opportunities booked / unique email-positive opportunities in the same reviewed cohort. Use a documented follow-up window. This differs from the all-channel 40-inquiry/20-booking planning assumption. A zero denominator is N/A.</x:v>
      </x:c>
      <x:c r="P530" s="26" t="str">
        <x:v>PDF §9</x:v>
      </x:c>
      <x:c r="Q530" s="2" t="n">
        <x:f>IF(ISNUMBER(H530),1,0)</x:f>
        <x:v>0</x:v>
      </x:c>
    </x:row>
    <x:row r="531" ht="46" customHeight="1">
      <x:c r="A531" s="17" t="n">
        <x:v>46347</x:v>
      </x:c>
      <x:c r="B531" s="2" t="str">
        <x:v>Existing-account referral asks</x:v>
      </x:c>
      <x:c r="C531" s="2" t="n">
        <x:v>35</x:v>
      </x:c>
      <x:c r="D531" s="2" t="str">
        <x:v>Cumulative total</x:v>
      </x:c>
      <x:c r="E531" s="20"/>
      <x:c r="F531" s="20"/>
      <x:c r="G531" s="20"/>
      <x:c r="H531" s="2" t="str">
        <x:f>IF(D531="Rate",IF(COUNT(F531:G531)&lt;2,"",IF(G531=0,"n.a.",F531/G531)),IF(COUNT(E531)=0,"",E531))</x:f>
      </x:c>
      <x:c r="I531" s="2" t="str">
        <x:f>IF(AND(ISNUMBER(H531),ISNUMBER(C531)),H531-C531,"")</x:f>
      </x:c>
      <x:c r="J531" s="2" t="str">
        <x:v>accounts asked</x:v>
      </x:c>
      <x:c r="K531" s="2" t="str">
        <x:v>Maseeha</x:v>
      </x:c>
      <x:c r="L531" s="28" t="str"/>
      <x:c r="M531" s="20"/>
      <x:c r="N531" s="21"/>
      <x:c r="O531" s="26" t="str">
        <x:v>Ask 25 unique A/B accounts (5 A and 20 B) by November 13; proposed pace 35 total by November 20; complete the remaining C accounts to reach 41 total by November 25. One introduction is the ask; asks and received intros are separate counts.</x:v>
      </x:c>
      <x:c r="P531" s="26" t="str">
        <x:v>PDF §16 supplies 25 A/B byNov 14 and 16 C byNov 25; Friday deadline and 35-byNov 20 pace are proposed scheduling allocations.</x:v>
      </x:c>
      <x:c r="Q531" s="2" t="n">
        <x:f>IF(ISNUMBER(H531),1,0)</x:f>
        <x:v>0</x:v>
      </x:c>
    </x:row>
    <x:row r="532" ht="46" customHeight="1">
      <x:c r="A532" s="17" t="n">
        <x:v>46347</x:v>
      </x:c>
      <x:c r="B532" s="2" t="str">
        <x:v>Approved SOPs</x:v>
      </x:c>
      <x:c r="C532" s="2"/>
      <x:c r="D532" s="2" t="str">
        <x:v>Cumulative total</x:v>
      </x:c>
      <x:c r="E532" s="20"/>
      <x:c r="F532" s="20"/>
      <x:c r="G532" s="20"/>
      <x:c r="H532" s="2" t="str">
        <x:f>IF(D532="Rate",IF(COUNT(F532:G532)&lt;2,"",IF(G532=0,"n.a.",F532/G532)),IF(COUNT(E532)=0,"",E532))</x:f>
      </x:c>
      <x:c r="I532" s="2" t="str">
        <x:f>IF(AND(ISNUMBER(H532),ISNUMBER(C532)),H532-C532,"")</x:f>
      </x:c>
      <x:c r="J532" s="2" t="str">
        <x:v>SOPs</x:v>
      </x:c>
      <x:c r="K532" s="2" t="str">
        <x:v>Wyline</x:v>
      </x:c>
      <x:c r="L532" s="28" t="str"/>
      <x:c r="M532" s="20"/>
      <x:c r="N532" s="21"/>
      <x:c r="O532" s="26" t="str">
        <x:v>10 core SOPs plus ADS-01 and SOC-01 additions; approved version and independent-run evidence required.</x:v>
      </x:c>
      <x:c r="P532" s="26" t="str">
        <x:v>PDF §8 with §§17 b–d additions</x:v>
      </x:c>
      <x:c r="Q532" s="2" t="n">
        <x:f>IF(ISNUMBER(H532),1,0)</x:f>
        <x:v>0</x:v>
      </x:c>
    </x:row>
    <x:row r="533" ht="46" customHeight="1">
      <x:c r="A533" s="17" t="n">
        <x:v>46347</x:v>
      </x:c>
      <x:c r="B533" s="2" t="str">
        <x:v>Accepted AI agents</x:v>
      </x:c>
      <x:c r="C533" s="2"/>
      <x:c r="D533" s="2" t="str">
        <x:v>Cumulative total</x:v>
      </x:c>
      <x:c r="E533" s="20"/>
      <x:c r="F533" s="20"/>
      <x:c r="G533" s="20"/>
      <x:c r="H533" s="2" t="str">
        <x:f>IF(D533="Rate",IF(COUNT(F533:G533)&lt;2,"",IF(G533=0,"n.a.",F533/G533)),IF(COUNT(E533)=0,"",E533))</x:f>
      </x:c>
      <x:c r="I533" s="2" t="str">
        <x:f>IF(AND(ISNUMBER(H533),ISNUMBER(C533)),H533-C533,"")</x:f>
      </x:c>
      <x:c r="J533" s="2" t="str">
        <x:v>agents</x:v>
      </x:c>
      <x:c r="K533" s="2" t="str">
        <x:v>Emman</x:v>
      </x:c>
      <x:c r="L533" s="28" t="str"/>
      <x:c r="M533" s="20"/>
      <x:c r="N533" s="21"/>
      <x:c r="O533" s="26" t="str">
        <x:v>Scout, Writer, Inbox, Phone Assist, LinkedIn Assist, Follow-up, Scoreboard and Client Reporter; acceptance evidence required.</x:v>
      </x:c>
      <x:c r="P533" s="26" t="str">
        <x:v>PDF §7</x:v>
      </x:c>
      <x:c r="Q533" s="2" t="n">
        <x:f>IF(ISNUMBER(H533),1,0)</x:f>
        <x:v>0</x:v>
      </x:c>
    </x:row>
    <x:row r="534" ht="46" customHeight="1">
      <x:c r="A534" s="17" t="n">
        <x:v>46348</x:v>
      </x:c>
      <x:c r="B534" s="2" t="str">
        <x:v>Qualified inquiries</x:v>
      </x:c>
      <x:c r="C534" s="2" t="n">
        <x:v>16</x:v>
      </x:c>
      <x:c r="D534" s="2" t="str">
        <x:v>Cumulative total</x:v>
      </x:c>
      <x:c r="E534" s="20"/>
      <x:c r="F534" s="20"/>
      <x:c r="G534" s="20"/>
      <x:c r="H534" s="2" t="str">
        <x:f>IF(D534="Rate",IF(COUNT(F534:G534)&lt;2,"",IF(G534=0,"n.a.",F534/G534)),IF(COUNT(E534)=0,"",E534))</x:f>
      </x:c>
      <x:c r="I534" s="2" t="str">
        <x:f>IF(AND(ISNUMBER(H534),ISNUMBER(C534)),H534-C534,"")</x:f>
      </x:c>
      <x:c r="J534" s="2" t="str">
        <x:v>inquiries</x:v>
      </x:c>
      <x:c r="K534" s="2" t="str">
        <x:v>Nova</x:v>
      </x:c>
      <x:c r="L534" s="28" t="str"/>
      <x:c r="M534" s="20"/>
      <x:c r="N534" s="21"/>
      <x:c r="O534" s="26" t="str">
        <x:v>Unique ICP-matched practices that express relevant interest, need or timing; Nova records practice type, decision-maker access, case volume, service need and readiness within 30–60 days. Raw records, opens and connection accepts do not qualify.</x:v>
      </x:c>
      <x:c r="P534" s="26" t="str">
        <x:v>Original proposal pages 2 and 4 define qualification; 40 by Dec 16 and intermediate pace are newly proposed recovery targets.</x:v>
      </x:c>
      <x:c r="Q534" s="2" t="n">
        <x:f>IF(ISNUMBER(H534),1,0)</x:f>
        <x:v>0</x:v>
      </x:c>
    </x:row>
    <x:row r="535" ht="46" customHeight="1">
      <x:c r="A535" s="17" t="n">
        <x:v>46348</x:v>
      </x:c>
      <x:c r="B535" s="2" t="str">
        <x:v>Qualified conversations booked</x:v>
      </x:c>
      <x:c r="C535" s="2" t="n">
        <x:v>8</x:v>
      </x:c>
      <x:c r="D535" s="2" t="str">
        <x:v>Cumulative total</x:v>
      </x:c>
      <x:c r="E535" s="20"/>
      <x:c r="F535" s="20"/>
      <x:c r="G535" s="20"/>
      <x:c r="H535" s="2" t="str">
        <x:f>IF(D535="Rate",IF(COUNT(F535:G535)&lt;2,"",IF(G535=0,"n.a.",F535/G535)),IF(COUNT(E535)=0,"",E535))</x:f>
      </x:c>
      <x:c r="I535" s="2" t="str">
        <x:f>IF(AND(ISNUMBER(H535),ISNUMBER(C535)),H535-C535,"")</x:f>
      </x:c>
      <x:c r="J535" s="2" t="str">
        <x:v>bookings</x:v>
      </x:c>
      <x:c r="K535" s="2" t="str">
        <x:v>Nova</x:v>
      </x:c>
      <x:c r="L535" s="28" t="str"/>
      <x:c r="M535" s="20"/>
      <x:c r="N535" s="21"/>
      <x:c r="O535" s="26" t="str">
        <x:v>Unique qualified calls/visits booked with Nic; rebooking same opportunity is not a new booking.</x:v>
      </x:c>
      <x:c r="P535" s="26" t="str">
        <x:v>PDF §10; final deadline advanced to user Dec 16</x:v>
      </x:c>
      <x:c r="Q535" s="2" t="n">
        <x:f>IF(ISNUMBER(H535),1,0)</x:f>
        <x:v>0</x:v>
      </x:c>
    </x:row>
    <x:row r="536" ht="46" customHeight="1">
      <x:c r="A536" s="17" t="n">
        <x:v>46348</x:v>
      </x:c>
      <x:c r="B536" s="2" t="str">
        <x:v>Qualified conversations held</x:v>
      </x:c>
      <x:c r="C536" s="2" t="n">
        <x:v>6</x:v>
      </x:c>
      <x:c r="D536" s="2" t="str">
        <x:v>Cumulative total</x:v>
      </x:c>
      <x:c r="E536" s="20"/>
      <x:c r="F536" s="20"/>
      <x:c r="G536" s="20"/>
      <x:c r="H536" s="2" t="str">
        <x:f>IF(D536="Rate",IF(COUNT(F536:G536)&lt;2,"",IF(G536=0,"n.a.",F536/G536)),IF(COUNT(E536)=0,"",E536))</x:f>
      </x:c>
      <x:c r="I536" s="2" t="str">
        <x:f>IF(AND(ISNUMBER(H536),ISNUMBER(C536)),H536-C536,"")</x:f>
      </x:c>
      <x:c r="J536" s="2" t="str">
        <x:v>held</x:v>
      </x:c>
      <x:c r="K536" s="2" t="str">
        <x:v>Nova</x:v>
      </x:c>
      <x:c r="L536" s="28" t="str"/>
      <x:c r="M536" s="20"/>
      <x:c r="N536" s="21"/>
      <x:c r="O536" s="26" t="str">
        <x:v>Completed qualified calls/visits; 6 and 15 are integer planning proxies for 70% of 8 and 75% of 20.</x:v>
      </x:c>
      <x:c r="P536" s="26" t="str">
        <x:v>Derived from source held-rate targets</x:v>
      </x:c>
      <x:c r="Q536" s="2" t="n">
        <x:f>IF(ISNUMBER(H536),1,0)</x:f>
        <x:v>0</x:v>
      </x:c>
    </x:row>
    <x:row r="537" ht="46" customHeight="1">
      <x:c r="A537" s="17" t="n">
        <x:v>46348</x:v>
      </x:c>
      <x:c r="B537" s="2" t="str">
        <x:v>Trial cases received by DSI</x:v>
      </x:c>
      <x:c r="C537" s="2" t="n">
        <x:v>2</x:v>
      </x:c>
      <x:c r="D537" s="2" t="str">
        <x:v>Cumulative total</x:v>
      </x:c>
      <x:c r="E537" s="20"/>
      <x:c r="F537" s="20"/>
      <x:c r="G537" s="20"/>
      <x:c r="H537" s="2" t="str">
        <x:f>IF(D537="Rate",IF(COUNT(F537:G537)&lt;2,"",IF(G537=0,"n.a.",F537/G537)),IF(COUNT(E537)=0,"",E537))</x:f>
      </x:c>
      <x:c r="I537" s="2" t="str">
        <x:f>IF(AND(ISNUMBER(H537),ISNUMBER(C537)),H537-C537,"")</x:f>
      </x:c>
      <x:c r="J537" s="2" t="str">
        <x:v>trials</x:v>
      </x:c>
      <x:c r="K537" s="2" t="str">
        <x:v>Maseeha</x:v>
      </x:c>
      <x:c r="L537" s="28" t="str"/>
      <x:c r="M537" s="20"/>
      <x:c r="N537" s="21"/>
      <x:c r="O537" s="26" t="str">
        <x:v>Practice’s first trial case received by DSI, not merely promised or shipped; subject to Maseeha capacity.</x:v>
      </x:c>
      <x:c r="P537" s="26" t="str">
        <x:v>PDF §10; final deadline advanced to user Dec 16</x:v>
      </x:c>
      <x:c r="Q537" s="2" t="n">
        <x:f>IF(ISNUMBER(H537),1,0)</x:f>
        <x:v>0</x:v>
      </x:c>
    </x:row>
    <x:row r="538" ht="46" customHeight="1">
      <x:c r="A538" s="17" t="n">
        <x:v>46348</x:v>
      </x:c>
      <x:c r="B538" s="2" t="str">
        <x:v>Recurring accounts signed</x:v>
      </x:c>
      <x:c r="C538" s="2"/>
      <x:c r="D538" s="2" t="str">
        <x:v>Cumulative total</x:v>
      </x:c>
      <x:c r="E538" s="20"/>
      <x:c r="F538" s="20"/>
      <x:c r="G538" s="20"/>
      <x:c r="H538" s="2" t="str">
        <x:f>IF(D538="Rate",IF(COUNT(F538:G538)&lt;2,"",IF(G538=0,"n.a.",F538/G538)),IF(COUNT(E538)=0,"",E538))</x:f>
      </x:c>
      <x:c r="I538" s="2" t="str">
        <x:f>IF(AND(ISNUMBER(H538),ISNUMBER(C538)),H538-C538,"")</x:f>
      </x:c>
      <x:c r="J538" s="2" t="str">
        <x:v>accounts</x:v>
      </x:c>
      <x:c r="K538" s="2" t="str">
        <x:v>Nic</x:v>
      </x:c>
      <x:c r="L538" s="28" t="str"/>
      <x:c r="M538" s="20"/>
      <x:c r="N538" s="21"/>
      <x:c r="O538" s="26" t="str">
        <x:v>Plan signed following Day-30 review; only mature trial cohorts eligible. 1–3 is a conditional range.</x:v>
      </x:c>
      <x:c r="P538" s="26" t="str">
        <x:v>PDF §10</x:v>
      </x:c>
      <x:c r="Q538" s="2" t="n">
        <x:f>IF(ISNUMBER(H538),1,0)</x:f>
        <x:v>0</x:v>
      </x:c>
    </x:row>
    <x:row r="539" ht="46" customHeight="1">
      <x:c r="A539" s="17" t="n">
        <x:v>46348</x:v>
      </x:c>
      <x:c r="B539" s="2" t="str">
        <x:v>Referral-sourced bookings</x:v>
      </x:c>
      <x:c r="C539" s="2" t="n">
        <x:v>4</x:v>
      </x:c>
      <x:c r="D539" s="2" t="str">
        <x:v>Cumulative total</x:v>
      </x:c>
      <x:c r="E539" s="20"/>
      <x:c r="F539" s="20"/>
      <x:c r="G539" s="20"/>
      <x:c r="H539" s="2" t="str">
        <x:f>IF(D539="Rate",IF(COUNT(F539:G539)&lt;2,"",IF(G539=0,"n.a.",F539/G539)),IF(COUNT(E539)=0,"",E539))</x:f>
      </x:c>
      <x:c r="I539" s="2" t="str">
        <x:f>IF(AND(ISNUMBER(H539),ISNUMBER(C539)),H539-C539,"")</x:f>
      </x:c>
      <x:c r="J539" s="2" t="str">
        <x:v>bookings</x:v>
      </x:c>
      <x:c r="K539" s="2" t="str">
        <x:v>Nova</x:v>
      </x:c>
      <x:c r="L539" s="28" t="str"/>
      <x:c r="M539" s="20"/>
      <x:c r="N539" s="21"/>
      <x:c r="O539" s="26" t="str">
        <x:v>Subset of booked total with primary Source=Referral; never added on top of all-channel bookings.</x:v>
      </x:c>
      <x:c r="P539" s="26" t="str">
        <x:v>PDF §§10, 16</x:v>
      </x:c>
      <x:c r="Q539" s="2" t="n">
        <x:f>IF(ISNUMBER(H539),1,0)</x:f>
        <x:v>0</x:v>
      </x:c>
    </x:row>
    <x:row r="540" ht="46" customHeight="1">
      <x:c r="A540" s="17" t="n">
        <x:v>46348</x:v>
      </x:c>
      <x:c r="B540" s="2" t="str">
        <x:v>LinkedIn DM-sourced bookings</x:v>
      </x:c>
      <x:c r="C540" s="2" t="n">
        <x:v>3</x:v>
      </x:c>
      <x:c r="D540" s="2" t="str">
        <x:v>Cumulative total</x:v>
      </x:c>
      <x:c r="E540" s="20"/>
      <x:c r="F540" s="20"/>
      <x:c r="G540" s="20"/>
      <x:c r="H540" s="2" t="str">
        <x:f>IF(D540="Rate",IF(COUNT(F540:G540)&lt;2,"",IF(G540=0,"n.a.",F540/G540)),IF(COUNT(E540)=0,"",E540))</x:f>
      </x:c>
      <x:c r="I540" s="2" t="str">
        <x:f>IF(AND(ISNUMBER(H540),ISNUMBER(C540)),H540-C540,"")</x:f>
      </x:c>
      <x:c r="J540" s="2" t="str">
        <x:v>bookings</x:v>
      </x:c>
      <x:c r="K540" s="2" t="str">
        <x:v>Dexter</x:v>
      </x:c>
      <x:c r="L540" s="28" t="str"/>
      <x:c r="M540" s="20"/>
      <x:c r="N540" s="21"/>
      <x:c r="O540" s="26" t="str">
        <x:v>Subset of booked total with primary Source=LinkedIn DM; assists tracked separately.</x:v>
      </x:c>
      <x:c r="P540" s="26" t="str">
        <x:v>PDF §§10, 17 a</x:v>
      </x:c>
      <x:c r="Q540" s="2" t="n">
        <x:f>IF(ISNUMBER(H540),1,0)</x:f>
        <x:v>0</x:v>
      </x:c>
    </x:row>
    <x:row r="541" ht="46" customHeight="1">
      <x:c r="A541" s="17" t="n">
        <x:v>46348</x:v>
      </x:c>
      <x:c r="B541" s="2" t="str">
        <x:v>Verified contacts ready</x:v>
      </x:c>
      <x:c r="C541" s="2" t="n">
        <x:v>500</x:v>
      </x:c>
      <x:c r="D541" s="2" t="str">
        <x:v>Cumulative total</x:v>
      </x:c>
      <x:c r="E541" s="20"/>
      <x:c r="F541" s="20"/>
      <x:c r="G541" s="20"/>
      <x:c r="H541" s="2" t="str">
        <x:f>IF(D541="Rate",IF(COUNT(F541:G541)&lt;2,"",IF(G541=0,"n.a.",F541/G541)),IF(COUNT(E541)=0,"",E541))</x:f>
      </x:c>
      <x:c r="I541" s="2" t="str">
        <x:f>IF(AND(ISNUMBER(H541),ISNUMBER(C541)),H541-C541,"")</x:f>
      </x:c>
      <x:c r="J541" s="2" t="str">
        <x:v>contacts</x:v>
      </x:c>
      <x:c r="K541" s="2" t="str">
        <x:v>Joey</x:v>
      </x:c>
      <x:c r="L541" s="28" t="str"/>
      <x:c r="M541" s="20"/>
      <x:c r="N541" s="21"/>
      <x:c r="O541" s="26" t="str">
        <x:v>Unique contacts passing Scout and loaded in CQL; count once per contact.</x:v>
      </x:c>
      <x:c r="P541" s="26" t="str">
        <x:v>PDF §§10, 14; 750 due Dec 12 moved to Fri Dec 11</x:v>
      </x:c>
      <x:c r="Q541" s="2" t="n">
        <x:f>IF(ISNUMBER(H541),1,0)</x:f>
        <x:v>0</x:v>
      </x:c>
    </x:row>
    <x:row r="542" ht="46" customHeight="1">
      <x:c r="A542" s="17" t="n">
        <x:v>46348</x:v>
      </x:c>
      <x:c r="B542" s="2" t="str">
        <x:v>Permission-based referral introductions</x:v>
      </x:c>
      <x:c r="C542" s="2" t="n">
        <x:v>8</x:v>
      </x:c>
      <x:c r="D542" s="2" t="str">
        <x:v>Cumulative total</x:v>
      </x:c>
      <x:c r="E542" s="20"/>
      <x:c r="F542" s="20"/>
      <x:c r="G542" s="20"/>
      <x:c r="H542" s="2" t="str">
        <x:f>IF(D542="Rate",IF(COUNT(F542:G542)&lt;2,"",IF(G542=0,"n.a.",F542/G542)),IF(COUNT(E542)=0,"",E542))</x:f>
      </x:c>
      <x:c r="I542" s="2" t="str">
        <x:f>IF(AND(ISNUMBER(H542),ISNUMBER(C542)),H542-C542,"")</x:f>
      </x:c>
      <x:c r="J542" s="2" t="str">
        <x:v>introductions</x:v>
      </x:c>
      <x:c r="K542" s="2" t="str">
        <x:v>Maseeha</x:v>
      </x:c>
      <x:c r="L542" s="28" t="str"/>
      <x:c r="M542" s="20"/>
      <x:c r="N542" s="21"/>
      <x:c r="O542" s="26" t="str">
        <x:v>Unique introductions with consent and referrer recorded, verified by Maseeha within 2 business days.</x:v>
      </x:c>
      <x:c r="P542" s="26" t="str">
        <x:v>PDF §§10, 16</x:v>
      </x:c>
      <x:c r="Q542" s="2" t="n">
        <x:f>IF(ISNUMBER(H542),1,0)</x:f>
        <x:v>0</x:v>
      </x:c>
    </x:row>
    <x:row r="543" ht="46" customHeight="1">
      <x:c r="A543" s="17" t="n">
        <x:v>46348</x:v>
      </x:c>
      <x:c r="B543" s="2" t="str">
        <x:v>Human reply rate</x:v>
      </x:c>
      <x:c r="C543" s="40" t="n">
        <x:v>0.03</x:v>
      </x:c>
      <x:c r="D543" s="2" t="str">
        <x:v>Rate</x:v>
      </x:c>
      <x:c r="E543" s="20"/>
      <x:c r="F543" s="20"/>
      <x:c r="G543" s="20"/>
      <x:c r="H543" s="40" t="str">
        <x:f>IF(D543="Rate",IF(COUNT(F543:G543)&lt;2,"",IF(G543=0,"n.a.",F543/G543)),IF(COUNT(E543)=0,"",E543))</x:f>
      </x:c>
      <x:c r="I543" s="40" t="str">
        <x:f>IF(AND(ISNUMBER(H543),ISNUMBER(C543)),H543-C543,"")</x:f>
      </x:c>
      <x:c r="J543" s="2" t="str">
        <x:v>%</x:v>
      </x:c>
      <x:c r="K543" s="2" t="str">
        <x:v>Kenneth</x:v>
      </x:c>
      <x:c r="L543" s="28" t="str"/>
      <x:c r="M543" s="20"/>
      <x:c r="N543" s="21"/>
      <x:c r="O543" s="26" t="str">
        <x:v>Unique emailed contacts that give a qualifying human reply / unique contacts emailed in the same send cohort. Exclude OOO, auto-replies, bounces and unsubscribe-only replies. Deduplicate contacts across sequence steps; zero denominator is N/A.</x:v>
      </x:c>
      <x:c r="P543" s="26" t="str">
        <x:v>PDF §10</x:v>
      </x:c>
      <x:c r="Q543" s="2" t="n">
        <x:f>IF(ISNUMBER(H543),1,0)</x:f>
        <x:v>0</x:v>
      </x:c>
    </x:row>
    <x:row r="544" ht="46" customHeight="1">
      <x:c r="A544" s="17" t="n">
        <x:v>46348</x:v>
      </x:c>
      <x:c r="B544" s="2" t="str">
        <x:v>Positive reply rate</x:v>
      </x:c>
      <x:c r="C544" s="40" t="n">
        <x:v>0.015</x:v>
      </x:c>
      <x:c r="D544" s="2" t="str">
        <x:v>Rate</x:v>
      </x:c>
      <x:c r="E544" s="20"/>
      <x:c r="F544" s="20"/>
      <x:c r="G544" s="20"/>
      <x:c r="H544" s="40" t="str">
        <x:f>IF(D544="Rate",IF(COUNT(F544:G544)&lt;2,"",IF(G544=0,"n.a.",F544/G544)),IF(COUNT(E544)=0,"",E544))</x:f>
      </x:c>
      <x:c r="I544" s="40" t="str">
        <x:f>IF(AND(ISNUMBER(H544),ISNUMBER(C544)),H544-C544,"")</x:f>
      </x:c>
      <x:c r="J544" s="2" t="str">
        <x:v>%</x:v>
      </x:c>
      <x:c r="K544" s="2" t="str">
        <x:v>Kenneth</x:v>
      </x:c>
      <x:c r="L544" s="28" t="str"/>
      <x:c r="M544" s="20"/>
      <x:c r="N544" s="21"/>
      <x:c r="O544" s="26" t="str">
        <x:v>Unique emailed contacts classified interested or relevant question / unique contacts emailed in the same send cohort. Deduplicate across sequence steps; zero denominator is N/A. Keep this email rate separate from all-channel qualified inquiries.</x:v>
      </x:c>
      <x:c r="P544" s="26" t="str">
        <x:v>PDF §10</x:v>
      </x:c>
      <x:c r="Q544" s="2" t="n">
        <x:f>IF(ISNUMBER(H544),1,0)</x:f>
        <x:v>0</x:v>
      </x:c>
    </x:row>
    <x:row r="545" ht="46" customHeight="1">
      <x:c r="A545" s="17" t="n">
        <x:v>46348</x:v>
      </x:c>
      <x:c r="B545" s="2" t="str">
        <x:v>Replies answered within 15 minutes</x:v>
      </x:c>
      <x:c r="C545" s="40" t="n">
        <x:v>1</x:v>
      </x:c>
      <x:c r="D545" s="2" t="str">
        <x:v>Rate</x:v>
      </x:c>
      <x:c r="E545" s="20"/>
      <x:c r="F545" s="20"/>
      <x:c r="G545" s="20"/>
      <x:c r="H545" s="40" t="str">
        <x:f>IF(D545="Rate",IF(COUNT(F545:G545)&lt;2,"",IF(G545=0,"n.a.",F545/G545)),IF(COUNT(E545)=0,"",E545))</x:f>
      </x:c>
      <x:c r="I545" s="40" t="str">
        <x:f>IF(AND(ISNUMBER(H545),ISNUMBER(C545)),H545-C545,"")</x:f>
      </x:c>
      <x:c r="J545" s="2" t="str">
        <x:v>%</x:v>
      </x:c>
      <x:c r="K545" s="2" t="str">
        <x:v>Nova</x:v>
      </x:c>
      <x:c r="L545" s="28" t="str"/>
      <x:c r="M545" s="20"/>
      <x:c r="N545" s="21"/>
      <x:c r="O545"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45" s="26" t="str">
        <x:v>PDF §9; clock convention clarified for tracker</x:v>
      </x:c>
      <x:c r="Q545" s="2" t="n">
        <x:f>IF(ISNUMBER(H545),1,0)</x:f>
        <x:v>0</x:v>
      </x:c>
    </x:row>
    <x:row r="546" ht="46" customHeight="1">
      <x:c r="A546" s="17" t="n">
        <x:v>46348</x:v>
      </x:c>
      <x:c r="B546" s="2" t="str">
        <x:v>Held rate</x:v>
      </x:c>
      <x:c r="C546" s="40" t="n">
        <x:v>0.75</x:v>
      </x:c>
      <x:c r="D546" s="2" t="str">
        <x:v>Rate</x:v>
      </x:c>
      <x:c r="E546" s="20"/>
      <x:c r="F546" s="20"/>
      <x:c r="G546" s="20"/>
      <x:c r="H546" s="40" t="str">
        <x:f>IF(D546="Rate",IF(COUNT(F546:G546)&lt;2,"",IF(G546=0,"n.a.",F546/G546)),IF(COUNT(E546)=0,"",E546))</x:f>
      </x:c>
      <x:c r="I546" s="40" t="str">
        <x:f>IF(AND(ISNUMBER(H546),ISNUMBER(C546)),H546-C546,"")</x:f>
      </x:c>
      <x:c r="J546" s="2" t="str">
        <x:v>%</x:v>
      </x:c>
      <x:c r="K546" s="2" t="str">
        <x:v>Nova</x:v>
      </x:c>
      <x:c r="L546" s="28" t="str"/>
      <x:c r="M546" s="20"/>
      <x:c r="N546" s="21"/>
      <x:c r="O546" s="26" t="str">
        <x:v>Qualified conversations actually held / unique booked conversations whose scheduled time has passed. Exclude upcoming appointments. Rebooking the same opportunity is not a second booking. A zero denominator is N/A.</x:v>
      </x:c>
      <x:c r="P546" s="26" t="str">
        <x:v>PDF §10; due-cohort denominator clarified</x:v>
      </x:c>
      <x:c r="Q546" s="2" t="n">
        <x:f>IF(ISNUMBER(H546),1,0)</x:f>
        <x:v>0</x:v>
      </x:c>
    </x:row>
    <x:row r="547" ht="46" customHeight="1">
      <x:c r="A547" s="17" t="n">
        <x:v>46348</x:v>
      </x:c>
      <x:c r="B547" s="2" t="str">
        <x:v>Positive-to-booked conversion</x:v>
      </x:c>
      <x:c r="C547" s="40" t="n">
        <x:v>0.5</x:v>
      </x:c>
      <x:c r="D547" s="2" t="str">
        <x:v>Rate</x:v>
      </x:c>
      <x:c r="E547" s="20"/>
      <x:c r="F547" s="20"/>
      <x:c r="G547" s="20"/>
      <x:c r="H547" s="40" t="str">
        <x:f>IF(D547="Rate",IF(COUNT(F547:G547)&lt;2,"",IF(G547=0,"n.a.",F547/G547)),IF(COUNT(E547)=0,"",E547))</x:f>
      </x:c>
      <x:c r="I547" s="40" t="str">
        <x:f>IF(AND(ISNUMBER(H547),ISNUMBER(C547)),H547-C547,"")</x:f>
      </x:c>
      <x:c r="J547" s="2" t="str">
        <x:v>%</x:v>
      </x:c>
      <x:c r="K547" s="2" t="str">
        <x:v>Nova</x:v>
      </x:c>
      <x:c r="L547" s="28" t="str"/>
      <x:c r="M547" s="20"/>
      <x:c r="N547" s="21"/>
      <x:c r="O547" s="26" t="str">
        <x:v>Unique email-positive opportunities booked / unique email-positive opportunities in the same reviewed cohort. Use a documented follow-up window. This differs from the all-channel 40-inquiry/20-booking planning assumption. A zero denominator is N/A.</x:v>
      </x:c>
      <x:c r="P547" s="26" t="str">
        <x:v>PDF §9</x:v>
      </x:c>
      <x:c r="Q547" s="2" t="n">
        <x:f>IF(ISNUMBER(H547),1,0)</x:f>
        <x:v>0</x:v>
      </x:c>
    </x:row>
    <x:row r="548" ht="46" customHeight="1">
      <x:c r="A548" s="17" t="n">
        <x:v>46348</x:v>
      </x:c>
      <x:c r="B548" s="2" t="str">
        <x:v>Existing-account referral asks</x:v>
      </x:c>
      <x:c r="C548" s="2" t="n">
        <x:v>35</x:v>
      </x:c>
      <x:c r="D548" s="2" t="str">
        <x:v>Cumulative total</x:v>
      </x:c>
      <x:c r="E548" s="20"/>
      <x:c r="F548" s="20"/>
      <x:c r="G548" s="20"/>
      <x:c r="H548" s="2" t="str">
        <x:f>IF(D548="Rate",IF(COUNT(F548:G548)&lt;2,"",IF(G548=0,"n.a.",F548/G548)),IF(COUNT(E548)=0,"",E548))</x:f>
      </x:c>
      <x:c r="I548" s="2" t="str">
        <x:f>IF(AND(ISNUMBER(H548),ISNUMBER(C548)),H548-C548,"")</x:f>
      </x:c>
      <x:c r="J548" s="2" t="str">
        <x:v>accounts asked</x:v>
      </x:c>
      <x:c r="K548" s="2" t="str">
        <x:v>Maseeha</x:v>
      </x:c>
      <x:c r="L548" s="28" t="str"/>
      <x:c r="M548" s="20"/>
      <x:c r="N548" s="21"/>
      <x:c r="O548" s="26" t="str">
        <x:v>Ask 25 unique A/B accounts (5 A and 20 B) by November 13; proposed pace 35 total by November 20; complete the remaining C accounts to reach 41 total by November 25. One introduction is the ask; asks and received intros are separate counts.</x:v>
      </x:c>
      <x:c r="P548" s="26" t="str">
        <x:v>PDF §16 supplies 25 A/B byNov 14 and 16 C byNov 25; Friday deadline and 35-byNov 20 pace are proposed scheduling allocations.</x:v>
      </x:c>
      <x:c r="Q548" s="2" t="n">
        <x:f>IF(ISNUMBER(H548),1,0)</x:f>
        <x:v>0</x:v>
      </x:c>
    </x:row>
    <x:row r="549" ht="46" customHeight="1">
      <x:c r="A549" s="17" t="n">
        <x:v>46348</x:v>
      </x:c>
      <x:c r="B549" s="2" t="str">
        <x:v>Approved SOPs</x:v>
      </x:c>
      <x:c r="C549" s="2"/>
      <x:c r="D549" s="2" t="str">
        <x:v>Cumulative total</x:v>
      </x:c>
      <x:c r="E549" s="20"/>
      <x:c r="F549" s="20"/>
      <x:c r="G549" s="20"/>
      <x:c r="H549" s="2" t="str">
        <x:f>IF(D549="Rate",IF(COUNT(F549:G549)&lt;2,"",IF(G549=0,"n.a.",F549/G549)),IF(COUNT(E549)=0,"",E549))</x:f>
      </x:c>
      <x:c r="I549" s="2" t="str">
        <x:f>IF(AND(ISNUMBER(H549),ISNUMBER(C549)),H549-C549,"")</x:f>
      </x:c>
      <x:c r="J549" s="2" t="str">
        <x:v>SOPs</x:v>
      </x:c>
      <x:c r="K549" s="2" t="str">
        <x:v>Wyline</x:v>
      </x:c>
      <x:c r="L549" s="28" t="str"/>
      <x:c r="M549" s="20"/>
      <x:c r="N549" s="21"/>
      <x:c r="O549" s="26" t="str">
        <x:v>10 core SOPs plus ADS-01 and SOC-01 additions; approved version and independent-run evidence required.</x:v>
      </x:c>
      <x:c r="P549" s="26" t="str">
        <x:v>PDF §8 with §§17 b–d additions</x:v>
      </x:c>
      <x:c r="Q549" s="2" t="n">
        <x:f>IF(ISNUMBER(H549),1,0)</x:f>
        <x:v>0</x:v>
      </x:c>
    </x:row>
    <x:row r="550" ht="46" customHeight="1">
      <x:c r="A550" s="17" t="n">
        <x:v>46348</x:v>
      </x:c>
      <x:c r="B550" s="2" t="str">
        <x:v>Accepted AI agents</x:v>
      </x:c>
      <x:c r="C550" s="2"/>
      <x:c r="D550" s="2" t="str">
        <x:v>Cumulative total</x:v>
      </x:c>
      <x:c r="E550" s="20"/>
      <x:c r="F550" s="20"/>
      <x:c r="G550" s="20"/>
      <x:c r="H550" s="2" t="str">
        <x:f>IF(D550="Rate",IF(COUNT(F550:G550)&lt;2,"",IF(G550=0,"n.a.",F550/G550)),IF(COUNT(E550)=0,"",E550))</x:f>
      </x:c>
      <x:c r="I550" s="2" t="str">
        <x:f>IF(AND(ISNUMBER(H550),ISNUMBER(C550)),H550-C550,"")</x:f>
      </x:c>
      <x:c r="J550" s="2" t="str">
        <x:v>agents</x:v>
      </x:c>
      <x:c r="K550" s="2" t="str">
        <x:v>Emman</x:v>
      </x:c>
      <x:c r="L550" s="28" t="str"/>
      <x:c r="M550" s="20"/>
      <x:c r="N550" s="21"/>
      <x:c r="O550" s="26" t="str">
        <x:v>Scout, Writer, Inbox, Phone Assist, LinkedIn Assist, Follow-up, Scoreboard and Client Reporter; acceptance evidence required.</x:v>
      </x:c>
      <x:c r="P550" s="26" t="str">
        <x:v>PDF §7</x:v>
      </x:c>
      <x:c r="Q550" s="2" t="n">
        <x:f>IF(ISNUMBER(H550),1,0)</x:f>
        <x:v>0</x:v>
      </x:c>
    </x:row>
    <x:row r="551" ht="46" customHeight="1">
      <x:c r="A551" s="17" t="n">
        <x:v>46349</x:v>
      </x:c>
      <x:c r="B551" s="2" t="str">
        <x:v>Qualified inquiries</x:v>
      </x:c>
      <x:c r="C551" s="2" t="n">
        <x:v>16</x:v>
      </x:c>
      <x:c r="D551" s="2" t="str">
        <x:v>Cumulative total</x:v>
      </x:c>
      <x:c r="E551" s="20"/>
      <x:c r="F551" s="20"/>
      <x:c r="G551" s="20"/>
      <x:c r="H551" s="2" t="str">
        <x:f>IF(D551="Rate",IF(COUNT(F551:G551)&lt;2,"",IF(G551=0,"n.a.",F551/G551)),IF(COUNT(E551)=0,"",E551))</x:f>
      </x:c>
      <x:c r="I551" s="2" t="str">
        <x:f>IF(AND(ISNUMBER(H551),ISNUMBER(C551)),H551-C551,"")</x:f>
      </x:c>
      <x:c r="J551" s="2" t="str">
        <x:v>inquiries</x:v>
      </x:c>
      <x:c r="K551" s="2" t="str">
        <x:v>Nova</x:v>
      </x:c>
      <x:c r="L551" s="28" t="str"/>
      <x:c r="M551" s="20"/>
      <x:c r="N551" s="21"/>
      <x:c r="O551" s="26" t="str">
        <x:v>Unique ICP-matched practices that express relevant interest, need or timing; Nova records practice type, decision-maker access, case volume, service need and readiness within 30–60 days. Raw records, opens and connection accepts do not qualify.</x:v>
      </x:c>
      <x:c r="P551" s="26" t="str">
        <x:v>Original proposal pages 2 and 4 define qualification; 40 by Dec 16 and intermediate pace are newly proposed recovery targets.</x:v>
      </x:c>
      <x:c r="Q551" s="2" t="n">
        <x:f>IF(ISNUMBER(H551),1,0)</x:f>
        <x:v>0</x:v>
      </x:c>
    </x:row>
    <x:row r="552" ht="46" customHeight="1">
      <x:c r="A552" s="17" t="n">
        <x:v>46349</x:v>
      </x:c>
      <x:c r="B552" s="2" t="str">
        <x:v>Qualified conversations booked</x:v>
      </x:c>
      <x:c r="C552" s="2" t="n">
        <x:v>8</x:v>
      </x:c>
      <x:c r="D552" s="2" t="str">
        <x:v>Cumulative total</x:v>
      </x:c>
      <x:c r="E552" s="20"/>
      <x:c r="F552" s="20"/>
      <x:c r="G552" s="20"/>
      <x:c r="H552" s="2" t="str">
        <x:f>IF(D552="Rate",IF(COUNT(F552:G552)&lt;2,"",IF(G552=0,"n.a.",F552/G552)),IF(COUNT(E552)=0,"",E552))</x:f>
      </x:c>
      <x:c r="I552" s="2" t="str">
        <x:f>IF(AND(ISNUMBER(H552),ISNUMBER(C552)),H552-C552,"")</x:f>
      </x:c>
      <x:c r="J552" s="2" t="str">
        <x:v>bookings</x:v>
      </x:c>
      <x:c r="K552" s="2" t="str">
        <x:v>Nova</x:v>
      </x:c>
      <x:c r="L552" s="28" t="str"/>
      <x:c r="M552" s="20"/>
      <x:c r="N552" s="21"/>
      <x:c r="O552" s="26" t="str">
        <x:v>Unique qualified calls/visits booked with Nic; rebooking same opportunity is not a new booking.</x:v>
      </x:c>
      <x:c r="P552" s="26" t="str">
        <x:v>PDF §10; final deadline advanced to user Dec 16</x:v>
      </x:c>
      <x:c r="Q552" s="2" t="n">
        <x:f>IF(ISNUMBER(H552),1,0)</x:f>
        <x:v>0</x:v>
      </x:c>
    </x:row>
    <x:row r="553" ht="46" customHeight="1">
      <x:c r="A553" s="17" t="n">
        <x:v>46349</x:v>
      </x:c>
      <x:c r="B553" s="2" t="str">
        <x:v>Qualified conversations held</x:v>
      </x:c>
      <x:c r="C553" s="2" t="n">
        <x:v>6</x:v>
      </x:c>
      <x:c r="D553" s="2" t="str">
        <x:v>Cumulative total</x:v>
      </x:c>
      <x:c r="E553" s="20"/>
      <x:c r="F553" s="20"/>
      <x:c r="G553" s="20"/>
      <x:c r="H553" s="2" t="str">
        <x:f>IF(D553="Rate",IF(COUNT(F553:G553)&lt;2,"",IF(G553=0,"n.a.",F553/G553)),IF(COUNT(E553)=0,"",E553))</x:f>
      </x:c>
      <x:c r="I553" s="2" t="str">
        <x:f>IF(AND(ISNUMBER(H553),ISNUMBER(C553)),H553-C553,"")</x:f>
      </x:c>
      <x:c r="J553" s="2" t="str">
        <x:v>held</x:v>
      </x:c>
      <x:c r="K553" s="2" t="str">
        <x:v>Nova</x:v>
      </x:c>
      <x:c r="L553" s="28" t="str"/>
      <x:c r="M553" s="20"/>
      <x:c r="N553" s="21"/>
      <x:c r="O553" s="26" t="str">
        <x:v>Completed qualified calls/visits; 6 and 15 are integer planning proxies for 70% of 8 and 75% of 20.</x:v>
      </x:c>
      <x:c r="P553" s="26" t="str">
        <x:v>Derived from source held-rate targets</x:v>
      </x:c>
      <x:c r="Q553" s="2" t="n">
        <x:f>IF(ISNUMBER(H553),1,0)</x:f>
        <x:v>0</x:v>
      </x:c>
    </x:row>
    <x:row r="554" ht="46" customHeight="1">
      <x:c r="A554" s="17" t="n">
        <x:v>46349</x:v>
      </x:c>
      <x:c r="B554" s="2" t="str">
        <x:v>Trial cases received by DSI</x:v>
      </x:c>
      <x:c r="C554" s="2" t="n">
        <x:v>2</x:v>
      </x:c>
      <x:c r="D554" s="2" t="str">
        <x:v>Cumulative total</x:v>
      </x:c>
      <x:c r="E554" s="20"/>
      <x:c r="F554" s="20"/>
      <x:c r="G554" s="20"/>
      <x:c r="H554" s="2" t="str">
        <x:f>IF(D554="Rate",IF(COUNT(F554:G554)&lt;2,"",IF(G554=0,"n.a.",F554/G554)),IF(COUNT(E554)=0,"",E554))</x:f>
      </x:c>
      <x:c r="I554" s="2" t="str">
        <x:f>IF(AND(ISNUMBER(H554),ISNUMBER(C554)),H554-C554,"")</x:f>
      </x:c>
      <x:c r="J554" s="2" t="str">
        <x:v>trials</x:v>
      </x:c>
      <x:c r="K554" s="2" t="str">
        <x:v>Maseeha</x:v>
      </x:c>
      <x:c r="L554" s="28" t="str"/>
      <x:c r="M554" s="20"/>
      <x:c r="N554" s="21"/>
      <x:c r="O554" s="26" t="str">
        <x:v>Practice’s first trial case received by DSI, not merely promised or shipped; subject to Maseeha capacity.</x:v>
      </x:c>
      <x:c r="P554" s="26" t="str">
        <x:v>PDF §10; final deadline advanced to user Dec 16</x:v>
      </x:c>
      <x:c r="Q554" s="2" t="n">
        <x:f>IF(ISNUMBER(H554),1,0)</x:f>
        <x:v>0</x:v>
      </x:c>
    </x:row>
    <x:row r="555" ht="46" customHeight="1">
      <x:c r="A555" s="17" t="n">
        <x:v>46349</x:v>
      </x:c>
      <x:c r="B555" s="2" t="str">
        <x:v>Recurring accounts signed</x:v>
      </x:c>
      <x:c r="C555" s="2"/>
      <x:c r="D555" s="2" t="str">
        <x:v>Cumulative total</x:v>
      </x:c>
      <x:c r="E555" s="20"/>
      <x:c r="F555" s="20"/>
      <x:c r="G555" s="20"/>
      <x:c r="H555" s="2" t="str">
        <x:f>IF(D555="Rate",IF(COUNT(F555:G555)&lt;2,"",IF(G555=0,"n.a.",F555/G555)),IF(COUNT(E555)=0,"",E555))</x:f>
      </x:c>
      <x:c r="I555" s="2" t="str">
        <x:f>IF(AND(ISNUMBER(H555),ISNUMBER(C555)),H555-C555,"")</x:f>
      </x:c>
      <x:c r="J555" s="2" t="str">
        <x:v>accounts</x:v>
      </x:c>
      <x:c r="K555" s="2" t="str">
        <x:v>Nic</x:v>
      </x:c>
      <x:c r="L555" s="28" t="str"/>
      <x:c r="M555" s="20"/>
      <x:c r="N555" s="21"/>
      <x:c r="O555" s="26" t="str">
        <x:v>Plan signed following Day-30 review; only mature trial cohorts eligible. 1–3 is a conditional range.</x:v>
      </x:c>
      <x:c r="P555" s="26" t="str">
        <x:v>PDF §10</x:v>
      </x:c>
      <x:c r="Q555" s="2" t="n">
        <x:f>IF(ISNUMBER(H555),1,0)</x:f>
        <x:v>0</x:v>
      </x:c>
    </x:row>
    <x:row r="556" ht="46" customHeight="1">
      <x:c r="A556" s="17" t="n">
        <x:v>46349</x:v>
      </x:c>
      <x:c r="B556" s="2" t="str">
        <x:v>Referral-sourced bookings</x:v>
      </x:c>
      <x:c r="C556" s="2" t="n">
        <x:v>4</x:v>
      </x:c>
      <x:c r="D556" s="2" t="str">
        <x:v>Cumulative total</x:v>
      </x:c>
      <x:c r="E556" s="20"/>
      <x:c r="F556" s="20"/>
      <x:c r="G556" s="20"/>
      <x:c r="H556" s="2" t="str">
        <x:f>IF(D556="Rate",IF(COUNT(F556:G556)&lt;2,"",IF(G556=0,"n.a.",F556/G556)),IF(COUNT(E556)=0,"",E556))</x:f>
      </x:c>
      <x:c r="I556" s="2" t="str">
        <x:f>IF(AND(ISNUMBER(H556),ISNUMBER(C556)),H556-C556,"")</x:f>
      </x:c>
      <x:c r="J556" s="2" t="str">
        <x:v>bookings</x:v>
      </x:c>
      <x:c r="K556" s="2" t="str">
        <x:v>Nova</x:v>
      </x:c>
      <x:c r="L556" s="28" t="str"/>
      <x:c r="M556" s="20"/>
      <x:c r="N556" s="21"/>
      <x:c r="O556" s="26" t="str">
        <x:v>Subset of booked total with primary Source=Referral; never added on top of all-channel bookings.</x:v>
      </x:c>
      <x:c r="P556" s="26" t="str">
        <x:v>PDF §§10, 16</x:v>
      </x:c>
      <x:c r="Q556" s="2" t="n">
        <x:f>IF(ISNUMBER(H556),1,0)</x:f>
        <x:v>0</x:v>
      </x:c>
    </x:row>
    <x:row r="557" ht="46" customHeight="1">
      <x:c r="A557" s="17" t="n">
        <x:v>46349</x:v>
      </x:c>
      <x:c r="B557" s="2" t="str">
        <x:v>LinkedIn DM-sourced bookings</x:v>
      </x:c>
      <x:c r="C557" s="2" t="n">
        <x:v>3</x:v>
      </x:c>
      <x:c r="D557" s="2" t="str">
        <x:v>Cumulative total</x:v>
      </x:c>
      <x:c r="E557" s="20"/>
      <x:c r="F557" s="20"/>
      <x:c r="G557" s="20"/>
      <x:c r="H557" s="2" t="str">
        <x:f>IF(D557="Rate",IF(COUNT(F557:G557)&lt;2,"",IF(G557=0,"n.a.",F557/G557)),IF(COUNT(E557)=0,"",E557))</x:f>
      </x:c>
      <x:c r="I557" s="2" t="str">
        <x:f>IF(AND(ISNUMBER(H557),ISNUMBER(C557)),H557-C557,"")</x:f>
      </x:c>
      <x:c r="J557" s="2" t="str">
        <x:v>bookings</x:v>
      </x:c>
      <x:c r="K557" s="2" t="str">
        <x:v>Dexter</x:v>
      </x:c>
      <x:c r="L557" s="28" t="str"/>
      <x:c r="M557" s="20"/>
      <x:c r="N557" s="21"/>
      <x:c r="O557" s="26" t="str">
        <x:v>Subset of booked total with primary Source=LinkedIn DM; assists tracked separately.</x:v>
      </x:c>
      <x:c r="P557" s="26" t="str">
        <x:v>PDF §§10, 17 a</x:v>
      </x:c>
      <x:c r="Q557" s="2" t="n">
        <x:f>IF(ISNUMBER(H557),1,0)</x:f>
        <x:v>0</x:v>
      </x:c>
    </x:row>
    <x:row r="558" ht="46" customHeight="1">
      <x:c r="A558" s="17" t="n">
        <x:v>46349</x:v>
      </x:c>
      <x:c r="B558" s="2" t="str">
        <x:v>Verified contacts ready</x:v>
      </x:c>
      <x:c r="C558" s="2" t="n">
        <x:v>500</x:v>
      </x:c>
      <x:c r="D558" s="2" t="str">
        <x:v>Cumulative total</x:v>
      </x:c>
      <x:c r="E558" s="20"/>
      <x:c r="F558" s="20"/>
      <x:c r="G558" s="20"/>
      <x:c r="H558" s="2" t="str">
        <x:f>IF(D558="Rate",IF(COUNT(F558:G558)&lt;2,"",IF(G558=0,"n.a.",F558/G558)),IF(COUNT(E558)=0,"",E558))</x:f>
      </x:c>
      <x:c r="I558" s="2" t="str">
        <x:f>IF(AND(ISNUMBER(H558),ISNUMBER(C558)),H558-C558,"")</x:f>
      </x:c>
      <x:c r="J558" s="2" t="str">
        <x:v>contacts</x:v>
      </x:c>
      <x:c r="K558" s="2" t="str">
        <x:v>Joey</x:v>
      </x:c>
      <x:c r="L558" s="28" t="str"/>
      <x:c r="M558" s="20"/>
      <x:c r="N558" s="21"/>
      <x:c r="O558" s="26" t="str">
        <x:v>Unique contacts passing Scout and loaded in CQL; count once per contact.</x:v>
      </x:c>
      <x:c r="P558" s="26" t="str">
        <x:v>PDF §§10, 14; 750 due Dec 12 moved to Fri Dec 11</x:v>
      </x:c>
      <x:c r="Q558" s="2" t="n">
        <x:f>IF(ISNUMBER(H558),1,0)</x:f>
        <x:v>0</x:v>
      </x:c>
    </x:row>
    <x:row r="559" ht="46" customHeight="1">
      <x:c r="A559" s="17" t="n">
        <x:v>46349</x:v>
      </x:c>
      <x:c r="B559" s="2" t="str">
        <x:v>Permission-based referral introductions</x:v>
      </x:c>
      <x:c r="C559" s="2" t="n">
        <x:v>8</x:v>
      </x:c>
      <x:c r="D559" s="2" t="str">
        <x:v>Cumulative total</x:v>
      </x:c>
      <x:c r="E559" s="20"/>
      <x:c r="F559" s="20"/>
      <x:c r="G559" s="20"/>
      <x:c r="H559" s="2" t="str">
        <x:f>IF(D559="Rate",IF(COUNT(F559:G559)&lt;2,"",IF(G559=0,"n.a.",F559/G559)),IF(COUNT(E559)=0,"",E559))</x:f>
      </x:c>
      <x:c r="I559" s="2" t="str">
        <x:f>IF(AND(ISNUMBER(H559),ISNUMBER(C559)),H559-C559,"")</x:f>
      </x:c>
      <x:c r="J559" s="2" t="str">
        <x:v>introductions</x:v>
      </x:c>
      <x:c r="K559" s="2" t="str">
        <x:v>Maseeha</x:v>
      </x:c>
      <x:c r="L559" s="28" t="str"/>
      <x:c r="M559" s="20"/>
      <x:c r="N559" s="21"/>
      <x:c r="O559" s="26" t="str">
        <x:v>Unique introductions with consent and referrer recorded, verified by Maseeha within 2 business days.</x:v>
      </x:c>
      <x:c r="P559" s="26" t="str">
        <x:v>PDF §§10, 16</x:v>
      </x:c>
      <x:c r="Q559" s="2" t="n">
        <x:f>IF(ISNUMBER(H559),1,0)</x:f>
        <x:v>0</x:v>
      </x:c>
    </x:row>
    <x:row r="560" ht="46" customHeight="1">
      <x:c r="A560" s="17" t="n">
        <x:v>46349</x:v>
      </x:c>
      <x:c r="B560" s="2" t="str">
        <x:v>Human reply rate</x:v>
      </x:c>
      <x:c r="C560" s="40" t="n">
        <x:v>0.03</x:v>
      </x:c>
      <x:c r="D560" s="2" t="str">
        <x:v>Rate</x:v>
      </x:c>
      <x:c r="E560" s="20"/>
      <x:c r="F560" s="20"/>
      <x:c r="G560" s="20"/>
      <x:c r="H560" s="40" t="str">
        <x:f>IF(D560="Rate",IF(COUNT(F560:G560)&lt;2,"",IF(G560=0,"n.a.",F560/G560)),IF(COUNT(E560)=0,"",E560))</x:f>
      </x:c>
      <x:c r="I560" s="40" t="str">
        <x:f>IF(AND(ISNUMBER(H560),ISNUMBER(C560)),H560-C560,"")</x:f>
      </x:c>
      <x:c r="J560" s="2" t="str">
        <x:v>%</x:v>
      </x:c>
      <x:c r="K560" s="2" t="str">
        <x:v>Kenneth</x:v>
      </x:c>
      <x:c r="L560" s="28" t="str"/>
      <x:c r="M560" s="20"/>
      <x:c r="N560" s="21"/>
      <x:c r="O560" s="26" t="str">
        <x:v>Unique emailed contacts that give a qualifying human reply / unique contacts emailed in the same send cohort. Exclude OOO, auto-replies, bounces and unsubscribe-only replies. Deduplicate contacts across sequence steps; zero denominator is N/A.</x:v>
      </x:c>
      <x:c r="P560" s="26" t="str">
        <x:v>PDF §10</x:v>
      </x:c>
      <x:c r="Q560" s="2" t="n">
        <x:f>IF(ISNUMBER(H560),1,0)</x:f>
        <x:v>0</x:v>
      </x:c>
    </x:row>
    <x:row r="561" ht="46" customHeight="1">
      <x:c r="A561" s="17" t="n">
        <x:v>46349</x:v>
      </x:c>
      <x:c r="B561" s="2" t="str">
        <x:v>Positive reply rate</x:v>
      </x:c>
      <x:c r="C561" s="40" t="n">
        <x:v>0.015</x:v>
      </x:c>
      <x:c r="D561" s="2" t="str">
        <x:v>Rate</x:v>
      </x:c>
      <x:c r="E561" s="20"/>
      <x:c r="F561" s="20"/>
      <x:c r="G561" s="20"/>
      <x:c r="H561" s="40" t="str">
        <x:f>IF(D561="Rate",IF(COUNT(F561:G561)&lt;2,"",IF(G561=0,"n.a.",F561/G561)),IF(COUNT(E561)=0,"",E561))</x:f>
      </x:c>
      <x:c r="I561" s="40" t="str">
        <x:f>IF(AND(ISNUMBER(H561),ISNUMBER(C561)),H561-C561,"")</x:f>
      </x:c>
      <x:c r="J561" s="2" t="str">
        <x:v>%</x:v>
      </x:c>
      <x:c r="K561" s="2" t="str">
        <x:v>Kenneth</x:v>
      </x:c>
      <x:c r="L561" s="28" t="str"/>
      <x:c r="M561" s="20"/>
      <x:c r="N561" s="21"/>
      <x:c r="O561" s="26" t="str">
        <x:v>Unique emailed contacts classified interested or relevant question / unique contacts emailed in the same send cohort. Deduplicate across sequence steps; zero denominator is N/A. Keep this email rate separate from all-channel qualified inquiries.</x:v>
      </x:c>
      <x:c r="P561" s="26" t="str">
        <x:v>PDF §10</x:v>
      </x:c>
      <x:c r="Q561" s="2" t="n">
        <x:f>IF(ISNUMBER(H561),1,0)</x:f>
        <x:v>0</x:v>
      </x:c>
    </x:row>
    <x:row r="562" ht="46" customHeight="1">
      <x:c r="A562" s="17" t="n">
        <x:v>46349</x:v>
      </x:c>
      <x:c r="B562" s="2" t="str">
        <x:v>Replies answered within 15 minutes</x:v>
      </x:c>
      <x:c r="C562" s="40" t="n">
        <x:v>1</x:v>
      </x:c>
      <x:c r="D562" s="2" t="str">
        <x:v>Rate</x:v>
      </x:c>
      <x:c r="E562" s="20"/>
      <x:c r="F562" s="20"/>
      <x:c r="G562" s="20"/>
      <x:c r="H562" s="40" t="str">
        <x:f>IF(D562="Rate",IF(COUNT(F562:G562)&lt;2,"",IF(G562=0,"n.a.",F562/G562)),IF(COUNT(E562)=0,"",E562))</x:f>
      </x:c>
      <x:c r="I562" s="40" t="str">
        <x:f>IF(AND(ISNUMBER(H562),ISNUMBER(C562)),H562-C562,"")</x:f>
      </x:c>
      <x:c r="J562" s="2" t="str">
        <x:v>%</x:v>
      </x:c>
      <x:c r="K562" s="2" t="str">
        <x:v>Nova</x:v>
      </x:c>
      <x:c r="L562" s="28" t="str"/>
      <x:c r="M562" s="20"/>
      <x:c r="N562" s="21"/>
      <x:c r="O562"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62" s="26" t="str">
        <x:v>PDF §9; clock convention clarified for tracker</x:v>
      </x:c>
      <x:c r="Q562" s="2" t="n">
        <x:f>IF(ISNUMBER(H562),1,0)</x:f>
        <x:v>0</x:v>
      </x:c>
    </x:row>
    <x:row r="563" ht="46" customHeight="1">
      <x:c r="A563" s="17" t="n">
        <x:v>46349</x:v>
      </x:c>
      <x:c r="B563" s="2" t="str">
        <x:v>Held rate</x:v>
      </x:c>
      <x:c r="C563" s="40" t="n">
        <x:v>0.75</x:v>
      </x:c>
      <x:c r="D563" s="2" t="str">
        <x:v>Rate</x:v>
      </x:c>
      <x:c r="E563" s="20"/>
      <x:c r="F563" s="20"/>
      <x:c r="G563" s="20"/>
      <x:c r="H563" s="40" t="str">
        <x:f>IF(D563="Rate",IF(COUNT(F563:G563)&lt;2,"",IF(G563=0,"n.a.",F563/G563)),IF(COUNT(E563)=0,"",E563))</x:f>
      </x:c>
      <x:c r="I563" s="40" t="str">
        <x:f>IF(AND(ISNUMBER(H563),ISNUMBER(C563)),H563-C563,"")</x:f>
      </x:c>
      <x:c r="J563" s="2" t="str">
        <x:v>%</x:v>
      </x:c>
      <x:c r="K563" s="2" t="str">
        <x:v>Nova</x:v>
      </x:c>
      <x:c r="L563" s="28" t="str"/>
      <x:c r="M563" s="20"/>
      <x:c r="N563" s="21"/>
      <x:c r="O563" s="26" t="str">
        <x:v>Qualified conversations actually held / unique booked conversations whose scheduled time has passed. Exclude upcoming appointments. Rebooking the same opportunity is not a second booking. A zero denominator is N/A.</x:v>
      </x:c>
      <x:c r="P563" s="26" t="str">
        <x:v>PDF §10; due-cohort denominator clarified</x:v>
      </x:c>
      <x:c r="Q563" s="2" t="n">
        <x:f>IF(ISNUMBER(H563),1,0)</x:f>
        <x:v>0</x:v>
      </x:c>
    </x:row>
    <x:row r="564" ht="46" customHeight="1">
      <x:c r="A564" s="17" t="n">
        <x:v>46349</x:v>
      </x:c>
      <x:c r="B564" s="2" t="str">
        <x:v>Positive-to-booked conversion</x:v>
      </x:c>
      <x:c r="C564" s="40" t="n">
        <x:v>0.5</x:v>
      </x:c>
      <x:c r="D564" s="2" t="str">
        <x:v>Rate</x:v>
      </x:c>
      <x:c r="E564" s="20"/>
      <x:c r="F564" s="20"/>
      <x:c r="G564" s="20"/>
      <x:c r="H564" s="40" t="str">
        <x:f>IF(D564="Rate",IF(COUNT(F564:G564)&lt;2,"",IF(G564=0,"n.a.",F564/G564)),IF(COUNT(E564)=0,"",E564))</x:f>
      </x:c>
      <x:c r="I564" s="40" t="str">
        <x:f>IF(AND(ISNUMBER(H564),ISNUMBER(C564)),H564-C564,"")</x:f>
      </x:c>
      <x:c r="J564" s="2" t="str">
        <x:v>%</x:v>
      </x:c>
      <x:c r="K564" s="2" t="str">
        <x:v>Nova</x:v>
      </x:c>
      <x:c r="L564" s="28" t="str"/>
      <x:c r="M564" s="20"/>
      <x:c r="N564" s="21"/>
      <x:c r="O564" s="26" t="str">
        <x:v>Unique email-positive opportunities booked / unique email-positive opportunities in the same reviewed cohort. Use a documented follow-up window. This differs from the all-channel 40-inquiry/20-booking planning assumption. A zero denominator is N/A.</x:v>
      </x:c>
      <x:c r="P564" s="26" t="str">
        <x:v>PDF §9</x:v>
      </x:c>
      <x:c r="Q564" s="2" t="n">
        <x:f>IF(ISNUMBER(H564),1,0)</x:f>
        <x:v>0</x:v>
      </x:c>
    </x:row>
    <x:row r="565" ht="46" customHeight="1">
      <x:c r="A565" s="17" t="n">
        <x:v>46349</x:v>
      </x:c>
      <x:c r="B565" s="2" t="str">
        <x:v>Existing-account referral asks</x:v>
      </x:c>
      <x:c r="C565" s="2" t="n">
        <x:v>37</x:v>
      </x:c>
      <x:c r="D565" s="2" t="str">
        <x:v>Cumulative total</x:v>
      </x:c>
      <x:c r="E565" s="20"/>
      <x:c r="F565" s="20"/>
      <x:c r="G565" s="20"/>
      <x:c r="H565" s="2" t="str">
        <x:f>IF(D565="Rate",IF(COUNT(F565:G565)&lt;2,"",IF(G565=0,"n.a.",F565/G565)),IF(COUNT(E565)=0,"",E565))</x:f>
      </x:c>
      <x:c r="I565" s="2" t="str">
        <x:f>IF(AND(ISNUMBER(H565),ISNUMBER(C565)),H565-C565,"")</x:f>
      </x:c>
      <x:c r="J565" s="2" t="str">
        <x:v>accounts asked</x:v>
      </x:c>
      <x:c r="K565" s="2" t="str">
        <x:v>Maseeha</x:v>
      </x:c>
      <x:c r="L565" s="28" t="str"/>
      <x:c r="M565" s="20"/>
      <x:c r="N565" s="21"/>
      <x:c r="O565" s="26" t="str">
        <x:v>Ask 25 unique A/B accounts (5 A and 20 B) by November 13; proposed pace 35 total by November 20; complete the remaining C accounts to reach 41 total by November 25. One introduction is the ask; asks and received intros are separate counts.</x:v>
      </x:c>
      <x:c r="P565" s="26" t="str">
        <x:v>PDF §16 supplies 25 A/B byNov 14 and 16 C byNov 25; Friday deadline and 35-byNov 20 pace are proposed scheduling allocations.</x:v>
      </x:c>
      <x:c r="Q565" s="2" t="n">
        <x:f>IF(ISNUMBER(H565),1,0)</x:f>
        <x:v>0</x:v>
      </x:c>
    </x:row>
    <x:row r="566" ht="46" customHeight="1">
      <x:c r="A566" s="17" t="n">
        <x:v>46349</x:v>
      </x:c>
      <x:c r="B566" s="2" t="str">
        <x:v>Approved SOPs</x:v>
      </x:c>
      <x:c r="C566" s="2"/>
      <x:c r="D566" s="2" t="str">
        <x:v>Cumulative total</x:v>
      </x:c>
      <x:c r="E566" s="20"/>
      <x:c r="F566" s="20"/>
      <x:c r="G566" s="20"/>
      <x:c r="H566" s="2" t="str">
        <x:f>IF(D566="Rate",IF(COUNT(F566:G566)&lt;2,"",IF(G566=0,"n.a.",F566/G566)),IF(COUNT(E566)=0,"",E566))</x:f>
      </x:c>
      <x:c r="I566" s="2" t="str">
        <x:f>IF(AND(ISNUMBER(H566),ISNUMBER(C566)),H566-C566,"")</x:f>
      </x:c>
      <x:c r="J566" s="2" t="str">
        <x:v>SOPs</x:v>
      </x:c>
      <x:c r="K566" s="2" t="str">
        <x:v>Wyline</x:v>
      </x:c>
      <x:c r="L566" s="28" t="str"/>
      <x:c r="M566" s="20"/>
      <x:c r="N566" s="21"/>
      <x:c r="O566" s="26" t="str">
        <x:v>10 core SOPs plus ADS-01 and SOC-01 additions; approved version and independent-run evidence required.</x:v>
      </x:c>
      <x:c r="P566" s="26" t="str">
        <x:v>PDF §8 with §§17 b–d additions</x:v>
      </x:c>
      <x:c r="Q566" s="2" t="n">
        <x:f>IF(ISNUMBER(H566),1,0)</x:f>
        <x:v>0</x:v>
      </x:c>
    </x:row>
    <x:row r="567" ht="46" customHeight="1">
      <x:c r="A567" s="17" t="n">
        <x:v>46349</x:v>
      </x:c>
      <x:c r="B567" s="2" t="str">
        <x:v>Accepted AI agents</x:v>
      </x:c>
      <x:c r="C567" s="2"/>
      <x:c r="D567" s="2" t="str">
        <x:v>Cumulative total</x:v>
      </x:c>
      <x:c r="E567" s="20"/>
      <x:c r="F567" s="20"/>
      <x:c r="G567" s="20"/>
      <x:c r="H567" s="2" t="str">
        <x:f>IF(D567="Rate",IF(COUNT(F567:G567)&lt;2,"",IF(G567=0,"n.a.",F567/G567)),IF(COUNT(E567)=0,"",E567))</x:f>
      </x:c>
      <x:c r="I567" s="2" t="str">
        <x:f>IF(AND(ISNUMBER(H567),ISNUMBER(C567)),H567-C567,"")</x:f>
      </x:c>
      <x:c r="J567" s="2" t="str">
        <x:v>agents</x:v>
      </x:c>
      <x:c r="K567" s="2" t="str">
        <x:v>Emman</x:v>
      </x:c>
      <x:c r="L567" s="28" t="str"/>
      <x:c r="M567" s="20"/>
      <x:c r="N567" s="21"/>
      <x:c r="O567" s="26" t="str">
        <x:v>Scout, Writer, Inbox, Phone Assist, LinkedIn Assist, Follow-up, Scoreboard and Client Reporter; acceptance evidence required.</x:v>
      </x:c>
      <x:c r="P567" s="26" t="str">
        <x:v>PDF §7</x:v>
      </x:c>
      <x:c r="Q567" s="2" t="n">
        <x:f>IF(ISNUMBER(H567),1,0)</x:f>
        <x:v>0</x:v>
      </x:c>
    </x:row>
    <x:row r="568" ht="46" customHeight="1">
      <x:c r="A568" s="17" t="n">
        <x:v>46350</x:v>
      </x:c>
      <x:c r="B568" s="2" t="str">
        <x:v>Qualified inquiries</x:v>
      </x:c>
      <x:c r="C568" s="2" t="n">
        <x:v>16</x:v>
      </x:c>
      <x:c r="D568" s="2" t="str">
        <x:v>Cumulative total</x:v>
      </x:c>
      <x:c r="E568" s="20"/>
      <x:c r="F568" s="20"/>
      <x:c r="G568" s="20"/>
      <x:c r="H568" s="2" t="str">
        <x:f>IF(D568="Rate",IF(COUNT(F568:G568)&lt;2,"",IF(G568=0,"n.a.",F568/G568)),IF(COUNT(E568)=0,"",E568))</x:f>
      </x:c>
      <x:c r="I568" s="2" t="str">
        <x:f>IF(AND(ISNUMBER(H568),ISNUMBER(C568)),H568-C568,"")</x:f>
      </x:c>
      <x:c r="J568" s="2" t="str">
        <x:v>inquiries</x:v>
      </x:c>
      <x:c r="K568" s="2" t="str">
        <x:v>Nova</x:v>
      </x:c>
      <x:c r="L568" s="28" t="str"/>
      <x:c r="M568" s="20"/>
      <x:c r="N568" s="21"/>
      <x:c r="O568" s="26" t="str">
        <x:v>Unique ICP-matched practices that express relevant interest, need or timing; Nova records practice type, decision-maker access, case volume, service need and readiness within 30–60 days. Raw records, opens and connection accepts do not qualify.</x:v>
      </x:c>
      <x:c r="P568" s="26" t="str">
        <x:v>Original proposal pages 2 and 4 define qualification; 40 by Dec 16 and intermediate pace are newly proposed recovery targets.</x:v>
      </x:c>
      <x:c r="Q568" s="2" t="n">
        <x:f>IF(ISNUMBER(H568),1,0)</x:f>
        <x:v>0</x:v>
      </x:c>
    </x:row>
    <x:row r="569" ht="46" customHeight="1">
      <x:c r="A569" s="17" t="n">
        <x:v>46350</x:v>
      </x:c>
      <x:c r="B569" s="2" t="str">
        <x:v>Qualified conversations booked</x:v>
      </x:c>
      <x:c r="C569" s="2" t="n">
        <x:v>8</x:v>
      </x:c>
      <x:c r="D569" s="2" t="str">
        <x:v>Cumulative total</x:v>
      </x:c>
      <x:c r="E569" s="20"/>
      <x:c r="F569" s="20"/>
      <x:c r="G569" s="20"/>
      <x:c r="H569" s="2" t="str">
        <x:f>IF(D569="Rate",IF(COUNT(F569:G569)&lt;2,"",IF(G569=0,"n.a.",F569/G569)),IF(COUNT(E569)=0,"",E569))</x:f>
      </x:c>
      <x:c r="I569" s="2" t="str">
        <x:f>IF(AND(ISNUMBER(H569),ISNUMBER(C569)),H569-C569,"")</x:f>
      </x:c>
      <x:c r="J569" s="2" t="str">
        <x:v>bookings</x:v>
      </x:c>
      <x:c r="K569" s="2" t="str">
        <x:v>Nova</x:v>
      </x:c>
      <x:c r="L569" s="28" t="str"/>
      <x:c r="M569" s="20"/>
      <x:c r="N569" s="21"/>
      <x:c r="O569" s="26" t="str">
        <x:v>Unique qualified calls/visits booked with Nic; rebooking same opportunity is not a new booking.</x:v>
      </x:c>
      <x:c r="P569" s="26" t="str">
        <x:v>PDF §10; final deadline advanced to user Dec 16</x:v>
      </x:c>
      <x:c r="Q569" s="2" t="n">
        <x:f>IF(ISNUMBER(H569),1,0)</x:f>
        <x:v>0</x:v>
      </x:c>
    </x:row>
    <x:row r="570" ht="46" customHeight="1">
      <x:c r="A570" s="17" t="n">
        <x:v>46350</x:v>
      </x:c>
      <x:c r="B570" s="2" t="str">
        <x:v>Qualified conversations held</x:v>
      </x:c>
      <x:c r="C570" s="2" t="n">
        <x:v>6</x:v>
      </x:c>
      <x:c r="D570" s="2" t="str">
        <x:v>Cumulative total</x:v>
      </x:c>
      <x:c r="E570" s="20"/>
      <x:c r="F570" s="20"/>
      <x:c r="G570" s="20"/>
      <x:c r="H570" s="2" t="str">
        <x:f>IF(D570="Rate",IF(COUNT(F570:G570)&lt;2,"",IF(G570=0,"n.a.",F570/G570)),IF(COUNT(E570)=0,"",E570))</x:f>
      </x:c>
      <x:c r="I570" s="2" t="str">
        <x:f>IF(AND(ISNUMBER(H570),ISNUMBER(C570)),H570-C570,"")</x:f>
      </x:c>
      <x:c r="J570" s="2" t="str">
        <x:v>held</x:v>
      </x:c>
      <x:c r="K570" s="2" t="str">
        <x:v>Nova</x:v>
      </x:c>
      <x:c r="L570" s="28" t="str"/>
      <x:c r="M570" s="20"/>
      <x:c r="N570" s="21"/>
      <x:c r="O570" s="26" t="str">
        <x:v>Completed qualified calls/visits; 6 and 15 are integer planning proxies for 70% of 8 and 75% of 20.</x:v>
      </x:c>
      <x:c r="P570" s="26" t="str">
        <x:v>Derived from source held-rate targets</x:v>
      </x:c>
      <x:c r="Q570" s="2" t="n">
        <x:f>IF(ISNUMBER(H570),1,0)</x:f>
        <x:v>0</x:v>
      </x:c>
    </x:row>
    <x:row r="571" ht="46" customHeight="1">
      <x:c r="A571" s="17" t="n">
        <x:v>46350</x:v>
      </x:c>
      <x:c r="B571" s="2" t="str">
        <x:v>Trial cases received by DSI</x:v>
      </x:c>
      <x:c r="C571" s="2" t="n">
        <x:v>2</x:v>
      </x:c>
      <x:c r="D571" s="2" t="str">
        <x:v>Cumulative total</x:v>
      </x:c>
      <x:c r="E571" s="20"/>
      <x:c r="F571" s="20"/>
      <x:c r="G571" s="20"/>
      <x:c r="H571" s="2" t="str">
        <x:f>IF(D571="Rate",IF(COUNT(F571:G571)&lt;2,"",IF(G571=0,"n.a.",F571/G571)),IF(COUNT(E571)=0,"",E571))</x:f>
      </x:c>
      <x:c r="I571" s="2" t="str">
        <x:f>IF(AND(ISNUMBER(H571),ISNUMBER(C571)),H571-C571,"")</x:f>
      </x:c>
      <x:c r="J571" s="2" t="str">
        <x:v>trials</x:v>
      </x:c>
      <x:c r="K571" s="2" t="str">
        <x:v>Maseeha</x:v>
      </x:c>
      <x:c r="L571" s="28" t="str"/>
      <x:c r="M571" s="20"/>
      <x:c r="N571" s="21"/>
      <x:c r="O571" s="26" t="str">
        <x:v>Practice’s first trial case received by DSI, not merely promised or shipped; subject to Maseeha capacity.</x:v>
      </x:c>
      <x:c r="P571" s="26" t="str">
        <x:v>PDF §10; final deadline advanced to user Dec 16</x:v>
      </x:c>
      <x:c r="Q571" s="2" t="n">
        <x:f>IF(ISNUMBER(H571),1,0)</x:f>
        <x:v>0</x:v>
      </x:c>
    </x:row>
    <x:row r="572" ht="46" customHeight="1">
      <x:c r="A572" s="17" t="n">
        <x:v>46350</x:v>
      </x:c>
      <x:c r="B572" s="2" t="str">
        <x:v>Recurring accounts signed</x:v>
      </x:c>
      <x:c r="C572" s="2"/>
      <x:c r="D572" s="2" t="str">
        <x:v>Cumulative total</x:v>
      </x:c>
      <x:c r="E572" s="20"/>
      <x:c r="F572" s="20"/>
      <x:c r="G572" s="20"/>
      <x:c r="H572" s="2" t="str">
        <x:f>IF(D572="Rate",IF(COUNT(F572:G572)&lt;2,"",IF(G572=0,"n.a.",F572/G572)),IF(COUNT(E572)=0,"",E572))</x:f>
      </x:c>
      <x:c r="I572" s="2" t="str">
        <x:f>IF(AND(ISNUMBER(H572),ISNUMBER(C572)),H572-C572,"")</x:f>
      </x:c>
      <x:c r="J572" s="2" t="str">
        <x:v>accounts</x:v>
      </x:c>
      <x:c r="K572" s="2" t="str">
        <x:v>Nic</x:v>
      </x:c>
      <x:c r="L572" s="28" t="str"/>
      <x:c r="M572" s="20"/>
      <x:c r="N572" s="21"/>
      <x:c r="O572" s="26" t="str">
        <x:v>Plan signed following Day-30 review; only mature trial cohorts eligible. 1–3 is a conditional range.</x:v>
      </x:c>
      <x:c r="P572" s="26" t="str">
        <x:v>PDF §10</x:v>
      </x:c>
      <x:c r="Q572" s="2" t="n">
        <x:f>IF(ISNUMBER(H572),1,0)</x:f>
        <x:v>0</x:v>
      </x:c>
    </x:row>
    <x:row r="573" ht="46" customHeight="1">
      <x:c r="A573" s="17" t="n">
        <x:v>46350</x:v>
      </x:c>
      <x:c r="B573" s="2" t="str">
        <x:v>Referral-sourced bookings</x:v>
      </x:c>
      <x:c r="C573" s="2" t="n">
        <x:v>4</x:v>
      </x:c>
      <x:c r="D573" s="2" t="str">
        <x:v>Cumulative total</x:v>
      </x:c>
      <x:c r="E573" s="20"/>
      <x:c r="F573" s="20"/>
      <x:c r="G573" s="20"/>
      <x:c r="H573" s="2" t="str">
        <x:f>IF(D573="Rate",IF(COUNT(F573:G573)&lt;2,"",IF(G573=0,"n.a.",F573/G573)),IF(COUNT(E573)=0,"",E573))</x:f>
      </x:c>
      <x:c r="I573" s="2" t="str">
        <x:f>IF(AND(ISNUMBER(H573),ISNUMBER(C573)),H573-C573,"")</x:f>
      </x:c>
      <x:c r="J573" s="2" t="str">
        <x:v>bookings</x:v>
      </x:c>
      <x:c r="K573" s="2" t="str">
        <x:v>Nova</x:v>
      </x:c>
      <x:c r="L573" s="28" t="str"/>
      <x:c r="M573" s="20"/>
      <x:c r="N573" s="21"/>
      <x:c r="O573" s="26" t="str">
        <x:v>Subset of booked total with primary Source=Referral; never added on top of all-channel bookings.</x:v>
      </x:c>
      <x:c r="P573" s="26" t="str">
        <x:v>PDF §§10, 16</x:v>
      </x:c>
      <x:c r="Q573" s="2" t="n">
        <x:f>IF(ISNUMBER(H573),1,0)</x:f>
        <x:v>0</x:v>
      </x:c>
    </x:row>
    <x:row r="574" ht="46" customHeight="1">
      <x:c r="A574" s="17" t="n">
        <x:v>46350</x:v>
      </x:c>
      <x:c r="B574" s="2" t="str">
        <x:v>LinkedIn DM-sourced bookings</x:v>
      </x:c>
      <x:c r="C574" s="2" t="n">
        <x:v>3</x:v>
      </x:c>
      <x:c r="D574" s="2" t="str">
        <x:v>Cumulative total</x:v>
      </x:c>
      <x:c r="E574" s="20"/>
      <x:c r="F574" s="20"/>
      <x:c r="G574" s="20"/>
      <x:c r="H574" s="2" t="str">
        <x:f>IF(D574="Rate",IF(COUNT(F574:G574)&lt;2,"",IF(G574=0,"n.a.",F574/G574)),IF(COUNT(E574)=0,"",E574))</x:f>
      </x:c>
      <x:c r="I574" s="2" t="str">
        <x:f>IF(AND(ISNUMBER(H574),ISNUMBER(C574)),H574-C574,"")</x:f>
      </x:c>
      <x:c r="J574" s="2" t="str">
        <x:v>bookings</x:v>
      </x:c>
      <x:c r="K574" s="2" t="str">
        <x:v>Dexter</x:v>
      </x:c>
      <x:c r="L574" s="28" t="str"/>
      <x:c r="M574" s="20"/>
      <x:c r="N574" s="21"/>
      <x:c r="O574" s="26" t="str">
        <x:v>Subset of booked total with primary Source=LinkedIn DM; assists tracked separately.</x:v>
      </x:c>
      <x:c r="P574" s="26" t="str">
        <x:v>PDF §§10, 17 a</x:v>
      </x:c>
      <x:c r="Q574" s="2" t="n">
        <x:f>IF(ISNUMBER(H574),1,0)</x:f>
        <x:v>0</x:v>
      </x:c>
    </x:row>
    <x:row r="575" ht="46" customHeight="1">
      <x:c r="A575" s="17" t="n">
        <x:v>46350</x:v>
      </x:c>
      <x:c r="B575" s="2" t="str">
        <x:v>Verified contacts ready</x:v>
      </x:c>
      <x:c r="C575" s="2" t="n">
        <x:v>500</x:v>
      </x:c>
      <x:c r="D575" s="2" t="str">
        <x:v>Cumulative total</x:v>
      </x:c>
      <x:c r="E575" s="20"/>
      <x:c r="F575" s="20"/>
      <x:c r="G575" s="20"/>
      <x:c r="H575" s="2" t="str">
        <x:f>IF(D575="Rate",IF(COUNT(F575:G575)&lt;2,"",IF(G575=0,"n.a.",F575/G575)),IF(COUNT(E575)=0,"",E575))</x:f>
      </x:c>
      <x:c r="I575" s="2" t="str">
        <x:f>IF(AND(ISNUMBER(H575),ISNUMBER(C575)),H575-C575,"")</x:f>
      </x:c>
      <x:c r="J575" s="2" t="str">
        <x:v>contacts</x:v>
      </x:c>
      <x:c r="K575" s="2" t="str">
        <x:v>Joey</x:v>
      </x:c>
      <x:c r="L575" s="28" t="str"/>
      <x:c r="M575" s="20"/>
      <x:c r="N575" s="21"/>
      <x:c r="O575" s="26" t="str">
        <x:v>Unique contacts passing Scout and loaded in CQL; count once per contact.</x:v>
      </x:c>
      <x:c r="P575" s="26" t="str">
        <x:v>PDF §§10, 14; 750 due Dec 12 moved to Fri Dec 11</x:v>
      </x:c>
      <x:c r="Q575" s="2" t="n">
        <x:f>IF(ISNUMBER(H575),1,0)</x:f>
        <x:v>0</x:v>
      </x:c>
    </x:row>
    <x:row r="576" ht="46" customHeight="1">
      <x:c r="A576" s="17" t="n">
        <x:v>46350</x:v>
      </x:c>
      <x:c r="B576" s="2" t="str">
        <x:v>Permission-based referral introductions</x:v>
      </x:c>
      <x:c r="C576" s="2" t="n">
        <x:v>8</x:v>
      </x:c>
      <x:c r="D576" s="2" t="str">
        <x:v>Cumulative total</x:v>
      </x:c>
      <x:c r="E576" s="20"/>
      <x:c r="F576" s="20"/>
      <x:c r="G576" s="20"/>
      <x:c r="H576" s="2" t="str">
        <x:f>IF(D576="Rate",IF(COUNT(F576:G576)&lt;2,"",IF(G576=0,"n.a.",F576/G576)),IF(COUNT(E576)=0,"",E576))</x:f>
      </x:c>
      <x:c r="I576" s="2" t="str">
        <x:f>IF(AND(ISNUMBER(H576),ISNUMBER(C576)),H576-C576,"")</x:f>
      </x:c>
      <x:c r="J576" s="2" t="str">
        <x:v>introductions</x:v>
      </x:c>
      <x:c r="K576" s="2" t="str">
        <x:v>Maseeha</x:v>
      </x:c>
      <x:c r="L576" s="28" t="str"/>
      <x:c r="M576" s="20"/>
      <x:c r="N576" s="21"/>
      <x:c r="O576" s="26" t="str">
        <x:v>Unique introductions with consent and referrer recorded, verified by Maseeha within 2 business days.</x:v>
      </x:c>
      <x:c r="P576" s="26" t="str">
        <x:v>PDF §§10, 16</x:v>
      </x:c>
      <x:c r="Q576" s="2" t="n">
        <x:f>IF(ISNUMBER(H576),1,0)</x:f>
        <x:v>0</x:v>
      </x:c>
    </x:row>
    <x:row r="577" ht="46" customHeight="1">
      <x:c r="A577" s="17" t="n">
        <x:v>46350</x:v>
      </x:c>
      <x:c r="B577" s="2" t="str">
        <x:v>Human reply rate</x:v>
      </x:c>
      <x:c r="C577" s="40" t="n">
        <x:v>0.03</x:v>
      </x:c>
      <x:c r="D577" s="2" t="str">
        <x:v>Rate</x:v>
      </x:c>
      <x:c r="E577" s="20"/>
      <x:c r="F577" s="20"/>
      <x:c r="G577" s="20"/>
      <x:c r="H577" s="40" t="str">
        <x:f>IF(D577="Rate",IF(COUNT(F577:G577)&lt;2,"",IF(G577=0,"n.a.",F577/G577)),IF(COUNT(E577)=0,"",E577))</x:f>
      </x:c>
      <x:c r="I577" s="40" t="str">
        <x:f>IF(AND(ISNUMBER(H577),ISNUMBER(C577)),H577-C577,"")</x:f>
      </x:c>
      <x:c r="J577" s="2" t="str">
        <x:v>%</x:v>
      </x:c>
      <x:c r="K577" s="2" t="str">
        <x:v>Kenneth</x:v>
      </x:c>
      <x:c r="L577" s="28" t="str"/>
      <x:c r="M577" s="20"/>
      <x:c r="N577" s="21"/>
      <x:c r="O577" s="26" t="str">
        <x:v>Unique emailed contacts that give a qualifying human reply / unique contacts emailed in the same send cohort. Exclude OOO, auto-replies, bounces and unsubscribe-only replies. Deduplicate contacts across sequence steps; zero denominator is N/A.</x:v>
      </x:c>
      <x:c r="P577" s="26" t="str">
        <x:v>PDF §10</x:v>
      </x:c>
      <x:c r="Q577" s="2" t="n">
        <x:f>IF(ISNUMBER(H577),1,0)</x:f>
        <x:v>0</x:v>
      </x:c>
    </x:row>
    <x:row r="578" ht="46" customHeight="1">
      <x:c r="A578" s="17" t="n">
        <x:v>46350</x:v>
      </x:c>
      <x:c r="B578" s="2" t="str">
        <x:v>Positive reply rate</x:v>
      </x:c>
      <x:c r="C578" s="40" t="n">
        <x:v>0.015</x:v>
      </x:c>
      <x:c r="D578" s="2" t="str">
        <x:v>Rate</x:v>
      </x:c>
      <x:c r="E578" s="20"/>
      <x:c r="F578" s="20"/>
      <x:c r="G578" s="20"/>
      <x:c r="H578" s="40" t="str">
        <x:f>IF(D578="Rate",IF(COUNT(F578:G578)&lt;2,"",IF(G578=0,"n.a.",F578/G578)),IF(COUNT(E578)=0,"",E578))</x:f>
      </x:c>
      <x:c r="I578" s="40" t="str">
        <x:f>IF(AND(ISNUMBER(H578),ISNUMBER(C578)),H578-C578,"")</x:f>
      </x:c>
      <x:c r="J578" s="2" t="str">
        <x:v>%</x:v>
      </x:c>
      <x:c r="K578" s="2" t="str">
        <x:v>Kenneth</x:v>
      </x:c>
      <x:c r="L578" s="28" t="str"/>
      <x:c r="M578" s="20"/>
      <x:c r="N578" s="21"/>
      <x:c r="O578" s="26" t="str">
        <x:v>Unique emailed contacts classified interested or relevant question / unique contacts emailed in the same send cohort. Deduplicate across sequence steps; zero denominator is N/A. Keep this email rate separate from all-channel qualified inquiries.</x:v>
      </x:c>
      <x:c r="P578" s="26" t="str">
        <x:v>PDF §10</x:v>
      </x:c>
      <x:c r="Q578" s="2" t="n">
        <x:f>IF(ISNUMBER(H578),1,0)</x:f>
        <x:v>0</x:v>
      </x:c>
    </x:row>
    <x:row r="579" ht="46" customHeight="1">
      <x:c r="A579" s="17" t="n">
        <x:v>46350</x:v>
      </x:c>
      <x:c r="B579" s="2" t="str">
        <x:v>Replies answered within 15 minutes</x:v>
      </x:c>
      <x:c r="C579" s="40" t="n">
        <x:v>1</x:v>
      </x:c>
      <x:c r="D579" s="2" t="str">
        <x:v>Rate</x:v>
      </x:c>
      <x:c r="E579" s="20"/>
      <x:c r="F579" s="20"/>
      <x:c r="G579" s="20"/>
      <x:c r="H579" s="40" t="str">
        <x:f>IF(D579="Rate",IF(COUNT(F579:G579)&lt;2,"",IF(G579=0,"n.a.",F579/G579)),IF(COUNT(E579)=0,"",E579))</x:f>
      </x:c>
      <x:c r="I579" s="40" t="str">
        <x:f>IF(AND(ISNUMBER(H579),ISNUMBER(C579)),H579-C579,"")</x:f>
      </x:c>
      <x:c r="J579" s="2" t="str">
        <x:v>%</x:v>
      </x:c>
      <x:c r="K579" s="2" t="str">
        <x:v>Nova</x:v>
      </x:c>
      <x:c r="L579" s="28" t="str"/>
      <x:c r="M579" s="20"/>
      <x:c r="N579" s="21"/>
      <x:c r="O579"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79" s="26" t="str">
        <x:v>PDF §9; clock convention clarified for tracker</x:v>
      </x:c>
      <x:c r="Q579" s="2" t="n">
        <x:f>IF(ISNUMBER(H579),1,0)</x:f>
        <x:v>0</x:v>
      </x:c>
    </x:row>
    <x:row r="580" ht="46" customHeight="1">
      <x:c r="A580" s="17" t="n">
        <x:v>46350</x:v>
      </x:c>
      <x:c r="B580" s="2" t="str">
        <x:v>Held rate</x:v>
      </x:c>
      <x:c r="C580" s="40" t="n">
        <x:v>0.75</x:v>
      </x:c>
      <x:c r="D580" s="2" t="str">
        <x:v>Rate</x:v>
      </x:c>
      <x:c r="E580" s="20"/>
      <x:c r="F580" s="20"/>
      <x:c r="G580" s="20"/>
      <x:c r="H580" s="40" t="str">
        <x:f>IF(D580="Rate",IF(COUNT(F580:G580)&lt;2,"",IF(G580=0,"n.a.",F580/G580)),IF(COUNT(E580)=0,"",E580))</x:f>
      </x:c>
      <x:c r="I580" s="40" t="str">
        <x:f>IF(AND(ISNUMBER(H580),ISNUMBER(C580)),H580-C580,"")</x:f>
      </x:c>
      <x:c r="J580" s="2" t="str">
        <x:v>%</x:v>
      </x:c>
      <x:c r="K580" s="2" t="str">
        <x:v>Nova</x:v>
      </x:c>
      <x:c r="L580" s="28" t="str"/>
      <x:c r="M580" s="20"/>
      <x:c r="N580" s="21"/>
      <x:c r="O580" s="26" t="str">
        <x:v>Qualified conversations actually held / unique booked conversations whose scheduled time has passed. Exclude upcoming appointments. Rebooking the same opportunity is not a second booking. A zero denominator is N/A.</x:v>
      </x:c>
      <x:c r="P580" s="26" t="str">
        <x:v>PDF §10; due-cohort denominator clarified</x:v>
      </x:c>
      <x:c r="Q580" s="2" t="n">
        <x:f>IF(ISNUMBER(H580),1,0)</x:f>
        <x:v>0</x:v>
      </x:c>
    </x:row>
    <x:row r="581" ht="46" customHeight="1">
      <x:c r="A581" s="17" t="n">
        <x:v>46350</x:v>
      </x:c>
      <x:c r="B581" s="2" t="str">
        <x:v>Positive-to-booked conversion</x:v>
      </x:c>
      <x:c r="C581" s="40" t="n">
        <x:v>0.5</x:v>
      </x:c>
      <x:c r="D581" s="2" t="str">
        <x:v>Rate</x:v>
      </x:c>
      <x:c r="E581" s="20"/>
      <x:c r="F581" s="20"/>
      <x:c r="G581" s="20"/>
      <x:c r="H581" s="40" t="str">
        <x:f>IF(D581="Rate",IF(COUNT(F581:G581)&lt;2,"",IF(G581=0,"n.a.",F581/G581)),IF(COUNT(E581)=0,"",E581))</x:f>
      </x:c>
      <x:c r="I581" s="40" t="str">
        <x:f>IF(AND(ISNUMBER(H581),ISNUMBER(C581)),H581-C581,"")</x:f>
      </x:c>
      <x:c r="J581" s="2" t="str">
        <x:v>%</x:v>
      </x:c>
      <x:c r="K581" s="2" t="str">
        <x:v>Nova</x:v>
      </x:c>
      <x:c r="L581" s="28" t="str"/>
      <x:c r="M581" s="20"/>
      <x:c r="N581" s="21"/>
      <x:c r="O581" s="26" t="str">
        <x:v>Unique email-positive opportunities booked / unique email-positive opportunities in the same reviewed cohort. Use a documented follow-up window. This differs from the all-channel 40-inquiry/20-booking planning assumption. A zero denominator is N/A.</x:v>
      </x:c>
      <x:c r="P581" s="26" t="str">
        <x:v>PDF §9</x:v>
      </x:c>
      <x:c r="Q581" s="2" t="n">
        <x:f>IF(ISNUMBER(H581),1,0)</x:f>
        <x:v>0</x:v>
      </x:c>
    </x:row>
    <x:row r="582" ht="46" customHeight="1">
      <x:c r="A582" s="17" t="n">
        <x:v>46350</x:v>
      </x:c>
      <x:c r="B582" s="2" t="str">
        <x:v>Existing-account referral asks</x:v>
      </x:c>
      <x:c r="C582" s="2" t="n">
        <x:v>39</x:v>
      </x:c>
      <x:c r="D582" s="2" t="str">
        <x:v>Cumulative total</x:v>
      </x:c>
      <x:c r="E582" s="20"/>
      <x:c r="F582" s="20"/>
      <x:c r="G582" s="20"/>
      <x:c r="H582" s="2" t="str">
        <x:f>IF(D582="Rate",IF(COUNT(F582:G582)&lt;2,"",IF(G582=0,"n.a.",F582/G582)),IF(COUNT(E582)=0,"",E582))</x:f>
      </x:c>
      <x:c r="I582" s="2" t="str">
        <x:f>IF(AND(ISNUMBER(H582),ISNUMBER(C582)),H582-C582,"")</x:f>
      </x:c>
      <x:c r="J582" s="2" t="str">
        <x:v>accounts asked</x:v>
      </x:c>
      <x:c r="K582" s="2" t="str">
        <x:v>Maseeha</x:v>
      </x:c>
      <x:c r="L582" s="28" t="str"/>
      <x:c r="M582" s="20"/>
      <x:c r="N582" s="21"/>
      <x:c r="O582" s="26" t="str">
        <x:v>Ask 25 unique A/B accounts (5 A and 20 B) by November 13; proposed pace 35 total by November 20; complete the remaining C accounts to reach 41 total by November 25. One introduction is the ask; asks and received intros are separate counts.</x:v>
      </x:c>
      <x:c r="P582" s="26" t="str">
        <x:v>PDF §16 supplies 25 A/B byNov 14 and 16 C byNov 25; Friday deadline and 35-byNov 20 pace are proposed scheduling allocations.</x:v>
      </x:c>
      <x:c r="Q582" s="2" t="n">
        <x:f>IF(ISNUMBER(H582),1,0)</x:f>
        <x:v>0</x:v>
      </x:c>
    </x:row>
    <x:row r="583" ht="46" customHeight="1">
      <x:c r="A583" s="17" t="n">
        <x:v>46350</x:v>
      </x:c>
      <x:c r="B583" s="2" t="str">
        <x:v>Approved SOPs</x:v>
      </x:c>
      <x:c r="C583" s="2"/>
      <x:c r="D583" s="2" t="str">
        <x:v>Cumulative total</x:v>
      </x:c>
      <x:c r="E583" s="20"/>
      <x:c r="F583" s="20"/>
      <x:c r="G583" s="20"/>
      <x:c r="H583" s="2" t="str">
        <x:f>IF(D583="Rate",IF(COUNT(F583:G583)&lt;2,"",IF(G583=0,"n.a.",F583/G583)),IF(COUNT(E583)=0,"",E583))</x:f>
      </x:c>
      <x:c r="I583" s="2" t="str">
        <x:f>IF(AND(ISNUMBER(H583),ISNUMBER(C583)),H583-C583,"")</x:f>
      </x:c>
      <x:c r="J583" s="2" t="str">
        <x:v>SOPs</x:v>
      </x:c>
      <x:c r="K583" s="2" t="str">
        <x:v>Wyline</x:v>
      </x:c>
      <x:c r="L583" s="28" t="str"/>
      <x:c r="M583" s="20"/>
      <x:c r="N583" s="21"/>
      <x:c r="O583" s="26" t="str">
        <x:v>10 core SOPs plus ADS-01 and SOC-01 additions; approved version and independent-run evidence required.</x:v>
      </x:c>
      <x:c r="P583" s="26" t="str">
        <x:v>PDF §8 with §§17 b–d additions</x:v>
      </x:c>
      <x:c r="Q583" s="2" t="n">
        <x:f>IF(ISNUMBER(H583),1,0)</x:f>
        <x:v>0</x:v>
      </x:c>
    </x:row>
    <x:row r="584" ht="46" customHeight="1">
      <x:c r="A584" s="17" t="n">
        <x:v>46350</x:v>
      </x:c>
      <x:c r="B584" s="2" t="str">
        <x:v>Accepted AI agents</x:v>
      </x:c>
      <x:c r="C584" s="2"/>
      <x:c r="D584" s="2" t="str">
        <x:v>Cumulative total</x:v>
      </x:c>
      <x:c r="E584" s="20"/>
      <x:c r="F584" s="20"/>
      <x:c r="G584" s="20"/>
      <x:c r="H584" s="2" t="str">
        <x:f>IF(D584="Rate",IF(COUNT(F584:G584)&lt;2,"",IF(G584=0,"n.a.",F584/G584)),IF(COUNT(E584)=0,"",E584))</x:f>
      </x:c>
      <x:c r="I584" s="2" t="str">
        <x:f>IF(AND(ISNUMBER(H584),ISNUMBER(C584)),H584-C584,"")</x:f>
      </x:c>
      <x:c r="J584" s="2" t="str">
        <x:v>agents</x:v>
      </x:c>
      <x:c r="K584" s="2" t="str">
        <x:v>Emman</x:v>
      </x:c>
      <x:c r="L584" s="28" t="str"/>
      <x:c r="M584" s="20"/>
      <x:c r="N584" s="21"/>
      <x:c r="O584" s="26" t="str">
        <x:v>Scout, Writer, Inbox, Phone Assist, LinkedIn Assist, Follow-up, Scoreboard and Client Reporter; acceptance evidence required.</x:v>
      </x:c>
      <x:c r="P584" s="26" t="str">
        <x:v>PDF §7</x:v>
      </x:c>
      <x:c r="Q584" s="2" t="n">
        <x:f>IF(ISNUMBER(H584),1,0)</x:f>
        <x:v>0</x:v>
      </x:c>
    </x:row>
    <x:row r="585" ht="46" customHeight="1">
      <x:c r="A585" s="17" t="n">
        <x:v>46351</x:v>
      </x:c>
      <x:c r="B585" s="2" t="str">
        <x:v>Qualified inquiries</x:v>
      </x:c>
      <x:c r="C585" s="2" t="n">
        <x:v>16</x:v>
      </x:c>
      <x:c r="D585" s="2" t="str">
        <x:v>Cumulative total</x:v>
      </x:c>
      <x:c r="E585" s="20"/>
      <x:c r="F585" s="20"/>
      <x:c r="G585" s="20"/>
      <x:c r="H585" s="2" t="str">
        <x:f>IF(D585="Rate",IF(COUNT(F585:G585)&lt;2,"",IF(G585=0,"n.a.",F585/G585)),IF(COUNT(E585)=0,"",E585))</x:f>
      </x:c>
      <x:c r="I585" s="2" t="str">
        <x:f>IF(AND(ISNUMBER(H585),ISNUMBER(C585)),H585-C585,"")</x:f>
      </x:c>
      <x:c r="J585" s="2" t="str">
        <x:v>inquiries</x:v>
      </x:c>
      <x:c r="K585" s="2" t="str">
        <x:v>Nova</x:v>
      </x:c>
      <x:c r="L585" s="28" t="str"/>
      <x:c r="M585" s="20"/>
      <x:c r="N585" s="21"/>
      <x:c r="O585" s="26" t="str">
        <x:v>Unique ICP-matched practices that express relevant interest, need or timing; Nova records practice type, decision-maker access, case volume, service need and readiness within 30–60 days. Raw records, opens and connection accepts do not qualify.</x:v>
      </x:c>
      <x:c r="P585" s="26" t="str">
        <x:v>Original proposal pages 2 and 4 define qualification; 40 by Dec 16 and intermediate pace are newly proposed recovery targets.</x:v>
      </x:c>
      <x:c r="Q585" s="2" t="n">
        <x:f>IF(ISNUMBER(H585),1,0)</x:f>
        <x:v>0</x:v>
      </x:c>
    </x:row>
    <x:row r="586" ht="46" customHeight="1">
      <x:c r="A586" s="17" t="n">
        <x:v>46351</x:v>
      </x:c>
      <x:c r="B586" s="2" t="str">
        <x:v>Qualified conversations booked</x:v>
      </x:c>
      <x:c r="C586" s="2" t="n">
        <x:v>8</x:v>
      </x:c>
      <x:c r="D586" s="2" t="str">
        <x:v>Cumulative total</x:v>
      </x:c>
      <x:c r="E586" s="20"/>
      <x:c r="F586" s="20"/>
      <x:c r="G586" s="20"/>
      <x:c r="H586" s="2" t="str">
        <x:f>IF(D586="Rate",IF(COUNT(F586:G586)&lt;2,"",IF(G586=0,"n.a.",F586/G586)),IF(COUNT(E586)=0,"",E586))</x:f>
      </x:c>
      <x:c r="I586" s="2" t="str">
        <x:f>IF(AND(ISNUMBER(H586),ISNUMBER(C586)),H586-C586,"")</x:f>
      </x:c>
      <x:c r="J586" s="2" t="str">
        <x:v>bookings</x:v>
      </x:c>
      <x:c r="K586" s="2" t="str">
        <x:v>Nova</x:v>
      </x:c>
      <x:c r="L586" s="28" t="str"/>
      <x:c r="M586" s="20"/>
      <x:c r="N586" s="21"/>
      <x:c r="O586" s="26" t="str">
        <x:v>Unique qualified calls/visits booked with Nic; rebooking same opportunity is not a new booking.</x:v>
      </x:c>
      <x:c r="P586" s="26" t="str">
        <x:v>PDF §10; final deadline advanced to user Dec 16</x:v>
      </x:c>
      <x:c r="Q586" s="2" t="n">
        <x:f>IF(ISNUMBER(H586),1,0)</x:f>
        <x:v>0</x:v>
      </x:c>
    </x:row>
    <x:row r="587" ht="46" customHeight="1">
      <x:c r="A587" s="17" t="n">
        <x:v>46351</x:v>
      </x:c>
      <x:c r="B587" s="2" t="str">
        <x:v>Qualified conversations held</x:v>
      </x:c>
      <x:c r="C587" s="2" t="n">
        <x:v>6</x:v>
      </x:c>
      <x:c r="D587" s="2" t="str">
        <x:v>Cumulative total</x:v>
      </x:c>
      <x:c r="E587" s="20"/>
      <x:c r="F587" s="20"/>
      <x:c r="G587" s="20"/>
      <x:c r="H587" s="2" t="str">
        <x:f>IF(D587="Rate",IF(COUNT(F587:G587)&lt;2,"",IF(G587=0,"n.a.",F587/G587)),IF(COUNT(E587)=0,"",E587))</x:f>
      </x:c>
      <x:c r="I587" s="2" t="str">
        <x:f>IF(AND(ISNUMBER(H587),ISNUMBER(C587)),H587-C587,"")</x:f>
      </x:c>
      <x:c r="J587" s="2" t="str">
        <x:v>held</x:v>
      </x:c>
      <x:c r="K587" s="2" t="str">
        <x:v>Nova</x:v>
      </x:c>
      <x:c r="L587" s="28" t="str"/>
      <x:c r="M587" s="20"/>
      <x:c r="N587" s="21"/>
      <x:c r="O587" s="26" t="str">
        <x:v>Completed qualified calls/visits; 6 and 15 are integer planning proxies for 70% of 8 and 75% of 20.</x:v>
      </x:c>
      <x:c r="P587" s="26" t="str">
        <x:v>Derived from source held-rate targets</x:v>
      </x:c>
      <x:c r="Q587" s="2" t="n">
        <x:f>IF(ISNUMBER(H587),1,0)</x:f>
        <x:v>0</x:v>
      </x:c>
    </x:row>
    <x:row r="588" ht="46" customHeight="1">
      <x:c r="A588" s="17" t="n">
        <x:v>46351</x:v>
      </x:c>
      <x:c r="B588" s="2" t="str">
        <x:v>Trial cases received by DSI</x:v>
      </x:c>
      <x:c r="C588" s="2" t="n">
        <x:v>2</x:v>
      </x:c>
      <x:c r="D588" s="2" t="str">
        <x:v>Cumulative total</x:v>
      </x:c>
      <x:c r="E588" s="20"/>
      <x:c r="F588" s="20"/>
      <x:c r="G588" s="20"/>
      <x:c r="H588" s="2" t="str">
        <x:f>IF(D588="Rate",IF(COUNT(F588:G588)&lt;2,"",IF(G588=0,"n.a.",F588/G588)),IF(COUNT(E588)=0,"",E588))</x:f>
      </x:c>
      <x:c r="I588" s="2" t="str">
        <x:f>IF(AND(ISNUMBER(H588),ISNUMBER(C588)),H588-C588,"")</x:f>
      </x:c>
      <x:c r="J588" s="2" t="str">
        <x:v>trials</x:v>
      </x:c>
      <x:c r="K588" s="2" t="str">
        <x:v>Maseeha</x:v>
      </x:c>
      <x:c r="L588" s="28" t="str"/>
      <x:c r="M588" s="20"/>
      <x:c r="N588" s="21"/>
      <x:c r="O588" s="26" t="str">
        <x:v>Practice’s first trial case received by DSI, not merely promised or shipped; subject to Maseeha capacity.</x:v>
      </x:c>
      <x:c r="P588" s="26" t="str">
        <x:v>PDF §10; final deadline advanced to user Dec 16</x:v>
      </x:c>
      <x:c r="Q588" s="2" t="n">
        <x:f>IF(ISNUMBER(H588),1,0)</x:f>
        <x:v>0</x:v>
      </x:c>
    </x:row>
    <x:row r="589" ht="46" customHeight="1">
      <x:c r="A589" s="17" t="n">
        <x:v>46351</x:v>
      </x:c>
      <x:c r="B589" s="2" t="str">
        <x:v>Recurring accounts signed</x:v>
      </x:c>
      <x:c r="C589" s="2"/>
      <x:c r="D589" s="2" t="str">
        <x:v>Cumulative total</x:v>
      </x:c>
      <x:c r="E589" s="20"/>
      <x:c r="F589" s="20"/>
      <x:c r="G589" s="20"/>
      <x:c r="H589" s="2" t="str">
        <x:f>IF(D589="Rate",IF(COUNT(F589:G589)&lt;2,"",IF(G589=0,"n.a.",F589/G589)),IF(COUNT(E589)=0,"",E589))</x:f>
      </x:c>
      <x:c r="I589" s="2" t="str">
        <x:f>IF(AND(ISNUMBER(H589),ISNUMBER(C589)),H589-C589,"")</x:f>
      </x:c>
      <x:c r="J589" s="2" t="str">
        <x:v>accounts</x:v>
      </x:c>
      <x:c r="K589" s="2" t="str">
        <x:v>Nic</x:v>
      </x:c>
      <x:c r="L589" s="28" t="str"/>
      <x:c r="M589" s="20"/>
      <x:c r="N589" s="21"/>
      <x:c r="O589" s="26" t="str">
        <x:v>Plan signed following Day-30 review; only mature trial cohorts eligible. 1–3 is a conditional range.</x:v>
      </x:c>
      <x:c r="P589" s="26" t="str">
        <x:v>PDF §10</x:v>
      </x:c>
      <x:c r="Q589" s="2" t="n">
        <x:f>IF(ISNUMBER(H589),1,0)</x:f>
        <x:v>0</x:v>
      </x:c>
    </x:row>
    <x:row r="590" ht="46" customHeight="1">
      <x:c r="A590" s="17" t="n">
        <x:v>46351</x:v>
      </x:c>
      <x:c r="B590" s="2" t="str">
        <x:v>Referral-sourced bookings</x:v>
      </x:c>
      <x:c r="C590" s="2" t="n">
        <x:v>4</x:v>
      </x:c>
      <x:c r="D590" s="2" t="str">
        <x:v>Cumulative total</x:v>
      </x:c>
      <x:c r="E590" s="20"/>
      <x:c r="F590" s="20"/>
      <x:c r="G590" s="20"/>
      <x:c r="H590" s="2" t="str">
        <x:f>IF(D590="Rate",IF(COUNT(F590:G590)&lt;2,"",IF(G590=0,"n.a.",F590/G590)),IF(COUNT(E590)=0,"",E590))</x:f>
      </x:c>
      <x:c r="I590" s="2" t="str">
        <x:f>IF(AND(ISNUMBER(H590),ISNUMBER(C590)),H590-C590,"")</x:f>
      </x:c>
      <x:c r="J590" s="2" t="str">
        <x:v>bookings</x:v>
      </x:c>
      <x:c r="K590" s="2" t="str">
        <x:v>Nova</x:v>
      </x:c>
      <x:c r="L590" s="28" t="str"/>
      <x:c r="M590" s="20"/>
      <x:c r="N590" s="21"/>
      <x:c r="O590" s="26" t="str">
        <x:v>Subset of booked total with primary Source=Referral; never added on top of all-channel bookings.</x:v>
      </x:c>
      <x:c r="P590" s="26" t="str">
        <x:v>PDF §§10, 16</x:v>
      </x:c>
      <x:c r="Q590" s="2" t="n">
        <x:f>IF(ISNUMBER(H590),1,0)</x:f>
        <x:v>0</x:v>
      </x:c>
    </x:row>
    <x:row r="591" ht="46" customHeight="1">
      <x:c r="A591" s="17" t="n">
        <x:v>46351</x:v>
      </x:c>
      <x:c r="B591" s="2" t="str">
        <x:v>LinkedIn DM-sourced bookings</x:v>
      </x:c>
      <x:c r="C591" s="2" t="n">
        <x:v>3</x:v>
      </x:c>
      <x:c r="D591" s="2" t="str">
        <x:v>Cumulative total</x:v>
      </x:c>
      <x:c r="E591" s="20"/>
      <x:c r="F591" s="20"/>
      <x:c r="G591" s="20"/>
      <x:c r="H591" s="2" t="str">
        <x:f>IF(D591="Rate",IF(COUNT(F591:G591)&lt;2,"",IF(G591=0,"n.a.",F591/G591)),IF(COUNT(E591)=0,"",E591))</x:f>
      </x:c>
      <x:c r="I591" s="2" t="str">
        <x:f>IF(AND(ISNUMBER(H591),ISNUMBER(C591)),H591-C591,"")</x:f>
      </x:c>
      <x:c r="J591" s="2" t="str">
        <x:v>bookings</x:v>
      </x:c>
      <x:c r="K591" s="2" t="str">
        <x:v>Dexter</x:v>
      </x:c>
      <x:c r="L591" s="28" t="str"/>
      <x:c r="M591" s="20"/>
      <x:c r="N591" s="21"/>
      <x:c r="O591" s="26" t="str">
        <x:v>Subset of booked total with primary Source=LinkedIn DM; assists tracked separately.</x:v>
      </x:c>
      <x:c r="P591" s="26" t="str">
        <x:v>PDF §§10, 17 a</x:v>
      </x:c>
      <x:c r="Q591" s="2" t="n">
        <x:f>IF(ISNUMBER(H591),1,0)</x:f>
        <x:v>0</x:v>
      </x:c>
    </x:row>
    <x:row r="592" ht="46" customHeight="1">
      <x:c r="A592" s="17" t="n">
        <x:v>46351</x:v>
      </x:c>
      <x:c r="B592" s="2" t="str">
        <x:v>Verified contacts ready</x:v>
      </x:c>
      <x:c r="C592" s="2" t="n">
        <x:v>500</x:v>
      </x:c>
      <x:c r="D592" s="2" t="str">
        <x:v>Cumulative total</x:v>
      </x:c>
      <x:c r="E592" s="20"/>
      <x:c r="F592" s="20"/>
      <x:c r="G592" s="20"/>
      <x:c r="H592" s="2" t="str">
        <x:f>IF(D592="Rate",IF(COUNT(F592:G592)&lt;2,"",IF(G592=0,"n.a.",F592/G592)),IF(COUNT(E592)=0,"",E592))</x:f>
      </x:c>
      <x:c r="I592" s="2" t="str">
        <x:f>IF(AND(ISNUMBER(H592),ISNUMBER(C592)),H592-C592,"")</x:f>
      </x:c>
      <x:c r="J592" s="2" t="str">
        <x:v>contacts</x:v>
      </x:c>
      <x:c r="K592" s="2" t="str">
        <x:v>Joey</x:v>
      </x:c>
      <x:c r="L592" s="28" t="str"/>
      <x:c r="M592" s="20"/>
      <x:c r="N592" s="21"/>
      <x:c r="O592" s="26" t="str">
        <x:v>Unique contacts passing Scout and loaded in CQL; count once per contact.</x:v>
      </x:c>
      <x:c r="P592" s="26" t="str">
        <x:v>PDF §§10, 14; 750 due Dec 12 moved to Fri Dec 11</x:v>
      </x:c>
      <x:c r="Q592" s="2" t="n">
        <x:f>IF(ISNUMBER(H592),1,0)</x:f>
        <x:v>0</x:v>
      </x:c>
    </x:row>
    <x:row r="593" ht="46" customHeight="1">
      <x:c r="A593" s="17" t="n">
        <x:v>46351</x:v>
      </x:c>
      <x:c r="B593" s="2" t="str">
        <x:v>Permission-based referral introductions</x:v>
      </x:c>
      <x:c r="C593" s="2" t="n">
        <x:v>8</x:v>
      </x:c>
      <x:c r="D593" s="2" t="str">
        <x:v>Cumulative total</x:v>
      </x:c>
      <x:c r="E593" s="20"/>
      <x:c r="F593" s="20"/>
      <x:c r="G593" s="20"/>
      <x:c r="H593" s="2" t="str">
        <x:f>IF(D593="Rate",IF(COUNT(F593:G593)&lt;2,"",IF(G593=0,"n.a.",F593/G593)),IF(COUNT(E593)=0,"",E593))</x:f>
      </x:c>
      <x:c r="I593" s="2" t="str">
        <x:f>IF(AND(ISNUMBER(H593),ISNUMBER(C593)),H593-C593,"")</x:f>
      </x:c>
      <x:c r="J593" s="2" t="str">
        <x:v>introductions</x:v>
      </x:c>
      <x:c r="K593" s="2" t="str">
        <x:v>Maseeha</x:v>
      </x:c>
      <x:c r="L593" s="28" t="str"/>
      <x:c r="M593" s="20"/>
      <x:c r="N593" s="21"/>
      <x:c r="O593" s="26" t="str">
        <x:v>Unique introductions with consent and referrer recorded, verified by Maseeha within 2 business days.</x:v>
      </x:c>
      <x:c r="P593" s="26" t="str">
        <x:v>PDF §§10, 16</x:v>
      </x:c>
      <x:c r="Q593" s="2" t="n">
        <x:f>IF(ISNUMBER(H593),1,0)</x:f>
        <x:v>0</x:v>
      </x:c>
    </x:row>
    <x:row r="594" ht="46" customHeight="1">
      <x:c r="A594" s="17" t="n">
        <x:v>46351</x:v>
      </x:c>
      <x:c r="B594" s="2" t="str">
        <x:v>Human reply rate</x:v>
      </x:c>
      <x:c r="C594" s="40" t="n">
        <x:v>0.03</x:v>
      </x:c>
      <x:c r="D594" s="2" t="str">
        <x:v>Rate</x:v>
      </x:c>
      <x:c r="E594" s="20"/>
      <x:c r="F594" s="20"/>
      <x:c r="G594" s="20"/>
      <x:c r="H594" s="40" t="str">
        <x:f>IF(D594="Rate",IF(COUNT(F594:G594)&lt;2,"",IF(G594=0,"n.a.",F594/G594)),IF(COUNT(E594)=0,"",E594))</x:f>
      </x:c>
      <x:c r="I594" s="40" t="str">
        <x:f>IF(AND(ISNUMBER(H594),ISNUMBER(C594)),H594-C594,"")</x:f>
      </x:c>
      <x:c r="J594" s="2" t="str">
        <x:v>%</x:v>
      </x:c>
      <x:c r="K594" s="2" t="str">
        <x:v>Kenneth</x:v>
      </x:c>
      <x:c r="L594" s="28" t="str"/>
      <x:c r="M594" s="20"/>
      <x:c r="N594" s="21"/>
      <x:c r="O594" s="26" t="str">
        <x:v>Unique emailed contacts that give a qualifying human reply / unique contacts emailed in the same send cohort. Exclude OOO, auto-replies, bounces and unsubscribe-only replies. Deduplicate contacts across sequence steps; zero denominator is N/A.</x:v>
      </x:c>
      <x:c r="P594" s="26" t="str">
        <x:v>PDF §10</x:v>
      </x:c>
      <x:c r="Q594" s="2" t="n">
        <x:f>IF(ISNUMBER(H594),1,0)</x:f>
        <x:v>0</x:v>
      </x:c>
    </x:row>
    <x:row r="595" ht="46" customHeight="1">
      <x:c r="A595" s="17" t="n">
        <x:v>46351</x:v>
      </x:c>
      <x:c r="B595" s="2" t="str">
        <x:v>Positive reply rate</x:v>
      </x:c>
      <x:c r="C595" s="40" t="n">
        <x:v>0.015</x:v>
      </x:c>
      <x:c r="D595" s="2" t="str">
        <x:v>Rate</x:v>
      </x:c>
      <x:c r="E595" s="20"/>
      <x:c r="F595" s="20"/>
      <x:c r="G595" s="20"/>
      <x:c r="H595" s="40" t="str">
        <x:f>IF(D595="Rate",IF(COUNT(F595:G595)&lt;2,"",IF(G595=0,"n.a.",F595/G595)),IF(COUNT(E595)=0,"",E595))</x:f>
      </x:c>
      <x:c r="I595" s="40" t="str">
        <x:f>IF(AND(ISNUMBER(H595),ISNUMBER(C595)),H595-C595,"")</x:f>
      </x:c>
      <x:c r="J595" s="2" t="str">
        <x:v>%</x:v>
      </x:c>
      <x:c r="K595" s="2" t="str">
        <x:v>Kenneth</x:v>
      </x:c>
      <x:c r="L595" s="28" t="str"/>
      <x:c r="M595" s="20"/>
      <x:c r="N595" s="21"/>
      <x:c r="O595" s="26" t="str">
        <x:v>Unique emailed contacts classified interested or relevant question / unique contacts emailed in the same send cohort. Deduplicate across sequence steps; zero denominator is N/A. Keep this email rate separate from all-channel qualified inquiries.</x:v>
      </x:c>
      <x:c r="P595" s="26" t="str">
        <x:v>PDF §10</x:v>
      </x:c>
      <x:c r="Q595" s="2" t="n">
        <x:f>IF(ISNUMBER(H595),1,0)</x:f>
        <x:v>0</x:v>
      </x:c>
    </x:row>
    <x:row r="596" ht="46" customHeight="1">
      <x:c r="A596" s="17" t="n">
        <x:v>46351</x:v>
      </x:c>
      <x:c r="B596" s="2" t="str">
        <x:v>Replies answered within 15 minutes</x:v>
      </x:c>
      <x:c r="C596" s="40" t="n">
        <x:v>1</x:v>
      </x:c>
      <x:c r="D596" s="2" t="str">
        <x:v>Rate</x:v>
      </x:c>
      <x:c r="E596" s="20"/>
      <x:c r="F596" s="20"/>
      <x:c r="G596" s="20"/>
      <x:c r="H596" s="40" t="str">
        <x:f>IF(D596="Rate",IF(COUNT(F596:G596)&lt;2,"",IF(G596=0,"n.a.",F596/G596)),IF(COUNT(E596)=0,"",E596))</x:f>
      </x:c>
      <x:c r="I596" s="40" t="str">
        <x:f>IF(AND(ISNUMBER(H596),ISNUMBER(C596)),H596-C596,"")</x:f>
      </x:c>
      <x:c r="J596" s="2" t="str">
        <x:v>%</x:v>
      </x:c>
      <x:c r="K596" s="2" t="str">
        <x:v>Nova</x:v>
      </x:c>
      <x:c r="L596" s="28" t="str"/>
      <x:c r="M596" s="20"/>
      <x:c r="N596" s="21"/>
      <x:c r="O596"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596" s="26" t="str">
        <x:v>PDF §9; clock convention clarified for tracker</x:v>
      </x:c>
      <x:c r="Q596" s="2" t="n">
        <x:f>IF(ISNUMBER(H596),1,0)</x:f>
        <x:v>0</x:v>
      </x:c>
    </x:row>
    <x:row r="597" ht="46" customHeight="1">
      <x:c r="A597" s="17" t="n">
        <x:v>46351</x:v>
      </x:c>
      <x:c r="B597" s="2" t="str">
        <x:v>Held rate</x:v>
      </x:c>
      <x:c r="C597" s="40" t="n">
        <x:v>0.75</x:v>
      </x:c>
      <x:c r="D597" s="2" t="str">
        <x:v>Rate</x:v>
      </x:c>
      <x:c r="E597" s="20"/>
      <x:c r="F597" s="20"/>
      <x:c r="G597" s="20"/>
      <x:c r="H597" s="40" t="str">
        <x:f>IF(D597="Rate",IF(COUNT(F597:G597)&lt;2,"",IF(G597=0,"n.a.",F597/G597)),IF(COUNT(E597)=0,"",E597))</x:f>
      </x:c>
      <x:c r="I597" s="40" t="str">
        <x:f>IF(AND(ISNUMBER(H597),ISNUMBER(C597)),H597-C597,"")</x:f>
      </x:c>
      <x:c r="J597" s="2" t="str">
        <x:v>%</x:v>
      </x:c>
      <x:c r="K597" s="2" t="str">
        <x:v>Nova</x:v>
      </x:c>
      <x:c r="L597" s="28" t="str"/>
      <x:c r="M597" s="20"/>
      <x:c r="N597" s="21"/>
      <x:c r="O597" s="26" t="str">
        <x:v>Qualified conversations actually held / unique booked conversations whose scheduled time has passed. Exclude upcoming appointments. Rebooking the same opportunity is not a second booking. A zero denominator is N/A.</x:v>
      </x:c>
      <x:c r="P597" s="26" t="str">
        <x:v>PDF §10; due-cohort denominator clarified</x:v>
      </x:c>
      <x:c r="Q597" s="2" t="n">
        <x:f>IF(ISNUMBER(H597),1,0)</x:f>
        <x:v>0</x:v>
      </x:c>
    </x:row>
    <x:row r="598" ht="46" customHeight="1">
      <x:c r="A598" s="17" t="n">
        <x:v>46351</x:v>
      </x:c>
      <x:c r="B598" s="2" t="str">
        <x:v>Positive-to-booked conversion</x:v>
      </x:c>
      <x:c r="C598" s="40" t="n">
        <x:v>0.5</x:v>
      </x:c>
      <x:c r="D598" s="2" t="str">
        <x:v>Rate</x:v>
      </x:c>
      <x:c r="E598" s="20"/>
      <x:c r="F598" s="20"/>
      <x:c r="G598" s="20"/>
      <x:c r="H598" s="40" t="str">
        <x:f>IF(D598="Rate",IF(COUNT(F598:G598)&lt;2,"",IF(G598=0,"n.a.",F598/G598)),IF(COUNT(E598)=0,"",E598))</x:f>
      </x:c>
      <x:c r="I598" s="40" t="str">
        <x:f>IF(AND(ISNUMBER(H598),ISNUMBER(C598)),H598-C598,"")</x:f>
      </x:c>
      <x:c r="J598" s="2" t="str">
        <x:v>%</x:v>
      </x:c>
      <x:c r="K598" s="2" t="str">
        <x:v>Nova</x:v>
      </x:c>
      <x:c r="L598" s="28" t="str"/>
      <x:c r="M598" s="20"/>
      <x:c r="N598" s="21"/>
      <x:c r="O598" s="26" t="str">
        <x:v>Unique email-positive opportunities booked / unique email-positive opportunities in the same reviewed cohort. Use a documented follow-up window. This differs from the all-channel 40-inquiry/20-booking planning assumption. A zero denominator is N/A.</x:v>
      </x:c>
      <x:c r="P598" s="26" t="str">
        <x:v>PDF §9</x:v>
      </x:c>
      <x:c r="Q598" s="2" t="n">
        <x:f>IF(ISNUMBER(H598),1,0)</x:f>
        <x:v>0</x:v>
      </x:c>
    </x:row>
    <x:row r="599" ht="46" customHeight="1">
      <x:c r="A599" s="17" t="n">
        <x:v>46351</x:v>
      </x:c>
      <x:c r="B599" s="2" t="str">
        <x:v>Existing-account referral asks</x:v>
      </x:c>
      <x:c r="C599" s="2" t="n">
        <x:v>41</x:v>
      </x:c>
      <x:c r="D599" s="2" t="str">
        <x:v>Cumulative total</x:v>
      </x:c>
      <x:c r="E599" s="20"/>
      <x:c r="F599" s="20"/>
      <x:c r="G599" s="20"/>
      <x:c r="H599" s="2" t="str">
        <x:f>IF(D599="Rate",IF(COUNT(F599:G599)&lt;2,"",IF(G599=0,"n.a.",F599/G599)),IF(COUNT(E599)=0,"",E599))</x:f>
      </x:c>
      <x:c r="I599" s="2" t="str">
        <x:f>IF(AND(ISNUMBER(H599),ISNUMBER(C599)),H599-C599,"")</x:f>
      </x:c>
      <x:c r="J599" s="2" t="str">
        <x:v>accounts asked</x:v>
      </x:c>
      <x:c r="K599" s="2" t="str">
        <x:v>Maseeha</x:v>
      </x:c>
      <x:c r="L599" s="28" t="str"/>
      <x:c r="M599" s="20"/>
      <x:c r="N599" s="21"/>
      <x:c r="O599" s="26" t="str">
        <x:v>Ask 25 unique A/B accounts (5 A and 20 B) by November 13; proposed pace 35 total by November 20; complete the remaining C accounts to reach 41 total by November 25. One introduction is the ask; asks and received intros are separate counts.</x:v>
      </x:c>
      <x:c r="P599" s="26" t="str">
        <x:v>PDF §16 supplies 25 A/B byNov 14 and 16 C byNov 25; Friday deadline and 35-byNov 20 pace are proposed scheduling allocations.</x:v>
      </x:c>
      <x:c r="Q599" s="2" t="n">
        <x:f>IF(ISNUMBER(H599),1,0)</x:f>
        <x:v>0</x:v>
      </x:c>
    </x:row>
    <x:row r="600" ht="46" customHeight="1">
      <x:c r="A600" s="17" t="n">
        <x:v>46351</x:v>
      </x:c>
      <x:c r="B600" s="2" t="str">
        <x:v>Approved SOPs</x:v>
      </x:c>
      <x:c r="C600" s="2"/>
      <x:c r="D600" s="2" t="str">
        <x:v>Cumulative total</x:v>
      </x:c>
      <x:c r="E600" s="20"/>
      <x:c r="F600" s="20"/>
      <x:c r="G600" s="20"/>
      <x:c r="H600" s="2" t="str">
        <x:f>IF(D600="Rate",IF(COUNT(F600:G600)&lt;2,"",IF(G600=0,"n.a.",F600/G600)),IF(COUNT(E600)=0,"",E600))</x:f>
      </x:c>
      <x:c r="I600" s="2" t="str">
        <x:f>IF(AND(ISNUMBER(H600),ISNUMBER(C600)),H600-C600,"")</x:f>
      </x:c>
      <x:c r="J600" s="2" t="str">
        <x:v>SOPs</x:v>
      </x:c>
      <x:c r="K600" s="2" t="str">
        <x:v>Wyline</x:v>
      </x:c>
      <x:c r="L600" s="28" t="str"/>
      <x:c r="M600" s="20"/>
      <x:c r="N600" s="21"/>
      <x:c r="O600" s="26" t="str">
        <x:v>10 core SOPs plus ADS-01 and SOC-01 additions; approved version and independent-run evidence required.</x:v>
      </x:c>
      <x:c r="P600" s="26" t="str">
        <x:v>PDF §8 with §§17 b–d additions</x:v>
      </x:c>
      <x:c r="Q600" s="2" t="n">
        <x:f>IF(ISNUMBER(H600),1,0)</x:f>
        <x:v>0</x:v>
      </x:c>
    </x:row>
    <x:row r="601" ht="46" customHeight="1">
      <x:c r="A601" s="17" t="n">
        <x:v>46351</x:v>
      </x:c>
      <x:c r="B601" s="2" t="str">
        <x:v>Accepted AI agents</x:v>
      </x:c>
      <x:c r="C601" s="2"/>
      <x:c r="D601" s="2" t="str">
        <x:v>Cumulative total</x:v>
      </x:c>
      <x:c r="E601" s="20"/>
      <x:c r="F601" s="20"/>
      <x:c r="G601" s="20"/>
      <x:c r="H601" s="2" t="str">
        <x:f>IF(D601="Rate",IF(COUNT(F601:G601)&lt;2,"",IF(G601=0,"n.a.",F601/G601)),IF(COUNT(E601)=0,"",E601))</x:f>
      </x:c>
      <x:c r="I601" s="2" t="str">
        <x:f>IF(AND(ISNUMBER(H601),ISNUMBER(C601)),H601-C601,"")</x:f>
      </x:c>
      <x:c r="J601" s="2" t="str">
        <x:v>agents</x:v>
      </x:c>
      <x:c r="K601" s="2" t="str">
        <x:v>Emman</x:v>
      </x:c>
      <x:c r="L601" s="28" t="str"/>
      <x:c r="M601" s="20"/>
      <x:c r="N601" s="21"/>
      <x:c r="O601" s="26" t="str">
        <x:v>Scout, Writer, Inbox, Phone Assist, LinkedIn Assist, Follow-up, Scoreboard and Client Reporter; acceptance evidence required.</x:v>
      </x:c>
      <x:c r="P601" s="26" t="str">
        <x:v>PDF §7</x:v>
      </x:c>
      <x:c r="Q601" s="2" t="n">
        <x:f>IF(ISNUMBER(H601),1,0)</x:f>
        <x:v>0</x:v>
      </x:c>
    </x:row>
    <x:row r="602" ht="46" customHeight="1">
      <x:c r="A602" s="17" t="n">
        <x:v>46352</x:v>
      </x:c>
      <x:c r="B602" s="2" t="str">
        <x:v>Qualified inquiries</x:v>
      </x:c>
      <x:c r="C602" s="2" t="n">
        <x:v>16</x:v>
      </x:c>
      <x:c r="D602" s="2" t="str">
        <x:v>Cumulative total</x:v>
      </x:c>
      <x:c r="E602" s="20"/>
      <x:c r="F602" s="20"/>
      <x:c r="G602" s="20"/>
      <x:c r="H602" s="2" t="str">
        <x:f>IF(D602="Rate",IF(COUNT(F602:G602)&lt;2,"",IF(G602=0,"n.a.",F602/G602)),IF(COUNT(E602)=0,"",E602))</x:f>
      </x:c>
      <x:c r="I602" s="2" t="str">
        <x:f>IF(AND(ISNUMBER(H602),ISNUMBER(C602)),H602-C602,"")</x:f>
      </x:c>
      <x:c r="J602" s="2" t="str">
        <x:v>inquiries</x:v>
      </x:c>
      <x:c r="K602" s="2" t="str">
        <x:v>Nova</x:v>
      </x:c>
      <x:c r="L602" s="28" t="str"/>
      <x:c r="M602" s="20"/>
      <x:c r="N602" s="21"/>
      <x:c r="O602" s="26" t="str">
        <x:v>Unique ICP-matched practices that express relevant interest, need or timing; Nova records practice type, decision-maker access, case volume, service need and readiness within 30–60 days. Raw records, opens and connection accepts do not qualify.</x:v>
      </x:c>
      <x:c r="P602" s="26" t="str">
        <x:v>Original proposal pages 2 and 4 define qualification; 40 by Dec 16 and intermediate pace are newly proposed recovery targets.</x:v>
      </x:c>
      <x:c r="Q602" s="2" t="n">
        <x:f>IF(ISNUMBER(H602),1,0)</x:f>
        <x:v>0</x:v>
      </x:c>
    </x:row>
    <x:row r="603" ht="46" customHeight="1">
      <x:c r="A603" s="17" t="n">
        <x:v>46352</x:v>
      </x:c>
      <x:c r="B603" s="2" t="str">
        <x:v>Qualified conversations booked</x:v>
      </x:c>
      <x:c r="C603" s="2" t="n">
        <x:v>8</x:v>
      </x:c>
      <x:c r="D603" s="2" t="str">
        <x:v>Cumulative total</x:v>
      </x:c>
      <x:c r="E603" s="20"/>
      <x:c r="F603" s="20"/>
      <x:c r="G603" s="20"/>
      <x:c r="H603" s="2" t="str">
        <x:f>IF(D603="Rate",IF(COUNT(F603:G603)&lt;2,"",IF(G603=0,"n.a.",F603/G603)),IF(COUNT(E603)=0,"",E603))</x:f>
      </x:c>
      <x:c r="I603" s="2" t="str">
        <x:f>IF(AND(ISNUMBER(H603),ISNUMBER(C603)),H603-C603,"")</x:f>
      </x:c>
      <x:c r="J603" s="2" t="str">
        <x:v>bookings</x:v>
      </x:c>
      <x:c r="K603" s="2" t="str">
        <x:v>Nova</x:v>
      </x:c>
      <x:c r="L603" s="28" t="str"/>
      <x:c r="M603" s="20"/>
      <x:c r="N603" s="21"/>
      <x:c r="O603" s="26" t="str">
        <x:v>Unique qualified calls/visits booked with Nic; rebooking same opportunity is not a new booking.</x:v>
      </x:c>
      <x:c r="P603" s="26" t="str">
        <x:v>PDF §10; final deadline advanced to user Dec 16</x:v>
      </x:c>
      <x:c r="Q603" s="2" t="n">
        <x:f>IF(ISNUMBER(H603),1,0)</x:f>
        <x:v>0</x:v>
      </x:c>
    </x:row>
    <x:row r="604" ht="46" customHeight="1">
      <x:c r="A604" s="17" t="n">
        <x:v>46352</x:v>
      </x:c>
      <x:c r="B604" s="2" t="str">
        <x:v>Qualified conversations held</x:v>
      </x:c>
      <x:c r="C604" s="2" t="n">
        <x:v>6</x:v>
      </x:c>
      <x:c r="D604" s="2" t="str">
        <x:v>Cumulative total</x:v>
      </x:c>
      <x:c r="E604" s="20"/>
      <x:c r="F604" s="20"/>
      <x:c r="G604" s="20"/>
      <x:c r="H604" s="2" t="str">
        <x:f>IF(D604="Rate",IF(COUNT(F604:G604)&lt;2,"",IF(G604=0,"n.a.",F604/G604)),IF(COUNT(E604)=0,"",E604))</x:f>
      </x:c>
      <x:c r="I604" s="2" t="str">
        <x:f>IF(AND(ISNUMBER(H604),ISNUMBER(C604)),H604-C604,"")</x:f>
      </x:c>
      <x:c r="J604" s="2" t="str">
        <x:v>held</x:v>
      </x:c>
      <x:c r="K604" s="2" t="str">
        <x:v>Nova</x:v>
      </x:c>
      <x:c r="L604" s="28" t="str"/>
      <x:c r="M604" s="20"/>
      <x:c r="N604" s="21"/>
      <x:c r="O604" s="26" t="str">
        <x:v>Completed qualified calls/visits; 6 and 15 are integer planning proxies for 70% of 8 and 75% of 20.</x:v>
      </x:c>
      <x:c r="P604" s="26" t="str">
        <x:v>Derived from source held-rate targets</x:v>
      </x:c>
      <x:c r="Q604" s="2" t="n">
        <x:f>IF(ISNUMBER(H604),1,0)</x:f>
        <x:v>0</x:v>
      </x:c>
    </x:row>
    <x:row r="605" ht="46" customHeight="1">
      <x:c r="A605" s="17" t="n">
        <x:v>46352</x:v>
      </x:c>
      <x:c r="B605" s="2" t="str">
        <x:v>Trial cases received by DSI</x:v>
      </x:c>
      <x:c r="C605" s="2" t="n">
        <x:v>2</x:v>
      </x:c>
      <x:c r="D605" s="2" t="str">
        <x:v>Cumulative total</x:v>
      </x:c>
      <x:c r="E605" s="20"/>
      <x:c r="F605" s="20"/>
      <x:c r="G605" s="20"/>
      <x:c r="H605" s="2" t="str">
        <x:f>IF(D605="Rate",IF(COUNT(F605:G605)&lt;2,"",IF(G605=0,"n.a.",F605/G605)),IF(COUNT(E605)=0,"",E605))</x:f>
      </x:c>
      <x:c r="I605" s="2" t="str">
        <x:f>IF(AND(ISNUMBER(H605),ISNUMBER(C605)),H605-C605,"")</x:f>
      </x:c>
      <x:c r="J605" s="2" t="str">
        <x:v>trials</x:v>
      </x:c>
      <x:c r="K605" s="2" t="str">
        <x:v>Maseeha</x:v>
      </x:c>
      <x:c r="L605" s="28" t="str"/>
      <x:c r="M605" s="20"/>
      <x:c r="N605" s="21"/>
      <x:c r="O605" s="26" t="str">
        <x:v>Practice’s first trial case received by DSI, not merely promised or shipped; subject to Maseeha capacity.</x:v>
      </x:c>
      <x:c r="P605" s="26" t="str">
        <x:v>PDF §10; final deadline advanced to user Dec 16</x:v>
      </x:c>
      <x:c r="Q605" s="2" t="n">
        <x:f>IF(ISNUMBER(H605),1,0)</x:f>
        <x:v>0</x:v>
      </x:c>
    </x:row>
    <x:row r="606" ht="46" customHeight="1">
      <x:c r="A606" s="17" t="n">
        <x:v>46352</x:v>
      </x:c>
      <x:c r="B606" s="2" t="str">
        <x:v>Recurring accounts signed</x:v>
      </x:c>
      <x:c r="C606" s="2"/>
      <x:c r="D606" s="2" t="str">
        <x:v>Cumulative total</x:v>
      </x:c>
      <x:c r="E606" s="20"/>
      <x:c r="F606" s="20"/>
      <x:c r="G606" s="20"/>
      <x:c r="H606" s="2" t="str">
        <x:f>IF(D606="Rate",IF(COUNT(F606:G606)&lt;2,"",IF(G606=0,"n.a.",F606/G606)),IF(COUNT(E606)=0,"",E606))</x:f>
      </x:c>
      <x:c r="I606" s="2" t="str">
        <x:f>IF(AND(ISNUMBER(H606),ISNUMBER(C606)),H606-C606,"")</x:f>
      </x:c>
      <x:c r="J606" s="2" t="str">
        <x:v>accounts</x:v>
      </x:c>
      <x:c r="K606" s="2" t="str">
        <x:v>Nic</x:v>
      </x:c>
      <x:c r="L606" s="28" t="str"/>
      <x:c r="M606" s="20"/>
      <x:c r="N606" s="21"/>
      <x:c r="O606" s="26" t="str">
        <x:v>Plan signed following Day-30 review; only mature trial cohorts eligible. 1–3 is a conditional range.</x:v>
      </x:c>
      <x:c r="P606" s="26" t="str">
        <x:v>PDF §10</x:v>
      </x:c>
      <x:c r="Q606" s="2" t="n">
        <x:f>IF(ISNUMBER(H606),1,0)</x:f>
        <x:v>0</x:v>
      </x:c>
    </x:row>
    <x:row r="607" ht="46" customHeight="1">
      <x:c r="A607" s="17" t="n">
        <x:v>46352</x:v>
      </x:c>
      <x:c r="B607" s="2" t="str">
        <x:v>Referral-sourced bookings</x:v>
      </x:c>
      <x:c r="C607" s="2" t="n">
        <x:v>4</x:v>
      </x:c>
      <x:c r="D607" s="2" t="str">
        <x:v>Cumulative total</x:v>
      </x:c>
      <x:c r="E607" s="20"/>
      <x:c r="F607" s="20"/>
      <x:c r="G607" s="20"/>
      <x:c r="H607" s="2" t="str">
        <x:f>IF(D607="Rate",IF(COUNT(F607:G607)&lt;2,"",IF(G607=0,"n.a.",F607/G607)),IF(COUNT(E607)=0,"",E607))</x:f>
      </x:c>
      <x:c r="I607" s="2" t="str">
        <x:f>IF(AND(ISNUMBER(H607),ISNUMBER(C607)),H607-C607,"")</x:f>
      </x:c>
      <x:c r="J607" s="2" t="str">
        <x:v>bookings</x:v>
      </x:c>
      <x:c r="K607" s="2" t="str">
        <x:v>Nova</x:v>
      </x:c>
      <x:c r="L607" s="28" t="str"/>
      <x:c r="M607" s="20"/>
      <x:c r="N607" s="21"/>
      <x:c r="O607" s="26" t="str">
        <x:v>Subset of booked total with primary Source=Referral; never added on top of all-channel bookings.</x:v>
      </x:c>
      <x:c r="P607" s="26" t="str">
        <x:v>PDF §§10, 16</x:v>
      </x:c>
      <x:c r="Q607" s="2" t="n">
        <x:f>IF(ISNUMBER(H607),1,0)</x:f>
        <x:v>0</x:v>
      </x:c>
    </x:row>
    <x:row r="608" ht="46" customHeight="1">
      <x:c r="A608" s="17" t="n">
        <x:v>46352</x:v>
      </x:c>
      <x:c r="B608" s="2" t="str">
        <x:v>LinkedIn DM-sourced bookings</x:v>
      </x:c>
      <x:c r="C608" s="2" t="n">
        <x:v>3</x:v>
      </x:c>
      <x:c r="D608" s="2" t="str">
        <x:v>Cumulative total</x:v>
      </x:c>
      <x:c r="E608" s="20"/>
      <x:c r="F608" s="20"/>
      <x:c r="G608" s="20"/>
      <x:c r="H608" s="2" t="str">
        <x:f>IF(D608="Rate",IF(COUNT(F608:G608)&lt;2,"",IF(G608=0,"n.a.",F608/G608)),IF(COUNT(E608)=0,"",E608))</x:f>
      </x:c>
      <x:c r="I608" s="2" t="str">
        <x:f>IF(AND(ISNUMBER(H608),ISNUMBER(C608)),H608-C608,"")</x:f>
      </x:c>
      <x:c r="J608" s="2" t="str">
        <x:v>bookings</x:v>
      </x:c>
      <x:c r="K608" s="2" t="str">
        <x:v>Dexter</x:v>
      </x:c>
      <x:c r="L608" s="28" t="str"/>
      <x:c r="M608" s="20"/>
      <x:c r="N608" s="21"/>
      <x:c r="O608" s="26" t="str">
        <x:v>Subset of booked total with primary Source=LinkedIn DM; assists tracked separately.</x:v>
      </x:c>
      <x:c r="P608" s="26" t="str">
        <x:v>PDF §§10, 17 a</x:v>
      </x:c>
      <x:c r="Q608" s="2" t="n">
        <x:f>IF(ISNUMBER(H608),1,0)</x:f>
        <x:v>0</x:v>
      </x:c>
    </x:row>
    <x:row r="609" ht="46" customHeight="1">
      <x:c r="A609" s="17" t="n">
        <x:v>46352</x:v>
      </x:c>
      <x:c r="B609" s="2" t="str">
        <x:v>Verified contacts ready</x:v>
      </x:c>
      <x:c r="C609" s="2" t="n">
        <x:v>500</x:v>
      </x:c>
      <x:c r="D609" s="2" t="str">
        <x:v>Cumulative total</x:v>
      </x:c>
      <x:c r="E609" s="20"/>
      <x:c r="F609" s="20"/>
      <x:c r="G609" s="20"/>
      <x:c r="H609" s="2" t="str">
        <x:f>IF(D609="Rate",IF(COUNT(F609:G609)&lt;2,"",IF(G609=0,"n.a.",F609/G609)),IF(COUNT(E609)=0,"",E609))</x:f>
      </x:c>
      <x:c r="I609" s="2" t="str">
        <x:f>IF(AND(ISNUMBER(H609),ISNUMBER(C609)),H609-C609,"")</x:f>
      </x:c>
      <x:c r="J609" s="2" t="str">
        <x:v>contacts</x:v>
      </x:c>
      <x:c r="K609" s="2" t="str">
        <x:v>Joey</x:v>
      </x:c>
      <x:c r="L609" s="28" t="str"/>
      <x:c r="M609" s="20"/>
      <x:c r="N609" s="21"/>
      <x:c r="O609" s="26" t="str">
        <x:v>Unique contacts passing Scout and loaded in CQL; count once per contact.</x:v>
      </x:c>
      <x:c r="P609" s="26" t="str">
        <x:v>PDF §§10, 14; 750 due Dec 12 moved to Fri Dec 11</x:v>
      </x:c>
      <x:c r="Q609" s="2" t="n">
        <x:f>IF(ISNUMBER(H609),1,0)</x:f>
        <x:v>0</x:v>
      </x:c>
    </x:row>
    <x:row r="610" ht="46" customHeight="1">
      <x:c r="A610" s="17" t="n">
        <x:v>46352</x:v>
      </x:c>
      <x:c r="B610" s="2" t="str">
        <x:v>Permission-based referral introductions</x:v>
      </x:c>
      <x:c r="C610" s="2" t="n">
        <x:v>8</x:v>
      </x:c>
      <x:c r="D610" s="2" t="str">
        <x:v>Cumulative total</x:v>
      </x:c>
      <x:c r="E610" s="20"/>
      <x:c r="F610" s="20"/>
      <x:c r="G610" s="20"/>
      <x:c r="H610" s="2" t="str">
        <x:f>IF(D610="Rate",IF(COUNT(F610:G610)&lt;2,"",IF(G610=0,"n.a.",F610/G610)),IF(COUNT(E610)=0,"",E610))</x:f>
      </x:c>
      <x:c r="I610" s="2" t="str">
        <x:f>IF(AND(ISNUMBER(H610),ISNUMBER(C610)),H610-C610,"")</x:f>
      </x:c>
      <x:c r="J610" s="2" t="str">
        <x:v>introductions</x:v>
      </x:c>
      <x:c r="K610" s="2" t="str">
        <x:v>Maseeha</x:v>
      </x:c>
      <x:c r="L610" s="28" t="str"/>
      <x:c r="M610" s="20"/>
      <x:c r="N610" s="21"/>
      <x:c r="O610" s="26" t="str">
        <x:v>Unique introductions with consent and referrer recorded, verified by Maseeha within 2 business days.</x:v>
      </x:c>
      <x:c r="P610" s="26" t="str">
        <x:v>PDF §§10, 16</x:v>
      </x:c>
      <x:c r="Q610" s="2" t="n">
        <x:f>IF(ISNUMBER(H610),1,0)</x:f>
        <x:v>0</x:v>
      </x:c>
    </x:row>
    <x:row r="611" ht="46" customHeight="1">
      <x:c r="A611" s="17" t="n">
        <x:v>46352</x:v>
      </x:c>
      <x:c r="B611" s="2" t="str">
        <x:v>Human reply rate</x:v>
      </x:c>
      <x:c r="C611" s="40" t="n">
        <x:v>0.03</x:v>
      </x:c>
      <x:c r="D611" s="2" t="str">
        <x:v>Rate</x:v>
      </x:c>
      <x:c r="E611" s="20"/>
      <x:c r="F611" s="20"/>
      <x:c r="G611" s="20"/>
      <x:c r="H611" s="40" t="str">
        <x:f>IF(D611="Rate",IF(COUNT(F611:G611)&lt;2,"",IF(G611=0,"n.a.",F611/G611)),IF(COUNT(E611)=0,"",E611))</x:f>
      </x:c>
      <x:c r="I611" s="40" t="str">
        <x:f>IF(AND(ISNUMBER(H611),ISNUMBER(C611)),H611-C611,"")</x:f>
      </x:c>
      <x:c r="J611" s="2" t="str">
        <x:v>%</x:v>
      </x:c>
      <x:c r="K611" s="2" t="str">
        <x:v>Kenneth</x:v>
      </x:c>
      <x:c r="L611" s="28" t="str"/>
      <x:c r="M611" s="20"/>
      <x:c r="N611" s="21"/>
      <x:c r="O611" s="26" t="str">
        <x:v>Unique emailed contacts that give a qualifying human reply / unique contacts emailed in the same send cohort. Exclude OOO, auto-replies, bounces and unsubscribe-only replies. Deduplicate contacts across sequence steps; zero denominator is N/A.</x:v>
      </x:c>
      <x:c r="P611" s="26" t="str">
        <x:v>PDF §10</x:v>
      </x:c>
      <x:c r="Q611" s="2" t="n">
        <x:f>IF(ISNUMBER(H611),1,0)</x:f>
        <x:v>0</x:v>
      </x:c>
    </x:row>
    <x:row r="612" ht="46" customHeight="1">
      <x:c r="A612" s="17" t="n">
        <x:v>46352</x:v>
      </x:c>
      <x:c r="B612" s="2" t="str">
        <x:v>Positive reply rate</x:v>
      </x:c>
      <x:c r="C612" s="40" t="n">
        <x:v>0.015</x:v>
      </x:c>
      <x:c r="D612" s="2" t="str">
        <x:v>Rate</x:v>
      </x:c>
      <x:c r="E612" s="20"/>
      <x:c r="F612" s="20"/>
      <x:c r="G612" s="20"/>
      <x:c r="H612" s="40" t="str">
        <x:f>IF(D612="Rate",IF(COUNT(F612:G612)&lt;2,"",IF(G612=0,"n.a.",F612/G612)),IF(COUNT(E612)=0,"",E612))</x:f>
      </x:c>
      <x:c r="I612" s="40" t="str">
        <x:f>IF(AND(ISNUMBER(H612),ISNUMBER(C612)),H612-C612,"")</x:f>
      </x:c>
      <x:c r="J612" s="2" t="str">
        <x:v>%</x:v>
      </x:c>
      <x:c r="K612" s="2" t="str">
        <x:v>Kenneth</x:v>
      </x:c>
      <x:c r="L612" s="28" t="str"/>
      <x:c r="M612" s="20"/>
      <x:c r="N612" s="21"/>
      <x:c r="O612" s="26" t="str">
        <x:v>Unique emailed contacts classified interested or relevant question / unique contacts emailed in the same send cohort. Deduplicate across sequence steps; zero denominator is N/A. Keep this email rate separate from all-channel qualified inquiries.</x:v>
      </x:c>
      <x:c r="P612" s="26" t="str">
        <x:v>PDF §10</x:v>
      </x:c>
      <x:c r="Q612" s="2" t="n">
        <x:f>IF(ISNUMBER(H612),1,0)</x:f>
        <x:v>0</x:v>
      </x:c>
    </x:row>
    <x:row r="613" ht="46" customHeight="1">
      <x:c r="A613" s="17" t="n">
        <x:v>46352</x:v>
      </x:c>
      <x:c r="B613" s="2" t="str">
        <x:v>Replies answered within 15 minutes</x:v>
      </x:c>
      <x:c r="C613" s="40" t="n">
        <x:v>1</x:v>
      </x:c>
      <x:c r="D613" s="2" t="str">
        <x:v>Rate</x:v>
      </x:c>
      <x:c r="E613" s="20"/>
      <x:c r="F613" s="20"/>
      <x:c r="G613" s="20"/>
      <x:c r="H613" s="40" t="str">
        <x:f>IF(D613="Rate",IF(COUNT(F613:G613)&lt;2,"",IF(G613=0,"n.a.",F613/G613)),IF(COUNT(E613)=0,"",E613))</x:f>
      </x:c>
      <x:c r="I613" s="40" t="str">
        <x:f>IF(AND(ISNUMBER(H613),ISNUMBER(C613)),H613-C613,"")</x:f>
      </x:c>
      <x:c r="J613" s="2" t="str">
        <x:v>%</x:v>
      </x:c>
      <x:c r="K613" s="2" t="str">
        <x:v>Nova</x:v>
      </x:c>
      <x:c r="L613" s="28" t="str"/>
      <x:c r="M613" s="20"/>
      <x:c r="N613" s="21"/>
      <x:c r="O613"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13" s="26" t="str">
        <x:v>PDF §9; clock convention clarified for tracker</x:v>
      </x:c>
      <x:c r="Q613" s="2" t="n">
        <x:f>IF(ISNUMBER(H613),1,0)</x:f>
        <x:v>0</x:v>
      </x:c>
    </x:row>
    <x:row r="614" ht="46" customHeight="1">
      <x:c r="A614" s="17" t="n">
        <x:v>46352</x:v>
      </x:c>
      <x:c r="B614" s="2" t="str">
        <x:v>Held rate</x:v>
      </x:c>
      <x:c r="C614" s="40" t="n">
        <x:v>0.75</x:v>
      </x:c>
      <x:c r="D614" s="2" t="str">
        <x:v>Rate</x:v>
      </x:c>
      <x:c r="E614" s="20"/>
      <x:c r="F614" s="20"/>
      <x:c r="G614" s="20"/>
      <x:c r="H614" s="40" t="str">
        <x:f>IF(D614="Rate",IF(COUNT(F614:G614)&lt;2,"",IF(G614=0,"n.a.",F614/G614)),IF(COUNT(E614)=0,"",E614))</x:f>
      </x:c>
      <x:c r="I614" s="40" t="str">
        <x:f>IF(AND(ISNUMBER(H614),ISNUMBER(C614)),H614-C614,"")</x:f>
      </x:c>
      <x:c r="J614" s="2" t="str">
        <x:v>%</x:v>
      </x:c>
      <x:c r="K614" s="2" t="str">
        <x:v>Nova</x:v>
      </x:c>
      <x:c r="L614" s="28" t="str"/>
      <x:c r="M614" s="20"/>
      <x:c r="N614" s="21"/>
      <x:c r="O614" s="26" t="str">
        <x:v>Qualified conversations actually held / unique booked conversations whose scheduled time has passed. Exclude upcoming appointments. Rebooking the same opportunity is not a second booking. A zero denominator is N/A.</x:v>
      </x:c>
      <x:c r="P614" s="26" t="str">
        <x:v>PDF §10; due-cohort denominator clarified</x:v>
      </x:c>
      <x:c r="Q614" s="2" t="n">
        <x:f>IF(ISNUMBER(H614),1,0)</x:f>
        <x:v>0</x:v>
      </x:c>
    </x:row>
    <x:row r="615" ht="46" customHeight="1">
      <x:c r="A615" s="17" t="n">
        <x:v>46352</x:v>
      </x:c>
      <x:c r="B615" s="2" t="str">
        <x:v>Positive-to-booked conversion</x:v>
      </x:c>
      <x:c r="C615" s="40" t="n">
        <x:v>0.5</x:v>
      </x:c>
      <x:c r="D615" s="2" t="str">
        <x:v>Rate</x:v>
      </x:c>
      <x:c r="E615" s="20"/>
      <x:c r="F615" s="20"/>
      <x:c r="G615" s="20"/>
      <x:c r="H615" s="40" t="str">
        <x:f>IF(D615="Rate",IF(COUNT(F615:G615)&lt;2,"",IF(G615=0,"n.a.",F615/G615)),IF(COUNT(E615)=0,"",E615))</x:f>
      </x:c>
      <x:c r="I615" s="40" t="str">
        <x:f>IF(AND(ISNUMBER(H615),ISNUMBER(C615)),H615-C615,"")</x:f>
      </x:c>
      <x:c r="J615" s="2" t="str">
        <x:v>%</x:v>
      </x:c>
      <x:c r="K615" s="2" t="str">
        <x:v>Nova</x:v>
      </x:c>
      <x:c r="L615" s="28" t="str"/>
      <x:c r="M615" s="20"/>
      <x:c r="N615" s="21"/>
      <x:c r="O615" s="26" t="str">
        <x:v>Unique email-positive opportunities booked / unique email-positive opportunities in the same reviewed cohort. Use a documented follow-up window. This differs from the all-channel 40-inquiry/20-booking planning assumption. A zero denominator is N/A.</x:v>
      </x:c>
      <x:c r="P615" s="26" t="str">
        <x:v>PDF §9</x:v>
      </x:c>
      <x:c r="Q615" s="2" t="n">
        <x:f>IF(ISNUMBER(H615),1,0)</x:f>
        <x:v>0</x:v>
      </x:c>
    </x:row>
    <x:row r="616" ht="46" customHeight="1">
      <x:c r="A616" s="17" t="n">
        <x:v>46352</x:v>
      </x:c>
      <x:c r="B616" s="2" t="str">
        <x:v>Existing-account referral asks</x:v>
      </x:c>
      <x:c r="C616" s="2" t="n">
        <x:v>41</x:v>
      </x:c>
      <x:c r="D616" s="2" t="str">
        <x:v>Cumulative total</x:v>
      </x:c>
      <x:c r="E616" s="20"/>
      <x:c r="F616" s="20"/>
      <x:c r="G616" s="20"/>
      <x:c r="H616" s="2" t="str">
        <x:f>IF(D616="Rate",IF(COUNT(F616:G616)&lt;2,"",IF(G616=0,"n.a.",F616/G616)),IF(COUNT(E616)=0,"",E616))</x:f>
      </x:c>
      <x:c r="I616" s="2" t="str">
        <x:f>IF(AND(ISNUMBER(H616),ISNUMBER(C616)),H616-C616,"")</x:f>
      </x:c>
      <x:c r="J616" s="2" t="str">
        <x:v>accounts asked</x:v>
      </x:c>
      <x:c r="K616" s="2" t="str">
        <x:v>Maseeha</x:v>
      </x:c>
      <x:c r="L616" s="28" t="str"/>
      <x:c r="M616" s="20"/>
      <x:c r="N616" s="21"/>
      <x:c r="O616" s="26" t="str">
        <x:v>Ask 25 unique A/B accounts (5 A and 20 B) by November 13; proposed pace 35 total by November 20; complete the remaining C accounts to reach 41 total by November 25. One introduction is the ask; asks and received intros are separate counts.</x:v>
      </x:c>
      <x:c r="P616" s="26" t="str">
        <x:v>PDF §16 supplies 25 A/B byNov 14 and 16 C byNov 25; Friday deadline and 35-byNov 20 pace are proposed scheduling allocations.</x:v>
      </x:c>
      <x:c r="Q616" s="2" t="n">
        <x:f>IF(ISNUMBER(H616),1,0)</x:f>
        <x:v>0</x:v>
      </x:c>
    </x:row>
    <x:row r="617" ht="46" customHeight="1">
      <x:c r="A617" s="17" t="n">
        <x:v>46352</x:v>
      </x:c>
      <x:c r="B617" s="2" t="str">
        <x:v>Approved SOPs</x:v>
      </x:c>
      <x:c r="C617" s="2"/>
      <x:c r="D617" s="2" t="str">
        <x:v>Cumulative total</x:v>
      </x:c>
      <x:c r="E617" s="20"/>
      <x:c r="F617" s="20"/>
      <x:c r="G617" s="20"/>
      <x:c r="H617" s="2" t="str">
        <x:f>IF(D617="Rate",IF(COUNT(F617:G617)&lt;2,"",IF(G617=0,"n.a.",F617/G617)),IF(COUNT(E617)=0,"",E617))</x:f>
      </x:c>
      <x:c r="I617" s="2" t="str">
        <x:f>IF(AND(ISNUMBER(H617),ISNUMBER(C617)),H617-C617,"")</x:f>
      </x:c>
      <x:c r="J617" s="2" t="str">
        <x:v>SOPs</x:v>
      </x:c>
      <x:c r="K617" s="2" t="str">
        <x:v>Wyline</x:v>
      </x:c>
      <x:c r="L617" s="28" t="str"/>
      <x:c r="M617" s="20"/>
      <x:c r="N617" s="21"/>
      <x:c r="O617" s="26" t="str">
        <x:v>10 core SOPs plus ADS-01 and SOC-01 additions; approved version and independent-run evidence required.</x:v>
      </x:c>
      <x:c r="P617" s="26" t="str">
        <x:v>PDF §8 with §§17 b–d additions</x:v>
      </x:c>
      <x:c r="Q617" s="2" t="n">
        <x:f>IF(ISNUMBER(H617),1,0)</x:f>
        <x:v>0</x:v>
      </x:c>
    </x:row>
    <x:row r="618" ht="46" customHeight="1">
      <x:c r="A618" s="17" t="n">
        <x:v>46352</x:v>
      </x:c>
      <x:c r="B618" s="2" t="str">
        <x:v>Accepted AI agents</x:v>
      </x:c>
      <x:c r="C618" s="2"/>
      <x:c r="D618" s="2" t="str">
        <x:v>Cumulative total</x:v>
      </x:c>
      <x:c r="E618" s="20"/>
      <x:c r="F618" s="20"/>
      <x:c r="G618" s="20"/>
      <x:c r="H618" s="2" t="str">
        <x:f>IF(D618="Rate",IF(COUNT(F618:G618)&lt;2,"",IF(G618=0,"n.a.",F618/G618)),IF(COUNT(E618)=0,"",E618))</x:f>
      </x:c>
      <x:c r="I618" s="2" t="str">
        <x:f>IF(AND(ISNUMBER(H618),ISNUMBER(C618)),H618-C618,"")</x:f>
      </x:c>
      <x:c r="J618" s="2" t="str">
        <x:v>agents</x:v>
      </x:c>
      <x:c r="K618" s="2" t="str">
        <x:v>Emman</x:v>
      </x:c>
      <x:c r="L618" s="28" t="str"/>
      <x:c r="M618" s="20"/>
      <x:c r="N618" s="21"/>
      <x:c r="O618" s="26" t="str">
        <x:v>Scout, Writer, Inbox, Phone Assist, LinkedIn Assist, Follow-up, Scoreboard and Client Reporter; acceptance evidence required.</x:v>
      </x:c>
      <x:c r="P618" s="26" t="str">
        <x:v>PDF §7</x:v>
      </x:c>
      <x:c r="Q618" s="2" t="n">
        <x:f>IF(ISNUMBER(H618),1,0)</x:f>
        <x:v>0</x:v>
      </x:c>
    </x:row>
    <x:row r="619" ht="46" customHeight="1">
      <x:c r="A619" s="17" t="n">
        <x:v>46353</x:v>
      </x:c>
      <x:c r="B619" s="2" t="str">
        <x:v>Qualified inquiries</x:v>
      </x:c>
      <x:c r="C619" s="2" t="n">
        <x:v>16</x:v>
      </x:c>
      <x:c r="D619" s="2" t="str">
        <x:v>Cumulative total</x:v>
      </x:c>
      <x:c r="E619" s="20"/>
      <x:c r="F619" s="20"/>
      <x:c r="G619" s="20"/>
      <x:c r="H619" s="2" t="str">
        <x:f>IF(D619="Rate",IF(COUNT(F619:G619)&lt;2,"",IF(G619=0,"n.a.",F619/G619)),IF(COUNT(E619)=0,"",E619))</x:f>
      </x:c>
      <x:c r="I619" s="2" t="str">
        <x:f>IF(AND(ISNUMBER(H619),ISNUMBER(C619)),H619-C619,"")</x:f>
      </x:c>
      <x:c r="J619" s="2" t="str">
        <x:v>inquiries</x:v>
      </x:c>
      <x:c r="K619" s="2" t="str">
        <x:v>Nova</x:v>
      </x:c>
      <x:c r="L619" s="28" t="str"/>
      <x:c r="M619" s="20"/>
      <x:c r="N619" s="21"/>
      <x:c r="O619" s="26" t="str">
        <x:v>Unique ICP-matched practices that express relevant interest, need or timing; Nova records practice type, decision-maker access, case volume, service need and readiness within 30–60 days. Raw records, opens and connection accepts do not qualify.</x:v>
      </x:c>
      <x:c r="P619" s="26" t="str">
        <x:v>Original proposal pages 2 and 4 define qualification; 40 by Dec 16 and intermediate pace are newly proposed recovery targets.</x:v>
      </x:c>
      <x:c r="Q619" s="2" t="n">
        <x:f>IF(ISNUMBER(H619),1,0)</x:f>
        <x:v>0</x:v>
      </x:c>
    </x:row>
    <x:row r="620" ht="46" customHeight="1">
      <x:c r="A620" s="17" t="n">
        <x:v>46353</x:v>
      </x:c>
      <x:c r="B620" s="2" t="str">
        <x:v>Qualified conversations booked</x:v>
      </x:c>
      <x:c r="C620" s="2" t="n">
        <x:v>8</x:v>
      </x:c>
      <x:c r="D620" s="2" t="str">
        <x:v>Cumulative total</x:v>
      </x:c>
      <x:c r="E620" s="20"/>
      <x:c r="F620" s="20"/>
      <x:c r="G620" s="20"/>
      <x:c r="H620" s="2" t="str">
        <x:f>IF(D620="Rate",IF(COUNT(F620:G620)&lt;2,"",IF(G620=0,"n.a.",F620/G620)),IF(COUNT(E620)=0,"",E620))</x:f>
      </x:c>
      <x:c r="I620" s="2" t="str">
        <x:f>IF(AND(ISNUMBER(H620),ISNUMBER(C620)),H620-C620,"")</x:f>
      </x:c>
      <x:c r="J620" s="2" t="str">
        <x:v>bookings</x:v>
      </x:c>
      <x:c r="K620" s="2" t="str">
        <x:v>Nova</x:v>
      </x:c>
      <x:c r="L620" s="28" t="str"/>
      <x:c r="M620" s="20"/>
      <x:c r="N620" s="21"/>
      <x:c r="O620" s="26" t="str">
        <x:v>Unique qualified calls/visits booked with Nic; rebooking same opportunity is not a new booking.</x:v>
      </x:c>
      <x:c r="P620" s="26" t="str">
        <x:v>PDF §10; final deadline advanced to user Dec 16</x:v>
      </x:c>
      <x:c r="Q620" s="2" t="n">
        <x:f>IF(ISNUMBER(H620),1,0)</x:f>
        <x:v>0</x:v>
      </x:c>
    </x:row>
    <x:row r="621" ht="46" customHeight="1">
      <x:c r="A621" s="17" t="n">
        <x:v>46353</x:v>
      </x:c>
      <x:c r="B621" s="2" t="str">
        <x:v>Qualified conversations held</x:v>
      </x:c>
      <x:c r="C621" s="2" t="n">
        <x:v>6</x:v>
      </x:c>
      <x:c r="D621" s="2" t="str">
        <x:v>Cumulative total</x:v>
      </x:c>
      <x:c r="E621" s="20"/>
      <x:c r="F621" s="20"/>
      <x:c r="G621" s="20"/>
      <x:c r="H621" s="2" t="str">
        <x:f>IF(D621="Rate",IF(COUNT(F621:G621)&lt;2,"",IF(G621=0,"n.a.",F621/G621)),IF(COUNT(E621)=0,"",E621))</x:f>
      </x:c>
      <x:c r="I621" s="2" t="str">
        <x:f>IF(AND(ISNUMBER(H621),ISNUMBER(C621)),H621-C621,"")</x:f>
      </x:c>
      <x:c r="J621" s="2" t="str">
        <x:v>held</x:v>
      </x:c>
      <x:c r="K621" s="2" t="str">
        <x:v>Nova</x:v>
      </x:c>
      <x:c r="L621" s="28" t="str"/>
      <x:c r="M621" s="20"/>
      <x:c r="N621" s="21"/>
      <x:c r="O621" s="26" t="str">
        <x:v>Completed qualified calls/visits; 6 and 15 are integer planning proxies for 70% of 8 and 75% of 20.</x:v>
      </x:c>
      <x:c r="P621" s="26" t="str">
        <x:v>Derived from source held-rate targets</x:v>
      </x:c>
      <x:c r="Q621" s="2" t="n">
        <x:f>IF(ISNUMBER(H621),1,0)</x:f>
        <x:v>0</x:v>
      </x:c>
    </x:row>
    <x:row r="622" ht="46" customHeight="1">
      <x:c r="A622" s="17" t="n">
        <x:v>46353</x:v>
      </x:c>
      <x:c r="B622" s="2" t="str">
        <x:v>Trial cases received by DSI</x:v>
      </x:c>
      <x:c r="C622" s="2" t="n">
        <x:v>2</x:v>
      </x:c>
      <x:c r="D622" s="2" t="str">
        <x:v>Cumulative total</x:v>
      </x:c>
      <x:c r="E622" s="20"/>
      <x:c r="F622" s="20"/>
      <x:c r="G622" s="20"/>
      <x:c r="H622" s="2" t="str">
        <x:f>IF(D622="Rate",IF(COUNT(F622:G622)&lt;2,"",IF(G622=0,"n.a.",F622/G622)),IF(COUNT(E622)=0,"",E622))</x:f>
      </x:c>
      <x:c r="I622" s="2" t="str">
        <x:f>IF(AND(ISNUMBER(H622),ISNUMBER(C622)),H622-C622,"")</x:f>
      </x:c>
      <x:c r="J622" s="2" t="str">
        <x:v>trials</x:v>
      </x:c>
      <x:c r="K622" s="2" t="str">
        <x:v>Maseeha</x:v>
      </x:c>
      <x:c r="L622" s="28" t="str"/>
      <x:c r="M622" s="20"/>
      <x:c r="N622" s="21"/>
      <x:c r="O622" s="26" t="str">
        <x:v>Practice’s first trial case received by DSI, not merely promised or shipped; subject to Maseeha capacity.</x:v>
      </x:c>
      <x:c r="P622" s="26" t="str">
        <x:v>PDF §10; final deadline advanced to user Dec 16</x:v>
      </x:c>
      <x:c r="Q622" s="2" t="n">
        <x:f>IF(ISNUMBER(H622),1,0)</x:f>
        <x:v>0</x:v>
      </x:c>
    </x:row>
    <x:row r="623" ht="46" customHeight="1">
      <x:c r="A623" s="17" t="n">
        <x:v>46353</x:v>
      </x:c>
      <x:c r="B623" s="2" t="str">
        <x:v>Recurring accounts signed</x:v>
      </x:c>
      <x:c r="C623" s="2"/>
      <x:c r="D623" s="2" t="str">
        <x:v>Cumulative total</x:v>
      </x:c>
      <x:c r="E623" s="20"/>
      <x:c r="F623" s="20"/>
      <x:c r="G623" s="20"/>
      <x:c r="H623" s="2" t="str">
        <x:f>IF(D623="Rate",IF(COUNT(F623:G623)&lt;2,"",IF(G623=0,"n.a.",F623/G623)),IF(COUNT(E623)=0,"",E623))</x:f>
      </x:c>
      <x:c r="I623" s="2" t="str">
        <x:f>IF(AND(ISNUMBER(H623),ISNUMBER(C623)),H623-C623,"")</x:f>
      </x:c>
      <x:c r="J623" s="2" t="str">
        <x:v>accounts</x:v>
      </x:c>
      <x:c r="K623" s="2" t="str">
        <x:v>Nic</x:v>
      </x:c>
      <x:c r="L623" s="28" t="str"/>
      <x:c r="M623" s="20"/>
      <x:c r="N623" s="21"/>
      <x:c r="O623" s="26" t="str">
        <x:v>Plan signed following Day-30 review; only mature trial cohorts eligible. 1–3 is a conditional range.</x:v>
      </x:c>
      <x:c r="P623" s="26" t="str">
        <x:v>PDF §10</x:v>
      </x:c>
      <x:c r="Q623" s="2" t="n">
        <x:f>IF(ISNUMBER(H623),1,0)</x:f>
        <x:v>0</x:v>
      </x:c>
    </x:row>
    <x:row r="624" ht="46" customHeight="1">
      <x:c r="A624" s="17" t="n">
        <x:v>46353</x:v>
      </x:c>
      <x:c r="B624" s="2" t="str">
        <x:v>Referral-sourced bookings</x:v>
      </x:c>
      <x:c r="C624" s="2" t="n">
        <x:v>4</x:v>
      </x:c>
      <x:c r="D624" s="2" t="str">
        <x:v>Cumulative total</x:v>
      </x:c>
      <x:c r="E624" s="20"/>
      <x:c r="F624" s="20"/>
      <x:c r="G624" s="20"/>
      <x:c r="H624" s="2" t="str">
        <x:f>IF(D624="Rate",IF(COUNT(F624:G624)&lt;2,"",IF(G624=0,"n.a.",F624/G624)),IF(COUNT(E624)=0,"",E624))</x:f>
      </x:c>
      <x:c r="I624" s="2" t="str">
        <x:f>IF(AND(ISNUMBER(H624),ISNUMBER(C624)),H624-C624,"")</x:f>
      </x:c>
      <x:c r="J624" s="2" t="str">
        <x:v>bookings</x:v>
      </x:c>
      <x:c r="K624" s="2" t="str">
        <x:v>Nova</x:v>
      </x:c>
      <x:c r="L624" s="28" t="str"/>
      <x:c r="M624" s="20"/>
      <x:c r="N624" s="21"/>
      <x:c r="O624" s="26" t="str">
        <x:v>Subset of booked total with primary Source=Referral; never added on top of all-channel bookings.</x:v>
      </x:c>
      <x:c r="P624" s="26" t="str">
        <x:v>PDF §§10, 16</x:v>
      </x:c>
      <x:c r="Q624" s="2" t="n">
        <x:f>IF(ISNUMBER(H624),1,0)</x:f>
        <x:v>0</x:v>
      </x:c>
    </x:row>
    <x:row r="625" ht="46" customHeight="1">
      <x:c r="A625" s="17" t="n">
        <x:v>46353</x:v>
      </x:c>
      <x:c r="B625" s="2" t="str">
        <x:v>LinkedIn DM-sourced bookings</x:v>
      </x:c>
      <x:c r="C625" s="2" t="n">
        <x:v>3</x:v>
      </x:c>
      <x:c r="D625" s="2" t="str">
        <x:v>Cumulative total</x:v>
      </x:c>
      <x:c r="E625" s="20"/>
      <x:c r="F625" s="20"/>
      <x:c r="G625" s="20"/>
      <x:c r="H625" s="2" t="str">
        <x:f>IF(D625="Rate",IF(COUNT(F625:G625)&lt;2,"",IF(G625=0,"n.a.",F625/G625)),IF(COUNT(E625)=0,"",E625))</x:f>
      </x:c>
      <x:c r="I625" s="2" t="str">
        <x:f>IF(AND(ISNUMBER(H625),ISNUMBER(C625)),H625-C625,"")</x:f>
      </x:c>
      <x:c r="J625" s="2" t="str">
        <x:v>bookings</x:v>
      </x:c>
      <x:c r="K625" s="2" t="str">
        <x:v>Dexter</x:v>
      </x:c>
      <x:c r="L625" s="28" t="str"/>
      <x:c r="M625" s="20"/>
      <x:c r="N625" s="21"/>
      <x:c r="O625" s="26" t="str">
        <x:v>Subset of booked total with primary Source=LinkedIn DM; assists tracked separately.</x:v>
      </x:c>
      <x:c r="P625" s="26" t="str">
        <x:v>PDF §§10, 17 a</x:v>
      </x:c>
      <x:c r="Q625" s="2" t="n">
        <x:f>IF(ISNUMBER(H625),1,0)</x:f>
        <x:v>0</x:v>
      </x:c>
    </x:row>
    <x:row r="626" ht="46" customHeight="1">
      <x:c r="A626" s="17" t="n">
        <x:v>46353</x:v>
      </x:c>
      <x:c r="B626" s="2" t="str">
        <x:v>Verified contacts ready</x:v>
      </x:c>
      <x:c r="C626" s="2" t="n">
        <x:v>500</x:v>
      </x:c>
      <x:c r="D626" s="2" t="str">
        <x:v>Cumulative total</x:v>
      </x:c>
      <x:c r="E626" s="20"/>
      <x:c r="F626" s="20"/>
      <x:c r="G626" s="20"/>
      <x:c r="H626" s="2" t="str">
        <x:f>IF(D626="Rate",IF(COUNT(F626:G626)&lt;2,"",IF(G626=0,"n.a.",F626/G626)),IF(COUNT(E626)=0,"",E626))</x:f>
      </x:c>
      <x:c r="I626" s="2" t="str">
        <x:f>IF(AND(ISNUMBER(H626),ISNUMBER(C626)),H626-C626,"")</x:f>
      </x:c>
      <x:c r="J626" s="2" t="str">
        <x:v>contacts</x:v>
      </x:c>
      <x:c r="K626" s="2" t="str">
        <x:v>Joey</x:v>
      </x:c>
      <x:c r="L626" s="28" t="str"/>
      <x:c r="M626" s="20"/>
      <x:c r="N626" s="21"/>
      <x:c r="O626" s="26" t="str">
        <x:v>Unique contacts passing Scout and loaded in CQL; count once per contact.</x:v>
      </x:c>
      <x:c r="P626" s="26" t="str">
        <x:v>PDF §§10, 14; 750 due Dec 12 moved to Fri Dec 11</x:v>
      </x:c>
      <x:c r="Q626" s="2" t="n">
        <x:f>IF(ISNUMBER(H626),1,0)</x:f>
        <x:v>0</x:v>
      </x:c>
    </x:row>
    <x:row r="627" ht="46" customHeight="1">
      <x:c r="A627" s="17" t="n">
        <x:v>46353</x:v>
      </x:c>
      <x:c r="B627" s="2" t="str">
        <x:v>Permission-based referral introductions</x:v>
      </x:c>
      <x:c r="C627" s="2" t="n">
        <x:v>8</x:v>
      </x:c>
      <x:c r="D627" s="2" t="str">
        <x:v>Cumulative total</x:v>
      </x:c>
      <x:c r="E627" s="20"/>
      <x:c r="F627" s="20"/>
      <x:c r="G627" s="20"/>
      <x:c r="H627" s="2" t="str">
        <x:f>IF(D627="Rate",IF(COUNT(F627:G627)&lt;2,"",IF(G627=0,"n.a.",F627/G627)),IF(COUNT(E627)=0,"",E627))</x:f>
      </x:c>
      <x:c r="I627" s="2" t="str">
        <x:f>IF(AND(ISNUMBER(H627),ISNUMBER(C627)),H627-C627,"")</x:f>
      </x:c>
      <x:c r="J627" s="2" t="str">
        <x:v>introductions</x:v>
      </x:c>
      <x:c r="K627" s="2" t="str">
        <x:v>Maseeha</x:v>
      </x:c>
      <x:c r="L627" s="28" t="str"/>
      <x:c r="M627" s="20"/>
      <x:c r="N627" s="21"/>
      <x:c r="O627" s="26" t="str">
        <x:v>Unique introductions with consent and referrer recorded, verified by Maseeha within 2 business days.</x:v>
      </x:c>
      <x:c r="P627" s="26" t="str">
        <x:v>PDF §§10, 16</x:v>
      </x:c>
      <x:c r="Q627" s="2" t="n">
        <x:f>IF(ISNUMBER(H627),1,0)</x:f>
        <x:v>0</x:v>
      </x:c>
    </x:row>
    <x:row r="628" ht="46" customHeight="1">
      <x:c r="A628" s="17" t="n">
        <x:v>46353</x:v>
      </x:c>
      <x:c r="B628" s="2" t="str">
        <x:v>Human reply rate</x:v>
      </x:c>
      <x:c r="C628" s="40" t="n">
        <x:v>0.03</x:v>
      </x:c>
      <x:c r="D628" s="2" t="str">
        <x:v>Rate</x:v>
      </x:c>
      <x:c r="E628" s="20"/>
      <x:c r="F628" s="20"/>
      <x:c r="G628" s="20"/>
      <x:c r="H628" s="40" t="str">
        <x:f>IF(D628="Rate",IF(COUNT(F628:G628)&lt;2,"",IF(G628=0,"n.a.",F628/G628)),IF(COUNT(E628)=0,"",E628))</x:f>
      </x:c>
      <x:c r="I628" s="40" t="str">
        <x:f>IF(AND(ISNUMBER(H628),ISNUMBER(C628)),H628-C628,"")</x:f>
      </x:c>
      <x:c r="J628" s="2" t="str">
        <x:v>%</x:v>
      </x:c>
      <x:c r="K628" s="2" t="str">
        <x:v>Kenneth</x:v>
      </x:c>
      <x:c r="L628" s="28" t="str"/>
      <x:c r="M628" s="20"/>
      <x:c r="N628" s="21"/>
      <x:c r="O628" s="26" t="str">
        <x:v>Unique emailed contacts that give a qualifying human reply / unique contacts emailed in the same send cohort. Exclude OOO, auto-replies, bounces and unsubscribe-only replies. Deduplicate contacts across sequence steps; zero denominator is N/A.</x:v>
      </x:c>
      <x:c r="P628" s="26" t="str">
        <x:v>PDF §10</x:v>
      </x:c>
      <x:c r="Q628" s="2" t="n">
        <x:f>IF(ISNUMBER(H628),1,0)</x:f>
        <x:v>0</x:v>
      </x:c>
    </x:row>
    <x:row r="629" ht="46" customHeight="1">
      <x:c r="A629" s="17" t="n">
        <x:v>46353</x:v>
      </x:c>
      <x:c r="B629" s="2" t="str">
        <x:v>Positive reply rate</x:v>
      </x:c>
      <x:c r="C629" s="40" t="n">
        <x:v>0.015</x:v>
      </x:c>
      <x:c r="D629" s="2" t="str">
        <x:v>Rate</x:v>
      </x:c>
      <x:c r="E629" s="20"/>
      <x:c r="F629" s="20"/>
      <x:c r="G629" s="20"/>
      <x:c r="H629" s="40" t="str">
        <x:f>IF(D629="Rate",IF(COUNT(F629:G629)&lt;2,"",IF(G629=0,"n.a.",F629/G629)),IF(COUNT(E629)=0,"",E629))</x:f>
      </x:c>
      <x:c r="I629" s="40" t="str">
        <x:f>IF(AND(ISNUMBER(H629),ISNUMBER(C629)),H629-C629,"")</x:f>
      </x:c>
      <x:c r="J629" s="2" t="str">
        <x:v>%</x:v>
      </x:c>
      <x:c r="K629" s="2" t="str">
        <x:v>Kenneth</x:v>
      </x:c>
      <x:c r="L629" s="28" t="str"/>
      <x:c r="M629" s="20"/>
      <x:c r="N629" s="21"/>
      <x:c r="O629" s="26" t="str">
        <x:v>Unique emailed contacts classified interested or relevant question / unique contacts emailed in the same send cohort. Deduplicate across sequence steps; zero denominator is N/A. Keep this email rate separate from all-channel qualified inquiries.</x:v>
      </x:c>
      <x:c r="P629" s="26" t="str">
        <x:v>PDF §10</x:v>
      </x:c>
      <x:c r="Q629" s="2" t="n">
        <x:f>IF(ISNUMBER(H629),1,0)</x:f>
        <x:v>0</x:v>
      </x:c>
    </x:row>
    <x:row r="630" ht="46" customHeight="1">
      <x:c r="A630" s="17" t="n">
        <x:v>46353</x:v>
      </x:c>
      <x:c r="B630" s="2" t="str">
        <x:v>Replies answered within 15 minutes</x:v>
      </x:c>
      <x:c r="C630" s="40" t="n">
        <x:v>1</x:v>
      </x:c>
      <x:c r="D630" s="2" t="str">
        <x:v>Rate</x:v>
      </x:c>
      <x:c r="E630" s="20"/>
      <x:c r="F630" s="20"/>
      <x:c r="G630" s="20"/>
      <x:c r="H630" s="40" t="str">
        <x:f>IF(D630="Rate",IF(COUNT(F630:G630)&lt;2,"",IF(G630=0,"n.a.",F630/G630)),IF(COUNT(E630)=0,"",E630))</x:f>
      </x:c>
      <x:c r="I630" s="40" t="str">
        <x:f>IF(AND(ISNUMBER(H630),ISNUMBER(C630)),H630-C630,"")</x:f>
      </x:c>
      <x:c r="J630" s="2" t="str">
        <x:v>%</x:v>
      </x:c>
      <x:c r="K630" s="2" t="str">
        <x:v>Nova</x:v>
      </x:c>
      <x:c r="L630" s="28" t="str"/>
      <x:c r="M630" s="20"/>
      <x:c r="N630" s="21"/>
      <x:c r="O630"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30" s="26" t="str">
        <x:v>PDF §9; clock convention clarified for tracker</x:v>
      </x:c>
      <x:c r="Q630" s="2" t="n">
        <x:f>IF(ISNUMBER(H630),1,0)</x:f>
        <x:v>0</x:v>
      </x:c>
    </x:row>
    <x:row r="631" ht="46" customHeight="1">
      <x:c r="A631" s="17" t="n">
        <x:v>46353</x:v>
      </x:c>
      <x:c r="B631" s="2" t="str">
        <x:v>Held rate</x:v>
      </x:c>
      <x:c r="C631" s="40" t="n">
        <x:v>0.75</x:v>
      </x:c>
      <x:c r="D631" s="2" t="str">
        <x:v>Rate</x:v>
      </x:c>
      <x:c r="E631" s="20"/>
      <x:c r="F631" s="20"/>
      <x:c r="G631" s="20"/>
      <x:c r="H631" s="40" t="str">
        <x:f>IF(D631="Rate",IF(COUNT(F631:G631)&lt;2,"",IF(G631=0,"n.a.",F631/G631)),IF(COUNT(E631)=0,"",E631))</x:f>
      </x:c>
      <x:c r="I631" s="40" t="str">
        <x:f>IF(AND(ISNUMBER(H631),ISNUMBER(C631)),H631-C631,"")</x:f>
      </x:c>
      <x:c r="J631" s="2" t="str">
        <x:v>%</x:v>
      </x:c>
      <x:c r="K631" s="2" t="str">
        <x:v>Nova</x:v>
      </x:c>
      <x:c r="L631" s="28" t="str"/>
      <x:c r="M631" s="20"/>
      <x:c r="N631" s="21"/>
      <x:c r="O631" s="26" t="str">
        <x:v>Qualified conversations actually held / unique booked conversations whose scheduled time has passed. Exclude upcoming appointments. Rebooking the same opportunity is not a second booking. A zero denominator is N/A.</x:v>
      </x:c>
      <x:c r="P631" s="26" t="str">
        <x:v>PDF §10; due-cohort denominator clarified</x:v>
      </x:c>
      <x:c r="Q631" s="2" t="n">
        <x:f>IF(ISNUMBER(H631),1,0)</x:f>
        <x:v>0</x:v>
      </x:c>
    </x:row>
    <x:row r="632" ht="46" customHeight="1">
      <x:c r="A632" s="17" t="n">
        <x:v>46353</x:v>
      </x:c>
      <x:c r="B632" s="2" t="str">
        <x:v>Positive-to-booked conversion</x:v>
      </x:c>
      <x:c r="C632" s="40" t="n">
        <x:v>0.5</x:v>
      </x:c>
      <x:c r="D632" s="2" t="str">
        <x:v>Rate</x:v>
      </x:c>
      <x:c r="E632" s="20"/>
      <x:c r="F632" s="20"/>
      <x:c r="G632" s="20"/>
      <x:c r="H632" s="40" t="str">
        <x:f>IF(D632="Rate",IF(COUNT(F632:G632)&lt;2,"",IF(G632=0,"n.a.",F632/G632)),IF(COUNT(E632)=0,"",E632))</x:f>
      </x:c>
      <x:c r="I632" s="40" t="str">
        <x:f>IF(AND(ISNUMBER(H632),ISNUMBER(C632)),H632-C632,"")</x:f>
      </x:c>
      <x:c r="J632" s="2" t="str">
        <x:v>%</x:v>
      </x:c>
      <x:c r="K632" s="2" t="str">
        <x:v>Nova</x:v>
      </x:c>
      <x:c r="L632" s="28" t="str"/>
      <x:c r="M632" s="20"/>
      <x:c r="N632" s="21"/>
      <x:c r="O632" s="26" t="str">
        <x:v>Unique email-positive opportunities booked / unique email-positive opportunities in the same reviewed cohort. Use a documented follow-up window. This differs from the all-channel 40-inquiry/20-booking planning assumption. A zero denominator is N/A.</x:v>
      </x:c>
      <x:c r="P632" s="26" t="str">
        <x:v>PDF §9</x:v>
      </x:c>
      <x:c r="Q632" s="2" t="n">
        <x:f>IF(ISNUMBER(H632),1,0)</x:f>
        <x:v>0</x:v>
      </x:c>
    </x:row>
    <x:row r="633" ht="46" customHeight="1">
      <x:c r="A633" s="17" t="n">
        <x:v>46353</x:v>
      </x:c>
      <x:c r="B633" s="2" t="str">
        <x:v>Existing-account referral asks</x:v>
      </x:c>
      <x:c r="C633" s="2" t="n">
        <x:v>41</x:v>
      </x:c>
      <x:c r="D633" s="2" t="str">
        <x:v>Cumulative total</x:v>
      </x:c>
      <x:c r="E633" s="20"/>
      <x:c r="F633" s="20"/>
      <x:c r="G633" s="20"/>
      <x:c r="H633" s="2" t="str">
        <x:f>IF(D633="Rate",IF(COUNT(F633:G633)&lt;2,"",IF(G633=0,"n.a.",F633/G633)),IF(COUNT(E633)=0,"",E633))</x:f>
      </x:c>
      <x:c r="I633" s="2" t="str">
        <x:f>IF(AND(ISNUMBER(H633),ISNUMBER(C633)),H633-C633,"")</x:f>
      </x:c>
      <x:c r="J633" s="2" t="str">
        <x:v>accounts asked</x:v>
      </x:c>
      <x:c r="K633" s="2" t="str">
        <x:v>Maseeha</x:v>
      </x:c>
      <x:c r="L633" s="28" t="str"/>
      <x:c r="M633" s="20"/>
      <x:c r="N633" s="21"/>
      <x:c r="O633" s="26" t="str">
        <x:v>Ask 25 unique A/B accounts (5 A and 20 B) by November 13; proposed pace 35 total by November 20; complete the remaining C accounts to reach 41 total by November 25. One introduction is the ask; asks and received intros are separate counts.</x:v>
      </x:c>
      <x:c r="P633" s="26" t="str">
        <x:v>PDF §16 supplies 25 A/B byNov 14 and 16 C byNov 25; Friday deadline and 35-byNov 20 pace are proposed scheduling allocations.</x:v>
      </x:c>
      <x:c r="Q633" s="2" t="n">
        <x:f>IF(ISNUMBER(H633),1,0)</x:f>
        <x:v>0</x:v>
      </x:c>
    </x:row>
    <x:row r="634" ht="46" customHeight="1">
      <x:c r="A634" s="17" t="n">
        <x:v>46353</x:v>
      </x:c>
      <x:c r="B634" s="2" t="str">
        <x:v>Approved SOPs</x:v>
      </x:c>
      <x:c r="C634" s="2"/>
      <x:c r="D634" s="2" t="str">
        <x:v>Cumulative total</x:v>
      </x:c>
      <x:c r="E634" s="20"/>
      <x:c r="F634" s="20"/>
      <x:c r="G634" s="20"/>
      <x:c r="H634" s="2" t="str">
        <x:f>IF(D634="Rate",IF(COUNT(F634:G634)&lt;2,"",IF(G634=0,"n.a.",F634/G634)),IF(COUNT(E634)=0,"",E634))</x:f>
      </x:c>
      <x:c r="I634" s="2" t="str">
        <x:f>IF(AND(ISNUMBER(H634),ISNUMBER(C634)),H634-C634,"")</x:f>
      </x:c>
      <x:c r="J634" s="2" t="str">
        <x:v>SOPs</x:v>
      </x:c>
      <x:c r="K634" s="2" t="str">
        <x:v>Wyline</x:v>
      </x:c>
      <x:c r="L634" s="28" t="str"/>
      <x:c r="M634" s="20"/>
      <x:c r="N634" s="21"/>
      <x:c r="O634" s="26" t="str">
        <x:v>10 core SOPs plus ADS-01 and SOC-01 additions; approved version and independent-run evidence required.</x:v>
      </x:c>
      <x:c r="P634" s="26" t="str">
        <x:v>PDF §8 with §§17 b–d additions</x:v>
      </x:c>
      <x:c r="Q634" s="2" t="n">
        <x:f>IF(ISNUMBER(H634),1,0)</x:f>
        <x:v>0</x:v>
      </x:c>
    </x:row>
    <x:row r="635" ht="46" customHeight="1">
      <x:c r="A635" s="17" t="n">
        <x:v>46353</x:v>
      </x:c>
      <x:c r="B635" s="2" t="str">
        <x:v>Accepted AI agents</x:v>
      </x:c>
      <x:c r="C635" s="2"/>
      <x:c r="D635" s="2" t="str">
        <x:v>Cumulative total</x:v>
      </x:c>
      <x:c r="E635" s="20"/>
      <x:c r="F635" s="20"/>
      <x:c r="G635" s="20"/>
      <x:c r="H635" s="2" t="str">
        <x:f>IF(D635="Rate",IF(COUNT(F635:G635)&lt;2,"",IF(G635=0,"n.a.",F635/G635)),IF(COUNT(E635)=0,"",E635))</x:f>
      </x:c>
      <x:c r="I635" s="2" t="str">
        <x:f>IF(AND(ISNUMBER(H635),ISNUMBER(C635)),H635-C635,"")</x:f>
      </x:c>
      <x:c r="J635" s="2" t="str">
        <x:v>agents</x:v>
      </x:c>
      <x:c r="K635" s="2" t="str">
        <x:v>Emman</x:v>
      </x:c>
      <x:c r="L635" s="28" t="str"/>
      <x:c r="M635" s="20"/>
      <x:c r="N635" s="21"/>
      <x:c r="O635" s="26" t="str">
        <x:v>Scout, Writer, Inbox, Phone Assist, LinkedIn Assist, Follow-up, Scoreboard and Client Reporter; acceptance evidence required.</x:v>
      </x:c>
      <x:c r="P635" s="26" t="str">
        <x:v>PDF §7</x:v>
      </x:c>
      <x:c r="Q635" s="2" t="n">
        <x:f>IF(ISNUMBER(H635),1,0)</x:f>
        <x:v>0</x:v>
      </x:c>
    </x:row>
    <x:row r="636" ht="46" customHeight="1">
      <x:c r="A636" s="17" t="n">
        <x:v>46354</x:v>
      </x:c>
      <x:c r="B636" s="2" t="str">
        <x:v>Qualified inquiries</x:v>
      </x:c>
      <x:c r="C636" s="2" t="n">
        <x:v>16</x:v>
      </x:c>
      <x:c r="D636" s="2" t="str">
        <x:v>Cumulative total</x:v>
      </x:c>
      <x:c r="E636" s="20"/>
      <x:c r="F636" s="20"/>
      <x:c r="G636" s="20"/>
      <x:c r="H636" s="2" t="str">
        <x:f>IF(D636="Rate",IF(COUNT(F636:G636)&lt;2,"",IF(G636=0,"n.a.",F636/G636)),IF(COUNT(E636)=0,"",E636))</x:f>
      </x:c>
      <x:c r="I636" s="2" t="str">
        <x:f>IF(AND(ISNUMBER(H636),ISNUMBER(C636)),H636-C636,"")</x:f>
      </x:c>
      <x:c r="J636" s="2" t="str">
        <x:v>inquiries</x:v>
      </x:c>
      <x:c r="K636" s="2" t="str">
        <x:v>Nova</x:v>
      </x:c>
      <x:c r="L636" s="28" t="str"/>
      <x:c r="M636" s="20"/>
      <x:c r="N636" s="21"/>
      <x:c r="O636" s="26" t="str">
        <x:v>Unique ICP-matched practices that express relevant interest, need or timing; Nova records practice type, decision-maker access, case volume, service need and readiness within 30–60 days. Raw records, opens and connection accepts do not qualify.</x:v>
      </x:c>
      <x:c r="P636" s="26" t="str">
        <x:v>Original proposal pages 2 and 4 define qualification; 40 by Dec 16 and intermediate pace are newly proposed recovery targets.</x:v>
      </x:c>
      <x:c r="Q636" s="2" t="n">
        <x:f>IF(ISNUMBER(H636),1,0)</x:f>
        <x:v>0</x:v>
      </x:c>
    </x:row>
    <x:row r="637" ht="46" customHeight="1">
      <x:c r="A637" s="17" t="n">
        <x:v>46354</x:v>
      </x:c>
      <x:c r="B637" s="2" t="str">
        <x:v>Qualified conversations booked</x:v>
      </x:c>
      <x:c r="C637" s="2" t="n">
        <x:v>8</x:v>
      </x:c>
      <x:c r="D637" s="2" t="str">
        <x:v>Cumulative total</x:v>
      </x:c>
      <x:c r="E637" s="20"/>
      <x:c r="F637" s="20"/>
      <x:c r="G637" s="20"/>
      <x:c r="H637" s="2" t="str">
        <x:f>IF(D637="Rate",IF(COUNT(F637:G637)&lt;2,"",IF(G637=0,"n.a.",F637/G637)),IF(COUNT(E637)=0,"",E637))</x:f>
      </x:c>
      <x:c r="I637" s="2" t="str">
        <x:f>IF(AND(ISNUMBER(H637),ISNUMBER(C637)),H637-C637,"")</x:f>
      </x:c>
      <x:c r="J637" s="2" t="str">
        <x:v>bookings</x:v>
      </x:c>
      <x:c r="K637" s="2" t="str">
        <x:v>Nova</x:v>
      </x:c>
      <x:c r="L637" s="28" t="str"/>
      <x:c r="M637" s="20"/>
      <x:c r="N637" s="21"/>
      <x:c r="O637" s="26" t="str">
        <x:v>Unique qualified calls/visits booked with Nic; rebooking same opportunity is not a new booking.</x:v>
      </x:c>
      <x:c r="P637" s="26" t="str">
        <x:v>PDF §10; final deadline advanced to user Dec 16</x:v>
      </x:c>
      <x:c r="Q637" s="2" t="n">
        <x:f>IF(ISNUMBER(H637),1,0)</x:f>
        <x:v>0</x:v>
      </x:c>
    </x:row>
    <x:row r="638" ht="46" customHeight="1">
      <x:c r="A638" s="17" t="n">
        <x:v>46354</x:v>
      </x:c>
      <x:c r="B638" s="2" t="str">
        <x:v>Qualified conversations held</x:v>
      </x:c>
      <x:c r="C638" s="2" t="n">
        <x:v>6</x:v>
      </x:c>
      <x:c r="D638" s="2" t="str">
        <x:v>Cumulative total</x:v>
      </x:c>
      <x:c r="E638" s="20"/>
      <x:c r="F638" s="20"/>
      <x:c r="G638" s="20"/>
      <x:c r="H638" s="2" t="str">
        <x:f>IF(D638="Rate",IF(COUNT(F638:G638)&lt;2,"",IF(G638=0,"n.a.",F638/G638)),IF(COUNT(E638)=0,"",E638))</x:f>
      </x:c>
      <x:c r="I638" s="2" t="str">
        <x:f>IF(AND(ISNUMBER(H638),ISNUMBER(C638)),H638-C638,"")</x:f>
      </x:c>
      <x:c r="J638" s="2" t="str">
        <x:v>held</x:v>
      </x:c>
      <x:c r="K638" s="2" t="str">
        <x:v>Nova</x:v>
      </x:c>
      <x:c r="L638" s="28" t="str"/>
      <x:c r="M638" s="20"/>
      <x:c r="N638" s="21"/>
      <x:c r="O638" s="26" t="str">
        <x:v>Completed qualified calls/visits; 6 and 15 are integer planning proxies for 70% of 8 and 75% of 20.</x:v>
      </x:c>
      <x:c r="P638" s="26" t="str">
        <x:v>Derived from source held-rate targets</x:v>
      </x:c>
      <x:c r="Q638" s="2" t="n">
        <x:f>IF(ISNUMBER(H638),1,0)</x:f>
        <x:v>0</x:v>
      </x:c>
    </x:row>
    <x:row r="639" ht="46" customHeight="1">
      <x:c r="A639" s="17" t="n">
        <x:v>46354</x:v>
      </x:c>
      <x:c r="B639" s="2" t="str">
        <x:v>Trial cases received by DSI</x:v>
      </x:c>
      <x:c r="C639" s="2" t="n">
        <x:v>2</x:v>
      </x:c>
      <x:c r="D639" s="2" t="str">
        <x:v>Cumulative total</x:v>
      </x:c>
      <x:c r="E639" s="20"/>
      <x:c r="F639" s="20"/>
      <x:c r="G639" s="20"/>
      <x:c r="H639" s="2" t="str">
        <x:f>IF(D639="Rate",IF(COUNT(F639:G639)&lt;2,"",IF(G639=0,"n.a.",F639/G639)),IF(COUNT(E639)=0,"",E639))</x:f>
      </x:c>
      <x:c r="I639" s="2" t="str">
        <x:f>IF(AND(ISNUMBER(H639),ISNUMBER(C639)),H639-C639,"")</x:f>
      </x:c>
      <x:c r="J639" s="2" t="str">
        <x:v>trials</x:v>
      </x:c>
      <x:c r="K639" s="2" t="str">
        <x:v>Maseeha</x:v>
      </x:c>
      <x:c r="L639" s="28" t="str"/>
      <x:c r="M639" s="20"/>
      <x:c r="N639" s="21"/>
      <x:c r="O639" s="26" t="str">
        <x:v>Practice’s first trial case received by DSI, not merely promised or shipped; subject to Maseeha capacity.</x:v>
      </x:c>
      <x:c r="P639" s="26" t="str">
        <x:v>PDF §10; final deadline advanced to user Dec 16</x:v>
      </x:c>
      <x:c r="Q639" s="2" t="n">
        <x:f>IF(ISNUMBER(H639),1,0)</x:f>
        <x:v>0</x:v>
      </x:c>
    </x:row>
    <x:row r="640" ht="46" customHeight="1">
      <x:c r="A640" s="17" t="n">
        <x:v>46354</x:v>
      </x:c>
      <x:c r="B640" s="2" t="str">
        <x:v>Recurring accounts signed</x:v>
      </x:c>
      <x:c r="C640" s="2"/>
      <x:c r="D640" s="2" t="str">
        <x:v>Cumulative total</x:v>
      </x:c>
      <x:c r="E640" s="20"/>
      <x:c r="F640" s="20"/>
      <x:c r="G640" s="20"/>
      <x:c r="H640" s="2" t="str">
        <x:f>IF(D640="Rate",IF(COUNT(F640:G640)&lt;2,"",IF(G640=0,"n.a.",F640/G640)),IF(COUNT(E640)=0,"",E640))</x:f>
      </x:c>
      <x:c r="I640" s="2" t="str">
        <x:f>IF(AND(ISNUMBER(H640),ISNUMBER(C640)),H640-C640,"")</x:f>
      </x:c>
      <x:c r="J640" s="2" t="str">
        <x:v>accounts</x:v>
      </x:c>
      <x:c r="K640" s="2" t="str">
        <x:v>Nic</x:v>
      </x:c>
      <x:c r="L640" s="28" t="str"/>
      <x:c r="M640" s="20"/>
      <x:c r="N640" s="21"/>
      <x:c r="O640" s="26" t="str">
        <x:v>Plan signed following Day-30 review; only mature trial cohorts eligible. 1–3 is a conditional range.</x:v>
      </x:c>
      <x:c r="P640" s="26" t="str">
        <x:v>PDF §10</x:v>
      </x:c>
      <x:c r="Q640" s="2" t="n">
        <x:f>IF(ISNUMBER(H640),1,0)</x:f>
        <x:v>0</x:v>
      </x:c>
    </x:row>
    <x:row r="641" ht="46" customHeight="1">
      <x:c r="A641" s="17" t="n">
        <x:v>46354</x:v>
      </x:c>
      <x:c r="B641" s="2" t="str">
        <x:v>Referral-sourced bookings</x:v>
      </x:c>
      <x:c r="C641" s="2" t="n">
        <x:v>4</x:v>
      </x:c>
      <x:c r="D641" s="2" t="str">
        <x:v>Cumulative total</x:v>
      </x:c>
      <x:c r="E641" s="20"/>
      <x:c r="F641" s="20"/>
      <x:c r="G641" s="20"/>
      <x:c r="H641" s="2" t="str">
        <x:f>IF(D641="Rate",IF(COUNT(F641:G641)&lt;2,"",IF(G641=0,"n.a.",F641/G641)),IF(COUNT(E641)=0,"",E641))</x:f>
      </x:c>
      <x:c r="I641" s="2" t="str">
        <x:f>IF(AND(ISNUMBER(H641),ISNUMBER(C641)),H641-C641,"")</x:f>
      </x:c>
      <x:c r="J641" s="2" t="str">
        <x:v>bookings</x:v>
      </x:c>
      <x:c r="K641" s="2" t="str">
        <x:v>Nova</x:v>
      </x:c>
      <x:c r="L641" s="28" t="str"/>
      <x:c r="M641" s="20"/>
      <x:c r="N641" s="21"/>
      <x:c r="O641" s="26" t="str">
        <x:v>Subset of booked total with primary Source=Referral; never added on top of all-channel bookings.</x:v>
      </x:c>
      <x:c r="P641" s="26" t="str">
        <x:v>PDF §§10, 16</x:v>
      </x:c>
      <x:c r="Q641" s="2" t="n">
        <x:f>IF(ISNUMBER(H641),1,0)</x:f>
        <x:v>0</x:v>
      </x:c>
    </x:row>
    <x:row r="642" ht="46" customHeight="1">
      <x:c r="A642" s="17" t="n">
        <x:v>46354</x:v>
      </x:c>
      <x:c r="B642" s="2" t="str">
        <x:v>LinkedIn DM-sourced bookings</x:v>
      </x:c>
      <x:c r="C642" s="2" t="n">
        <x:v>3</x:v>
      </x:c>
      <x:c r="D642" s="2" t="str">
        <x:v>Cumulative total</x:v>
      </x:c>
      <x:c r="E642" s="20"/>
      <x:c r="F642" s="20"/>
      <x:c r="G642" s="20"/>
      <x:c r="H642" s="2" t="str">
        <x:f>IF(D642="Rate",IF(COUNT(F642:G642)&lt;2,"",IF(G642=0,"n.a.",F642/G642)),IF(COUNT(E642)=0,"",E642))</x:f>
      </x:c>
      <x:c r="I642" s="2" t="str">
        <x:f>IF(AND(ISNUMBER(H642),ISNUMBER(C642)),H642-C642,"")</x:f>
      </x:c>
      <x:c r="J642" s="2" t="str">
        <x:v>bookings</x:v>
      </x:c>
      <x:c r="K642" s="2" t="str">
        <x:v>Dexter</x:v>
      </x:c>
      <x:c r="L642" s="28" t="str"/>
      <x:c r="M642" s="20"/>
      <x:c r="N642" s="21"/>
      <x:c r="O642" s="26" t="str">
        <x:v>Subset of booked total with primary Source=LinkedIn DM; assists tracked separately.</x:v>
      </x:c>
      <x:c r="P642" s="26" t="str">
        <x:v>PDF §§10, 17 a</x:v>
      </x:c>
      <x:c r="Q642" s="2" t="n">
        <x:f>IF(ISNUMBER(H642),1,0)</x:f>
        <x:v>0</x:v>
      </x:c>
    </x:row>
    <x:row r="643" ht="46" customHeight="1">
      <x:c r="A643" s="17" t="n">
        <x:v>46354</x:v>
      </x:c>
      <x:c r="B643" s="2" t="str">
        <x:v>Verified contacts ready</x:v>
      </x:c>
      <x:c r="C643" s="2" t="n">
        <x:v>500</x:v>
      </x:c>
      <x:c r="D643" s="2" t="str">
        <x:v>Cumulative total</x:v>
      </x:c>
      <x:c r="E643" s="20"/>
      <x:c r="F643" s="20"/>
      <x:c r="G643" s="20"/>
      <x:c r="H643" s="2" t="str">
        <x:f>IF(D643="Rate",IF(COUNT(F643:G643)&lt;2,"",IF(G643=0,"n.a.",F643/G643)),IF(COUNT(E643)=0,"",E643))</x:f>
      </x:c>
      <x:c r="I643" s="2" t="str">
        <x:f>IF(AND(ISNUMBER(H643),ISNUMBER(C643)),H643-C643,"")</x:f>
      </x:c>
      <x:c r="J643" s="2" t="str">
        <x:v>contacts</x:v>
      </x:c>
      <x:c r="K643" s="2" t="str">
        <x:v>Joey</x:v>
      </x:c>
      <x:c r="L643" s="28" t="str"/>
      <x:c r="M643" s="20"/>
      <x:c r="N643" s="21"/>
      <x:c r="O643" s="26" t="str">
        <x:v>Unique contacts passing Scout and loaded in CQL; count once per contact.</x:v>
      </x:c>
      <x:c r="P643" s="26" t="str">
        <x:v>PDF §§10, 14; 750 due Dec 12 moved to Fri Dec 11</x:v>
      </x:c>
      <x:c r="Q643" s="2" t="n">
        <x:f>IF(ISNUMBER(H643),1,0)</x:f>
        <x:v>0</x:v>
      </x:c>
    </x:row>
    <x:row r="644" ht="46" customHeight="1">
      <x:c r="A644" s="17" t="n">
        <x:v>46354</x:v>
      </x:c>
      <x:c r="B644" s="2" t="str">
        <x:v>Permission-based referral introductions</x:v>
      </x:c>
      <x:c r="C644" s="2" t="n">
        <x:v>8</x:v>
      </x:c>
      <x:c r="D644" s="2" t="str">
        <x:v>Cumulative total</x:v>
      </x:c>
      <x:c r="E644" s="20"/>
      <x:c r="F644" s="20"/>
      <x:c r="G644" s="20"/>
      <x:c r="H644" s="2" t="str">
        <x:f>IF(D644="Rate",IF(COUNT(F644:G644)&lt;2,"",IF(G644=0,"n.a.",F644/G644)),IF(COUNT(E644)=0,"",E644))</x:f>
      </x:c>
      <x:c r="I644" s="2" t="str">
        <x:f>IF(AND(ISNUMBER(H644),ISNUMBER(C644)),H644-C644,"")</x:f>
      </x:c>
      <x:c r="J644" s="2" t="str">
        <x:v>introductions</x:v>
      </x:c>
      <x:c r="K644" s="2" t="str">
        <x:v>Maseeha</x:v>
      </x:c>
      <x:c r="L644" s="28" t="str"/>
      <x:c r="M644" s="20"/>
      <x:c r="N644" s="21"/>
      <x:c r="O644" s="26" t="str">
        <x:v>Unique introductions with consent and referrer recorded, verified by Maseeha within 2 business days.</x:v>
      </x:c>
      <x:c r="P644" s="26" t="str">
        <x:v>PDF §§10, 16</x:v>
      </x:c>
      <x:c r="Q644" s="2" t="n">
        <x:f>IF(ISNUMBER(H644),1,0)</x:f>
        <x:v>0</x:v>
      </x:c>
    </x:row>
    <x:row r="645" ht="46" customHeight="1">
      <x:c r="A645" s="17" t="n">
        <x:v>46354</x:v>
      </x:c>
      <x:c r="B645" s="2" t="str">
        <x:v>Human reply rate</x:v>
      </x:c>
      <x:c r="C645" s="40" t="n">
        <x:v>0.03</x:v>
      </x:c>
      <x:c r="D645" s="2" t="str">
        <x:v>Rate</x:v>
      </x:c>
      <x:c r="E645" s="20"/>
      <x:c r="F645" s="20"/>
      <x:c r="G645" s="20"/>
      <x:c r="H645" s="40" t="str">
        <x:f>IF(D645="Rate",IF(COUNT(F645:G645)&lt;2,"",IF(G645=0,"n.a.",F645/G645)),IF(COUNT(E645)=0,"",E645))</x:f>
      </x:c>
      <x:c r="I645" s="40" t="str">
        <x:f>IF(AND(ISNUMBER(H645),ISNUMBER(C645)),H645-C645,"")</x:f>
      </x:c>
      <x:c r="J645" s="2" t="str">
        <x:v>%</x:v>
      </x:c>
      <x:c r="K645" s="2" t="str">
        <x:v>Kenneth</x:v>
      </x:c>
      <x:c r="L645" s="28" t="str"/>
      <x:c r="M645" s="20"/>
      <x:c r="N645" s="21"/>
      <x:c r="O645" s="26" t="str">
        <x:v>Unique emailed contacts that give a qualifying human reply / unique contacts emailed in the same send cohort. Exclude OOO, auto-replies, bounces and unsubscribe-only replies. Deduplicate contacts across sequence steps; zero denominator is N/A.</x:v>
      </x:c>
      <x:c r="P645" s="26" t="str">
        <x:v>PDF §10</x:v>
      </x:c>
      <x:c r="Q645" s="2" t="n">
        <x:f>IF(ISNUMBER(H645),1,0)</x:f>
        <x:v>0</x:v>
      </x:c>
    </x:row>
    <x:row r="646" ht="46" customHeight="1">
      <x:c r="A646" s="17" t="n">
        <x:v>46354</x:v>
      </x:c>
      <x:c r="B646" s="2" t="str">
        <x:v>Positive reply rate</x:v>
      </x:c>
      <x:c r="C646" s="40" t="n">
        <x:v>0.015</x:v>
      </x:c>
      <x:c r="D646" s="2" t="str">
        <x:v>Rate</x:v>
      </x:c>
      <x:c r="E646" s="20"/>
      <x:c r="F646" s="20"/>
      <x:c r="G646" s="20"/>
      <x:c r="H646" s="40" t="str">
        <x:f>IF(D646="Rate",IF(COUNT(F646:G646)&lt;2,"",IF(G646=0,"n.a.",F646/G646)),IF(COUNT(E646)=0,"",E646))</x:f>
      </x:c>
      <x:c r="I646" s="40" t="str">
        <x:f>IF(AND(ISNUMBER(H646),ISNUMBER(C646)),H646-C646,"")</x:f>
      </x:c>
      <x:c r="J646" s="2" t="str">
        <x:v>%</x:v>
      </x:c>
      <x:c r="K646" s="2" t="str">
        <x:v>Kenneth</x:v>
      </x:c>
      <x:c r="L646" s="28" t="str"/>
      <x:c r="M646" s="20"/>
      <x:c r="N646" s="21"/>
      <x:c r="O646" s="26" t="str">
        <x:v>Unique emailed contacts classified interested or relevant question / unique contacts emailed in the same send cohort. Deduplicate across sequence steps; zero denominator is N/A. Keep this email rate separate from all-channel qualified inquiries.</x:v>
      </x:c>
      <x:c r="P646" s="26" t="str">
        <x:v>PDF §10</x:v>
      </x:c>
      <x:c r="Q646" s="2" t="n">
        <x:f>IF(ISNUMBER(H646),1,0)</x:f>
        <x:v>0</x:v>
      </x:c>
    </x:row>
    <x:row r="647" ht="46" customHeight="1">
      <x:c r="A647" s="17" t="n">
        <x:v>46354</x:v>
      </x:c>
      <x:c r="B647" s="2" t="str">
        <x:v>Replies answered within 15 minutes</x:v>
      </x:c>
      <x:c r="C647" s="40" t="n">
        <x:v>1</x:v>
      </x:c>
      <x:c r="D647" s="2" t="str">
        <x:v>Rate</x:v>
      </x:c>
      <x:c r="E647" s="20"/>
      <x:c r="F647" s="20"/>
      <x:c r="G647" s="20"/>
      <x:c r="H647" s="40" t="str">
        <x:f>IF(D647="Rate",IF(COUNT(F647:G647)&lt;2,"",IF(G647=0,"n.a.",F647/G647)),IF(COUNT(E647)=0,"",E647))</x:f>
      </x:c>
      <x:c r="I647" s="40" t="str">
        <x:f>IF(AND(ISNUMBER(H647),ISNUMBER(C647)),H647-C647,"")</x:f>
      </x:c>
      <x:c r="J647" s="2" t="str">
        <x:v>%</x:v>
      </x:c>
      <x:c r="K647" s="2" t="str">
        <x:v>Nova</x:v>
      </x:c>
      <x:c r="L647" s="28" t="str"/>
      <x:c r="M647" s="20"/>
      <x:c r="N647" s="21"/>
      <x:c r="O647"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47" s="26" t="str">
        <x:v>PDF §9; clock convention clarified for tracker</x:v>
      </x:c>
      <x:c r="Q647" s="2" t="n">
        <x:f>IF(ISNUMBER(H647),1,0)</x:f>
        <x:v>0</x:v>
      </x:c>
    </x:row>
    <x:row r="648" ht="46" customHeight="1">
      <x:c r="A648" s="17" t="n">
        <x:v>46354</x:v>
      </x:c>
      <x:c r="B648" s="2" t="str">
        <x:v>Held rate</x:v>
      </x:c>
      <x:c r="C648" s="40" t="n">
        <x:v>0.75</x:v>
      </x:c>
      <x:c r="D648" s="2" t="str">
        <x:v>Rate</x:v>
      </x:c>
      <x:c r="E648" s="20"/>
      <x:c r="F648" s="20"/>
      <x:c r="G648" s="20"/>
      <x:c r="H648" s="40" t="str">
        <x:f>IF(D648="Rate",IF(COUNT(F648:G648)&lt;2,"",IF(G648=0,"n.a.",F648/G648)),IF(COUNT(E648)=0,"",E648))</x:f>
      </x:c>
      <x:c r="I648" s="40" t="str">
        <x:f>IF(AND(ISNUMBER(H648),ISNUMBER(C648)),H648-C648,"")</x:f>
      </x:c>
      <x:c r="J648" s="2" t="str">
        <x:v>%</x:v>
      </x:c>
      <x:c r="K648" s="2" t="str">
        <x:v>Nova</x:v>
      </x:c>
      <x:c r="L648" s="28" t="str"/>
      <x:c r="M648" s="20"/>
      <x:c r="N648" s="21"/>
      <x:c r="O648" s="26" t="str">
        <x:v>Qualified conversations actually held / unique booked conversations whose scheduled time has passed. Exclude upcoming appointments. Rebooking the same opportunity is not a second booking. A zero denominator is N/A.</x:v>
      </x:c>
      <x:c r="P648" s="26" t="str">
        <x:v>PDF §10; due-cohort denominator clarified</x:v>
      </x:c>
      <x:c r="Q648" s="2" t="n">
        <x:f>IF(ISNUMBER(H648),1,0)</x:f>
        <x:v>0</x:v>
      </x:c>
    </x:row>
    <x:row r="649" ht="46" customHeight="1">
      <x:c r="A649" s="17" t="n">
        <x:v>46354</x:v>
      </x:c>
      <x:c r="B649" s="2" t="str">
        <x:v>Positive-to-booked conversion</x:v>
      </x:c>
      <x:c r="C649" s="40" t="n">
        <x:v>0.5</x:v>
      </x:c>
      <x:c r="D649" s="2" t="str">
        <x:v>Rate</x:v>
      </x:c>
      <x:c r="E649" s="20"/>
      <x:c r="F649" s="20"/>
      <x:c r="G649" s="20"/>
      <x:c r="H649" s="40" t="str">
        <x:f>IF(D649="Rate",IF(COUNT(F649:G649)&lt;2,"",IF(G649=0,"n.a.",F649/G649)),IF(COUNT(E649)=0,"",E649))</x:f>
      </x:c>
      <x:c r="I649" s="40" t="str">
        <x:f>IF(AND(ISNUMBER(H649),ISNUMBER(C649)),H649-C649,"")</x:f>
      </x:c>
      <x:c r="J649" s="2" t="str">
        <x:v>%</x:v>
      </x:c>
      <x:c r="K649" s="2" t="str">
        <x:v>Nova</x:v>
      </x:c>
      <x:c r="L649" s="28" t="str"/>
      <x:c r="M649" s="20"/>
      <x:c r="N649" s="21"/>
      <x:c r="O649" s="26" t="str">
        <x:v>Unique email-positive opportunities booked / unique email-positive opportunities in the same reviewed cohort. Use a documented follow-up window. This differs from the all-channel 40-inquiry/20-booking planning assumption. A zero denominator is N/A.</x:v>
      </x:c>
      <x:c r="P649" s="26" t="str">
        <x:v>PDF §9</x:v>
      </x:c>
      <x:c r="Q649" s="2" t="n">
        <x:f>IF(ISNUMBER(H649),1,0)</x:f>
        <x:v>0</x:v>
      </x:c>
    </x:row>
    <x:row r="650" ht="46" customHeight="1">
      <x:c r="A650" s="17" t="n">
        <x:v>46354</x:v>
      </x:c>
      <x:c r="B650" s="2" t="str">
        <x:v>Existing-account referral asks</x:v>
      </x:c>
      <x:c r="C650" s="2" t="n">
        <x:v>41</x:v>
      </x:c>
      <x:c r="D650" s="2" t="str">
        <x:v>Cumulative total</x:v>
      </x:c>
      <x:c r="E650" s="20"/>
      <x:c r="F650" s="20"/>
      <x:c r="G650" s="20"/>
      <x:c r="H650" s="2" t="str">
        <x:f>IF(D650="Rate",IF(COUNT(F650:G650)&lt;2,"",IF(G650=0,"n.a.",F650/G650)),IF(COUNT(E650)=0,"",E650))</x:f>
      </x:c>
      <x:c r="I650" s="2" t="str">
        <x:f>IF(AND(ISNUMBER(H650),ISNUMBER(C650)),H650-C650,"")</x:f>
      </x:c>
      <x:c r="J650" s="2" t="str">
        <x:v>accounts asked</x:v>
      </x:c>
      <x:c r="K650" s="2" t="str">
        <x:v>Maseeha</x:v>
      </x:c>
      <x:c r="L650" s="28" t="str"/>
      <x:c r="M650" s="20"/>
      <x:c r="N650" s="21"/>
      <x:c r="O650" s="26" t="str">
        <x:v>Ask 25 unique A/B accounts (5 A and 20 B) by November 13; proposed pace 35 total by November 20; complete the remaining C accounts to reach 41 total by November 25. One introduction is the ask; asks and received intros are separate counts.</x:v>
      </x:c>
      <x:c r="P650" s="26" t="str">
        <x:v>PDF §16 supplies 25 A/B byNov 14 and 16 C byNov 25; Friday deadline and 35-byNov 20 pace are proposed scheduling allocations.</x:v>
      </x:c>
      <x:c r="Q650" s="2" t="n">
        <x:f>IF(ISNUMBER(H650),1,0)</x:f>
        <x:v>0</x:v>
      </x:c>
    </x:row>
    <x:row r="651" ht="46" customHeight="1">
      <x:c r="A651" s="17" t="n">
        <x:v>46354</x:v>
      </x:c>
      <x:c r="B651" s="2" t="str">
        <x:v>Approved SOPs</x:v>
      </x:c>
      <x:c r="C651" s="2"/>
      <x:c r="D651" s="2" t="str">
        <x:v>Cumulative total</x:v>
      </x:c>
      <x:c r="E651" s="20"/>
      <x:c r="F651" s="20"/>
      <x:c r="G651" s="20"/>
      <x:c r="H651" s="2" t="str">
        <x:f>IF(D651="Rate",IF(COUNT(F651:G651)&lt;2,"",IF(G651=0,"n.a.",F651/G651)),IF(COUNT(E651)=0,"",E651))</x:f>
      </x:c>
      <x:c r="I651" s="2" t="str">
        <x:f>IF(AND(ISNUMBER(H651),ISNUMBER(C651)),H651-C651,"")</x:f>
      </x:c>
      <x:c r="J651" s="2" t="str">
        <x:v>SOPs</x:v>
      </x:c>
      <x:c r="K651" s="2" t="str">
        <x:v>Wyline</x:v>
      </x:c>
      <x:c r="L651" s="28" t="str"/>
      <x:c r="M651" s="20"/>
      <x:c r="N651" s="21"/>
      <x:c r="O651" s="26" t="str">
        <x:v>10 core SOPs plus ADS-01 and SOC-01 additions; approved version and independent-run evidence required.</x:v>
      </x:c>
      <x:c r="P651" s="26" t="str">
        <x:v>PDF §8 with §§17 b–d additions</x:v>
      </x:c>
      <x:c r="Q651" s="2" t="n">
        <x:f>IF(ISNUMBER(H651),1,0)</x:f>
        <x:v>0</x:v>
      </x:c>
    </x:row>
    <x:row r="652" ht="46" customHeight="1">
      <x:c r="A652" s="17" t="n">
        <x:v>46354</x:v>
      </x:c>
      <x:c r="B652" s="2" t="str">
        <x:v>Accepted AI agents</x:v>
      </x:c>
      <x:c r="C652" s="2"/>
      <x:c r="D652" s="2" t="str">
        <x:v>Cumulative total</x:v>
      </x:c>
      <x:c r="E652" s="20"/>
      <x:c r="F652" s="20"/>
      <x:c r="G652" s="20"/>
      <x:c r="H652" s="2" t="str">
        <x:f>IF(D652="Rate",IF(COUNT(F652:G652)&lt;2,"",IF(G652=0,"n.a.",F652/G652)),IF(COUNT(E652)=0,"",E652))</x:f>
      </x:c>
      <x:c r="I652" s="2" t="str">
        <x:f>IF(AND(ISNUMBER(H652),ISNUMBER(C652)),H652-C652,"")</x:f>
      </x:c>
      <x:c r="J652" s="2" t="str">
        <x:v>agents</x:v>
      </x:c>
      <x:c r="K652" s="2" t="str">
        <x:v>Emman</x:v>
      </x:c>
      <x:c r="L652" s="28" t="str"/>
      <x:c r="M652" s="20"/>
      <x:c r="N652" s="21"/>
      <x:c r="O652" s="26" t="str">
        <x:v>Scout, Writer, Inbox, Phone Assist, LinkedIn Assist, Follow-up, Scoreboard and Client Reporter; acceptance evidence required.</x:v>
      </x:c>
      <x:c r="P652" s="26" t="str">
        <x:v>PDF §7</x:v>
      </x:c>
      <x:c r="Q652" s="2" t="n">
        <x:f>IF(ISNUMBER(H652),1,0)</x:f>
        <x:v>0</x:v>
      </x:c>
    </x:row>
    <x:row r="653" ht="46" customHeight="1">
      <x:c r="A653" s="17" t="n">
        <x:v>46355</x:v>
      </x:c>
      <x:c r="B653" s="2" t="str">
        <x:v>Qualified inquiries</x:v>
      </x:c>
      <x:c r="C653" s="2" t="n">
        <x:v>16</x:v>
      </x:c>
      <x:c r="D653" s="2" t="str">
        <x:v>Cumulative total</x:v>
      </x:c>
      <x:c r="E653" s="20"/>
      <x:c r="F653" s="20"/>
      <x:c r="G653" s="20"/>
      <x:c r="H653" s="2" t="str">
        <x:f>IF(D653="Rate",IF(COUNT(F653:G653)&lt;2,"",IF(G653=0,"n.a.",F653/G653)),IF(COUNT(E653)=0,"",E653))</x:f>
      </x:c>
      <x:c r="I653" s="2" t="str">
        <x:f>IF(AND(ISNUMBER(H653),ISNUMBER(C653)),H653-C653,"")</x:f>
      </x:c>
      <x:c r="J653" s="2" t="str">
        <x:v>inquiries</x:v>
      </x:c>
      <x:c r="K653" s="2" t="str">
        <x:v>Nova</x:v>
      </x:c>
      <x:c r="L653" s="28" t="str"/>
      <x:c r="M653" s="20"/>
      <x:c r="N653" s="21"/>
      <x:c r="O653" s="26" t="str">
        <x:v>Unique ICP-matched practices that express relevant interest, need or timing; Nova records practice type, decision-maker access, case volume, service need and readiness within 30–60 days. Raw records, opens and connection accepts do not qualify.</x:v>
      </x:c>
      <x:c r="P653" s="26" t="str">
        <x:v>Original proposal pages 2 and 4 define qualification; 40 by Dec 16 and intermediate pace are newly proposed recovery targets.</x:v>
      </x:c>
      <x:c r="Q653" s="2" t="n">
        <x:f>IF(ISNUMBER(H653),1,0)</x:f>
        <x:v>0</x:v>
      </x:c>
    </x:row>
    <x:row r="654" ht="46" customHeight="1">
      <x:c r="A654" s="17" t="n">
        <x:v>46355</x:v>
      </x:c>
      <x:c r="B654" s="2" t="str">
        <x:v>Qualified conversations booked</x:v>
      </x:c>
      <x:c r="C654" s="2" t="n">
        <x:v>8</x:v>
      </x:c>
      <x:c r="D654" s="2" t="str">
        <x:v>Cumulative total</x:v>
      </x:c>
      <x:c r="E654" s="20"/>
      <x:c r="F654" s="20"/>
      <x:c r="G654" s="20"/>
      <x:c r="H654" s="2" t="str">
        <x:f>IF(D654="Rate",IF(COUNT(F654:G654)&lt;2,"",IF(G654=0,"n.a.",F654/G654)),IF(COUNT(E654)=0,"",E654))</x:f>
      </x:c>
      <x:c r="I654" s="2" t="str">
        <x:f>IF(AND(ISNUMBER(H654),ISNUMBER(C654)),H654-C654,"")</x:f>
      </x:c>
      <x:c r="J654" s="2" t="str">
        <x:v>bookings</x:v>
      </x:c>
      <x:c r="K654" s="2" t="str">
        <x:v>Nova</x:v>
      </x:c>
      <x:c r="L654" s="28" t="str"/>
      <x:c r="M654" s="20"/>
      <x:c r="N654" s="21"/>
      <x:c r="O654" s="26" t="str">
        <x:v>Unique qualified calls/visits booked with Nic; rebooking same opportunity is not a new booking.</x:v>
      </x:c>
      <x:c r="P654" s="26" t="str">
        <x:v>PDF §10; final deadline advanced to user Dec 16</x:v>
      </x:c>
      <x:c r="Q654" s="2" t="n">
        <x:f>IF(ISNUMBER(H654),1,0)</x:f>
        <x:v>0</x:v>
      </x:c>
    </x:row>
    <x:row r="655" ht="46" customHeight="1">
      <x:c r="A655" s="17" t="n">
        <x:v>46355</x:v>
      </x:c>
      <x:c r="B655" s="2" t="str">
        <x:v>Qualified conversations held</x:v>
      </x:c>
      <x:c r="C655" s="2" t="n">
        <x:v>6</x:v>
      </x:c>
      <x:c r="D655" s="2" t="str">
        <x:v>Cumulative total</x:v>
      </x:c>
      <x:c r="E655" s="20"/>
      <x:c r="F655" s="20"/>
      <x:c r="G655" s="20"/>
      <x:c r="H655" s="2" t="str">
        <x:f>IF(D655="Rate",IF(COUNT(F655:G655)&lt;2,"",IF(G655=0,"n.a.",F655/G655)),IF(COUNT(E655)=0,"",E655))</x:f>
      </x:c>
      <x:c r="I655" s="2" t="str">
        <x:f>IF(AND(ISNUMBER(H655),ISNUMBER(C655)),H655-C655,"")</x:f>
      </x:c>
      <x:c r="J655" s="2" t="str">
        <x:v>held</x:v>
      </x:c>
      <x:c r="K655" s="2" t="str">
        <x:v>Nova</x:v>
      </x:c>
      <x:c r="L655" s="28" t="str"/>
      <x:c r="M655" s="20"/>
      <x:c r="N655" s="21"/>
      <x:c r="O655" s="26" t="str">
        <x:v>Completed qualified calls/visits; 6 and 15 are integer planning proxies for 70% of 8 and 75% of 20.</x:v>
      </x:c>
      <x:c r="P655" s="26" t="str">
        <x:v>Derived from source held-rate targets</x:v>
      </x:c>
      <x:c r="Q655" s="2" t="n">
        <x:f>IF(ISNUMBER(H655),1,0)</x:f>
        <x:v>0</x:v>
      </x:c>
    </x:row>
    <x:row r="656" ht="46" customHeight="1">
      <x:c r="A656" s="17" t="n">
        <x:v>46355</x:v>
      </x:c>
      <x:c r="B656" s="2" t="str">
        <x:v>Trial cases received by DSI</x:v>
      </x:c>
      <x:c r="C656" s="2" t="n">
        <x:v>2</x:v>
      </x:c>
      <x:c r="D656" s="2" t="str">
        <x:v>Cumulative total</x:v>
      </x:c>
      <x:c r="E656" s="20"/>
      <x:c r="F656" s="20"/>
      <x:c r="G656" s="20"/>
      <x:c r="H656" s="2" t="str">
        <x:f>IF(D656="Rate",IF(COUNT(F656:G656)&lt;2,"",IF(G656=0,"n.a.",F656/G656)),IF(COUNT(E656)=0,"",E656))</x:f>
      </x:c>
      <x:c r="I656" s="2" t="str">
        <x:f>IF(AND(ISNUMBER(H656),ISNUMBER(C656)),H656-C656,"")</x:f>
      </x:c>
      <x:c r="J656" s="2" t="str">
        <x:v>trials</x:v>
      </x:c>
      <x:c r="K656" s="2" t="str">
        <x:v>Maseeha</x:v>
      </x:c>
      <x:c r="L656" s="28" t="str"/>
      <x:c r="M656" s="20"/>
      <x:c r="N656" s="21"/>
      <x:c r="O656" s="26" t="str">
        <x:v>Practice’s first trial case received by DSI, not merely promised or shipped; subject to Maseeha capacity.</x:v>
      </x:c>
      <x:c r="P656" s="26" t="str">
        <x:v>PDF §10; final deadline advanced to user Dec 16</x:v>
      </x:c>
      <x:c r="Q656" s="2" t="n">
        <x:f>IF(ISNUMBER(H656),1,0)</x:f>
        <x:v>0</x:v>
      </x:c>
    </x:row>
    <x:row r="657" ht="46" customHeight="1">
      <x:c r="A657" s="17" t="n">
        <x:v>46355</x:v>
      </x:c>
      <x:c r="B657" s="2" t="str">
        <x:v>Recurring accounts signed</x:v>
      </x:c>
      <x:c r="C657" s="2"/>
      <x:c r="D657" s="2" t="str">
        <x:v>Cumulative total</x:v>
      </x:c>
      <x:c r="E657" s="20"/>
      <x:c r="F657" s="20"/>
      <x:c r="G657" s="20"/>
      <x:c r="H657" s="2" t="str">
        <x:f>IF(D657="Rate",IF(COUNT(F657:G657)&lt;2,"",IF(G657=0,"n.a.",F657/G657)),IF(COUNT(E657)=0,"",E657))</x:f>
      </x:c>
      <x:c r="I657" s="2" t="str">
        <x:f>IF(AND(ISNUMBER(H657),ISNUMBER(C657)),H657-C657,"")</x:f>
      </x:c>
      <x:c r="J657" s="2" t="str">
        <x:v>accounts</x:v>
      </x:c>
      <x:c r="K657" s="2" t="str">
        <x:v>Nic</x:v>
      </x:c>
      <x:c r="L657" s="28" t="str"/>
      <x:c r="M657" s="20"/>
      <x:c r="N657" s="21"/>
      <x:c r="O657" s="26" t="str">
        <x:v>Plan signed following Day-30 review; only mature trial cohorts eligible. 1–3 is a conditional range.</x:v>
      </x:c>
      <x:c r="P657" s="26" t="str">
        <x:v>PDF §10</x:v>
      </x:c>
      <x:c r="Q657" s="2" t="n">
        <x:f>IF(ISNUMBER(H657),1,0)</x:f>
        <x:v>0</x:v>
      </x:c>
    </x:row>
    <x:row r="658" ht="46" customHeight="1">
      <x:c r="A658" s="17" t="n">
        <x:v>46355</x:v>
      </x:c>
      <x:c r="B658" s="2" t="str">
        <x:v>Referral-sourced bookings</x:v>
      </x:c>
      <x:c r="C658" s="2" t="n">
        <x:v>4</x:v>
      </x:c>
      <x:c r="D658" s="2" t="str">
        <x:v>Cumulative total</x:v>
      </x:c>
      <x:c r="E658" s="20"/>
      <x:c r="F658" s="20"/>
      <x:c r="G658" s="20"/>
      <x:c r="H658" s="2" t="str">
        <x:f>IF(D658="Rate",IF(COUNT(F658:G658)&lt;2,"",IF(G658=0,"n.a.",F658/G658)),IF(COUNT(E658)=0,"",E658))</x:f>
      </x:c>
      <x:c r="I658" s="2" t="str">
        <x:f>IF(AND(ISNUMBER(H658),ISNUMBER(C658)),H658-C658,"")</x:f>
      </x:c>
      <x:c r="J658" s="2" t="str">
        <x:v>bookings</x:v>
      </x:c>
      <x:c r="K658" s="2" t="str">
        <x:v>Nova</x:v>
      </x:c>
      <x:c r="L658" s="28" t="str"/>
      <x:c r="M658" s="20"/>
      <x:c r="N658" s="21"/>
      <x:c r="O658" s="26" t="str">
        <x:v>Subset of booked total with primary Source=Referral; never added on top of all-channel bookings.</x:v>
      </x:c>
      <x:c r="P658" s="26" t="str">
        <x:v>PDF §§10, 16</x:v>
      </x:c>
      <x:c r="Q658" s="2" t="n">
        <x:f>IF(ISNUMBER(H658),1,0)</x:f>
        <x:v>0</x:v>
      </x:c>
    </x:row>
    <x:row r="659" ht="46" customHeight="1">
      <x:c r="A659" s="17" t="n">
        <x:v>46355</x:v>
      </x:c>
      <x:c r="B659" s="2" t="str">
        <x:v>LinkedIn DM-sourced bookings</x:v>
      </x:c>
      <x:c r="C659" s="2" t="n">
        <x:v>3</x:v>
      </x:c>
      <x:c r="D659" s="2" t="str">
        <x:v>Cumulative total</x:v>
      </x:c>
      <x:c r="E659" s="20"/>
      <x:c r="F659" s="20"/>
      <x:c r="G659" s="20"/>
      <x:c r="H659" s="2" t="str">
        <x:f>IF(D659="Rate",IF(COUNT(F659:G659)&lt;2,"",IF(G659=0,"n.a.",F659/G659)),IF(COUNT(E659)=0,"",E659))</x:f>
      </x:c>
      <x:c r="I659" s="2" t="str">
        <x:f>IF(AND(ISNUMBER(H659),ISNUMBER(C659)),H659-C659,"")</x:f>
      </x:c>
      <x:c r="J659" s="2" t="str">
        <x:v>bookings</x:v>
      </x:c>
      <x:c r="K659" s="2" t="str">
        <x:v>Dexter</x:v>
      </x:c>
      <x:c r="L659" s="28" t="str"/>
      <x:c r="M659" s="20"/>
      <x:c r="N659" s="21"/>
      <x:c r="O659" s="26" t="str">
        <x:v>Subset of booked total with primary Source=LinkedIn DM; assists tracked separately.</x:v>
      </x:c>
      <x:c r="P659" s="26" t="str">
        <x:v>PDF §§10, 17 a</x:v>
      </x:c>
      <x:c r="Q659" s="2" t="n">
        <x:f>IF(ISNUMBER(H659),1,0)</x:f>
        <x:v>0</x:v>
      </x:c>
    </x:row>
    <x:row r="660" ht="46" customHeight="1">
      <x:c r="A660" s="17" t="n">
        <x:v>46355</x:v>
      </x:c>
      <x:c r="B660" s="2" t="str">
        <x:v>Verified contacts ready</x:v>
      </x:c>
      <x:c r="C660" s="2" t="n">
        <x:v>500</x:v>
      </x:c>
      <x:c r="D660" s="2" t="str">
        <x:v>Cumulative total</x:v>
      </x:c>
      <x:c r="E660" s="20"/>
      <x:c r="F660" s="20"/>
      <x:c r="G660" s="20"/>
      <x:c r="H660" s="2" t="str">
        <x:f>IF(D660="Rate",IF(COUNT(F660:G660)&lt;2,"",IF(G660=0,"n.a.",F660/G660)),IF(COUNT(E660)=0,"",E660))</x:f>
      </x:c>
      <x:c r="I660" s="2" t="str">
        <x:f>IF(AND(ISNUMBER(H660),ISNUMBER(C660)),H660-C660,"")</x:f>
      </x:c>
      <x:c r="J660" s="2" t="str">
        <x:v>contacts</x:v>
      </x:c>
      <x:c r="K660" s="2" t="str">
        <x:v>Joey</x:v>
      </x:c>
      <x:c r="L660" s="28" t="str"/>
      <x:c r="M660" s="20"/>
      <x:c r="N660" s="21"/>
      <x:c r="O660" s="26" t="str">
        <x:v>Unique contacts passing Scout and loaded in CQL; count once per contact.</x:v>
      </x:c>
      <x:c r="P660" s="26" t="str">
        <x:v>PDF §§10, 14; 750 due Dec 12 moved to Fri Dec 11</x:v>
      </x:c>
      <x:c r="Q660" s="2" t="n">
        <x:f>IF(ISNUMBER(H660),1,0)</x:f>
        <x:v>0</x:v>
      </x:c>
    </x:row>
    <x:row r="661" ht="46" customHeight="1">
      <x:c r="A661" s="17" t="n">
        <x:v>46355</x:v>
      </x:c>
      <x:c r="B661" s="2" t="str">
        <x:v>Permission-based referral introductions</x:v>
      </x:c>
      <x:c r="C661" s="2" t="n">
        <x:v>8</x:v>
      </x:c>
      <x:c r="D661" s="2" t="str">
        <x:v>Cumulative total</x:v>
      </x:c>
      <x:c r="E661" s="20"/>
      <x:c r="F661" s="20"/>
      <x:c r="G661" s="20"/>
      <x:c r="H661" s="2" t="str">
        <x:f>IF(D661="Rate",IF(COUNT(F661:G661)&lt;2,"",IF(G661=0,"n.a.",F661/G661)),IF(COUNT(E661)=0,"",E661))</x:f>
      </x:c>
      <x:c r="I661" s="2" t="str">
        <x:f>IF(AND(ISNUMBER(H661),ISNUMBER(C661)),H661-C661,"")</x:f>
      </x:c>
      <x:c r="J661" s="2" t="str">
        <x:v>introductions</x:v>
      </x:c>
      <x:c r="K661" s="2" t="str">
        <x:v>Maseeha</x:v>
      </x:c>
      <x:c r="L661" s="28" t="str"/>
      <x:c r="M661" s="20"/>
      <x:c r="N661" s="21"/>
      <x:c r="O661" s="26" t="str">
        <x:v>Unique introductions with consent and referrer recorded, verified by Maseeha within 2 business days.</x:v>
      </x:c>
      <x:c r="P661" s="26" t="str">
        <x:v>PDF §§10, 16</x:v>
      </x:c>
      <x:c r="Q661" s="2" t="n">
        <x:f>IF(ISNUMBER(H661),1,0)</x:f>
        <x:v>0</x:v>
      </x:c>
    </x:row>
    <x:row r="662" ht="46" customHeight="1">
      <x:c r="A662" s="17" t="n">
        <x:v>46355</x:v>
      </x:c>
      <x:c r="B662" s="2" t="str">
        <x:v>Human reply rate</x:v>
      </x:c>
      <x:c r="C662" s="40" t="n">
        <x:v>0.03</x:v>
      </x:c>
      <x:c r="D662" s="2" t="str">
        <x:v>Rate</x:v>
      </x:c>
      <x:c r="E662" s="20"/>
      <x:c r="F662" s="20"/>
      <x:c r="G662" s="20"/>
      <x:c r="H662" s="40" t="str">
        <x:f>IF(D662="Rate",IF(COUNT(F662:G662)&lt;2,"",IF(G662=0,"n.a.",F662/G662)),IF(COUNT(E662)=0,"",E662))</x:f>
      </x:c>
      <x:c r="I662" s="40" t="str">
        <x:f>IF(AND(ISNUMBER(H662),ISNUMBER(C662)),H662-C662,"")</x:f>
      </x:c>
      <x:c r="J662" s="2" t="str">
        <x:v>%</x:v>
      </x:c>
      <x:c r="K662" s="2" t="str">
        <x:v>Kenneth</x:v>
      </x:c>
      <x:c r="L662" s="28" t="str"/>
      <x:c r="M662" s="20"/>
      <x:c r="N662" s="21"/>
      <x:c r="O662" s="26" t="str">
        <x:v>Unique emailed contacts that give a qualifying human reply / unique contacts emailed in the same send cohort. Exclude OOO, auto-replies, bounces and unsubscribe-only replies. Deduplicate contacts across sequence steps; zero denominator is N/A.</x:v>
      </x:c>
      <x:c r="P662" s="26" t="str">
        <x:v>PDF §10</x:v>
      </x:c>
      <x:c r="Q662" s="2" t="n">
        <x:f>IF(ISNUMBER(H662),1,0)</x:f>
        <x:v>0</x:v>
      </x:c>
    </x:row>
    <x:row r="663" ht="46" customHeight="1">
      <x:c r="A663" s="17" t="n">
        <x:v>46355</x:v>
      </x:c>
      <x:c r="B663" s="2" t="str">
        <x:v>Positive reply rate</x:v>
      </x:c>
      <x:c r="C663" s="40" t="n">
        <x:v>0.015</x:v>
      </x:c>
      <x:c r="D663" s="2" t="str">
        <x:v>Rate</x:v>
      </x:c>
      <x:c r="E663" s="20"/>
      <x:c r="F663" s="20"/>
      <x:c r="G663" s="20"/>
      <x:c r="H663" s="40" t="str">
        <x:f>IF(D663="Rate",IF(COUNT(F663:G663)&lt;2,"",IF(G663=0,"n.a.",F663/G663)),IF(COUNT(E663)=0,"",E663))</x:f>
      </x:c>
      <x:c r="I663" s="40" t="str">
        <x:f>IF(AND(ISNUMBER(H663),ISNUMBER(C663)),H663-C663,"")</x:f>
      </x:c>
      <x:c r="J663" s="2" t="str">
        <x:v>%</x:v>
      </x:c>
      <x:c r="K663" s="2" t="str">
        <x:v>Kenneth</x:v>
      </x:c>
      <x:c r="L663" s="28" t="str"/>
      <x:c r="M663" s="20"/>
      <x:c r="N663" s="21"/>
      <x:c r="O663" s="26" t="str">
        <x:v>Unique emailed contacts classified interested or relevant question / unique contacts emailed in the same send cohort. Deduplicate across sequence steps; zero denominator is N/A. Keep this email rate separate from all-channel qualified inquiries.</x:v>
      </x:c>
      <x:c r="P663" s="26" t="str">
        <x:v>PDF §10</x:v>
      </x:c>
      <x:c r="Q663" s="2" t="n">
        <x:f>IF(ISNUMBER(H663),1,0)</x:f>
        <x:v>0</x:v>
      </x:c>
    </x:row>
    <x:row r="664" ht="46" customHeight="1">
      <x:c r="A664" s="17" t="n">
        <x:v>46355</x:v>
      </x:c>
      <x:c r="B664" s="2" t="str">
        <x:v>Replies answered within 15 minutes</x:v>
      </x:c>
      <x:c r="C664" s="40" t="n">
        <x:v>1</x:v>
      </x:c>
      <x:c r="D664" s="2" t="str">
        <x:v>Rate</x:v>
      </x:c>
      <x:c r="E664" s="20"/>
      <x:c r="F664" s="20"/>
      <x:c r="G664" s="20"/>
      <x:c r="H664" s="40" t="str">
        <x:f>IF(D664="Rate",IF(COUNT(F664:G664)&lt;2,"",IF(G664=0,"n.a.",F664/G664)),IF(COUNT(E664)=0,"",E664))</x:f>
      </x:c>
      <x:c r="I664" s="40" t="str">
        <x:f>IF(AND(ISNUMBER(H664),ISNUMBER(C664)),H664-C664,"")</x:f>
      </x:c>
      <x:c r="J664" s="2" t="str">
        <x:v>%</x:v>
      </x:c>
      <x:c r="K664" s="2" t="str">
        <x:v>Nova</x:v>
      </x:c>
      <x:c r="L664" s="28" t="str"/>
      <x:c r="M664" s="20"/>
      <x:c r="N664" s="21"/>
      <x:c r="O664"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64" s="26" t="str">
        <x:v>PDF §9; clock convention clarified for tracker</x:v>
      </x:c>
      <x:c r="Q664" s="2" t="n">
        <x:f>IF(ISNUMBER(H664),1,0)</x:f>
        <x:v>0</x:v>
      </x:c>
    </x:row>
    <x:row r="665" ht="46" customHeight="1">
      <x:c r="A665" s="17" t="n">
        <x:v>46355</x:v>
      </x:c>
      <x:c r="B665" s="2" t="str">
        <x:v>Held rate</x:v>
      </x:c>
      <x:c r="C665" s="40" t="n">
        <x:v>0.75</x:v>
      </x:c>
      <x:c r="D665" s="2" t="str">
        <x:v>Rate</x:v>
      </x:c>
      <x:c r="E665" s="20"/>
      <x:c r="F665" s="20"/>
      <x:c r="G665" s="20"/>
      <x:c r="H665" s="40" t="str">
        <x:f>IF(D665="Rate",IF(COUNT(F665:G665)&lt;2,"",IF(G665=0,"n.a.",F665/G665)),IF(COUNT(E665)=0,"",E665))</x:f>
      </x:c>
      <x:c r="I665" s="40" t="str">
        <x:f>IF(AND(ISNUMBER(H665),ISNUMBER(C665)),H665-C665,"")</x:f>
      </x:c>
      <x:c r="J665" s="2" t="str">
        <x:v>%</x:v>
      </x:c>
      <x:c r="K665" s="2" t="str">
        <x:v>Nova</x:v>
      </x:c>
      <x:c r="L665" s="28" t="str"/>
      <x:c r="M665" s="20"/>
      <x:c r="N665" s="21"/>
      <x:c r="O665" s="26" t="str">
        <x:v>Qualified conversations actually held / unique booked conversations whose scheduled time has passed. Exclude upcoming appointments. Rebooking the same opportunity is not a second booking. A zero denominator is N/A.</x:v>
      </x:c>
      <x:c r="P665" s="26" t="str">
        <x:v>PDF §10; due-cohort denominator clarified</x:v>
      </x:c>
      <x:c r="Q665" s="2" t="n">
        <x:f>IF(ISNUMBER(H665),1,0)</x:f>
        <x:v>0</x:v>
      </x:c>
    </x:row>
    <x:row r="666" ht="46" customHeight="1">
      <x:c r="A666" s="17" t="n">
        <x:v>46355</x:v>
      </x:c>
      <x:c r="B666" s="2" t="str">
        <x:v>Positive-to-booked conversion</x:v>
      </x:c>
      <x:c r="C666" s="40" t="n">
        <x:v>0.5</x:v>
      </x:c>
      <x:c r="D666" s="2" t="str">
        <x:v>Rate</x:v>
      </x:c>
      <x:c r="E666" s="20"/>
      <x:c r="F666" s="20"/>
      <x:c r="G666" s="20"/>
      <x:c r="H666" s="40" t="str">
        <x:f>IF(D666="Rate",IF(COUNT(F666:G666)&lt;2,"",IF(G666=0,"n.a.",F666/G666)),IF(COUNT(E666)=0,"",E666))</x:f>
      </x:c>
      <x:c r="I666" s="40" t="str">
        <x:f>IF(AND(ISNUMBER(H666),ISNUMBER(C666)),H666-C666,"")</x:f>
      </x:c>
      <x:c r="J666" s="2" t="str">
        <x:v>%</x:v>
      </x:c>
      <x:c r="K666" s="2" t="str">
        <x:v>Nova</x:v>
      </x:c>
      <x:c r="L666" s="28" t="str"/>
      <x:c r="M666" s="20"/>
      <x:c r="N666" s="21"/>
      <x:c r="O666" s="26" t="str">
        <x:v>Unique email-positive opportunities booked / unique email-positive opportunities in the same reviewed cohort. Use a documented follow-up window. This differs from the all-channel 40-inquiry/20-booking planning assumption. A zero denominator is N/A.</x:v>
      </x:c>
      <x:c r="P666" s="26" t="str">
        <x:v>PDF §9</x:v>
      </x:c>
      <x:c r="Q666" s="2" t="n">
        <x:f>IF(ISNUMBER(H666),1,0)</x:f>
        <x:v>0</x:v>
      </x:c>
    </x:row>
    <x:row r="667" ht="46" customHeight="1">
      <x:c r="A667" s="17" t="n">
        <x:v>46355</x:v>
      </x:c>
      <x:c r="B667" s="2" t="str">
        <x:v>Existing-account referral asks</x:v>
      </x:c>
      <x:c r="C667" s="2" t="n">
        <x:v>41</x:v>
      </x:c>
      <x:c r="D667" s="2" t="str">
        <x:v>Cumulative total</x:v>
      </x:c>
      <x:c r="E667" s="20"/>
      <x:c r="F667" s="20"/>
      <x:c r="G667" s="20"/>
      <x:c r="H667" s="2" t="str">
        <x:f>IF(D667="Rate",IF(COUNT(F667:G667)&lt;2,"",IF(G667=0,"n.a.",F667/G667)),IF(COUNT(E667)=0,"",E667))</x:f>
      </x:c>
      <x:c r="I667" s="2" t="str">
        <x:f>IF(AND(ISNUMBER(H667),ISNUMBER(C667)),H667-C667,"")</x:f>
      </x:c>
      <x:c r="J667" s="2" t="str">
        <x:v>accounts asked</x:v>
      </x:c>
      <x:c r="K667" s="2" t="str">
        <x:v>Maseeha</x:v>
      </x:c>
      <x:c r="L667" s="28" t="str"/>
      <x:c r="M667" s="20"/>
      <x:c r="N667" s="21"/>
      <x:c r="O667" s="26" t="str">
        <x:v>Ask 25 unique A/B accounts (5 A and 20 B) by November 13; proposed pace 35 total by November 20; complete the remaining C accounts to reach 41 total by November 25. One introduction is the ask; asks and received intros are separate counts.</x:v>
      </x:c>
      <x:c r="P667" s="26" t="str">
        <x:v>PDF §16 supplies 25 A/B byNov 14 and 16 C byNov 25; Friday deadline and 35-byNov 20 pace are proposed scheduling allocations.</x:v>
      </x:c>
      <x:c r="Q667" s="2" t="n">
        <x:f>IF(ISNUMBER(H667),1,0)</x:f>
        <x:v>0</x:v>
      </x:c>
    </x:row>
    <x:row r="668" ht="46" customHeight="1">
      <x:c r="A668" s="17" t="n">
        <x:v>46355</x:v>
      </x:c>
      <x:c r="B668" s="2" t="str">
        <x:v>Approved SOPs</x:v>
      </x:c>
      <x:c r="C668" s="2"/>
      <x:c r="D668" s="2" t="str">
        <x:v>Cumulative total</x:v>
      </x:c>
      <x:c r="E668" s="20"/>
      <x:c r="F668" s="20"/>
      <x:c r="G668" s="20"/>
      <x:c r="H668" s="2" t="str">
        <x:f>IF(D668="Rate",IF(COUNT(F668:G668)&lt;2,"",IF(G668=0,"n.a.",F668/G668)),IF(COUNT(E668)=0,"",E668))</x:f>
      </x:c>
      <x:c r="I668" s="2" t="str">
        <x:f>IF(AND(ISNUMBER(H668),ISNUMBER(C668)),H668-C668,"")</x:f>
      </x:c>
      <x:c r="J668" s="2" t="str">
        <x:v>SOPs</x:v>
      </x:c>
      <x:c r="K668" s="2" t="str">
        <x:v>Wyline</x:v>
      </x:c>
      <x:c r="L668" s="28" t="str"/>
      <x:c r="M668" s="20"/>
      <x:c r="N668" s="21"/>
      <x:c r="O668" s="26" t="str">
        <x:v>10 core SOPs plus ADS-01 and SOC-01 additions; approved version and independent-run evidence required.</x:v>
      </x:c>
      <x:c r="P668" s="26" t="str">
        <x:v>PDF §8 with §§17 b–d additions</x:v>
      </x:c>
      <x:c r="Q668" s="2" t="n">
        <x:f>IF(ISNUMBER(H668),1,0)</x:f>
        <x:v>0</x:v>
      </x:c>
    </x:row>
    <x:row r="669" ht="46" customHeight="1">
      <x:c r="A669" s="17" t="n">
        <x:v>46355</x:v>
      </x:c>
      <x:c r="B669" s="2" t="str">
        <x:v>Accepted AI agents</x:v>
      </x:c>
      <x:c r="C669" s="2"/>
      <x:c r="D669" s="2" t="str">
        <x:v>Cumulative total</x:v>
      </x:c>
      <x:c r="E669" s="20"/>
      <x:c r="F669" s="20"/>
      <x:c r="G669" s="20"/>
      <x:c r="H669" s="2" t="str">
        <x:f>IF(D669="Rate",IF(COUNT(F669:G669)&lt;2,"",IF(G669=0,"n.a.",F669/G669)),IF(COUNT(E669)=0,"",E669))</x:f>
      </x:c>
      <x:c r="I669" s="2" t="str">
        <x:f>IF(AND(ISNUMBER(H669),ISNUMBER(C669)),H669-C669,"")</x:f>
      </x:c>
      <x:c r="J669" s="2" t="str">
        <x:v>agents</x:v>
      </x:c>
      <x:c r="K669" s="2" t="str">
        <x:v>Emman</x:v>
      </x:c>
      <x:c r="L669" s="28" t="str"/>
      <x:c r="M669" s="20"/>
      <x:c r="N669" s="21"/>
      <x:c r="O669" s="26" t="str">
        <x:v>Scout, Writer, Inbox, Phone Assist, LinkedIn Assist, Follow-up, Scoreboard and Client Reporter; acceptance evidence required.</x:v>
      </x:c>
      <x:c r="P669" s="26" t="str">
        <x:v>PDF §7</x:v>
      </x:c>
      <x:c r="Q669" s="2" t="n">
        <x:f>IF(ISNUMBER(H669),1,0)</x:f>
        <x:v>0</x:v>
      </x:c>
    </x:row>
    <x:row r="670" ht="46" customHeight="1">
      <x:c r="A670" s="17" t="n">
        <x:v>46356</x:v>
      </x:c>
      <x:c r="B670" s="2" t="str">
        <x:v>Qualified inquiries</x:v>
      </x:c>
      <x:c r="C670" s="2" t="n">
        <x:v>18</x:v>
      </x:c>
      <x:c r="D670" s="2" t="str">
        <x:v>Cumulative total</x:v>
      </x:c>
      <x:c r="E670" s="20"/>
      <x:c r="F670" s="20"/>
      <x:c r="G670" s="20"/>
      <x:c r="H670" s="2" t="str">
        <x:f>IF(D670="Rate",IF(COUNT(F670:G670)&lt;2,"",IF(G670=0,"n.a.",F670/G670)),IF(COUNT(E670)=0,"",E670))</x:f>
      </x:c>
      <x:c r="I670" s="2" t="str">
        <x:f>IF(AND(ISNUMBER(H670),ISNUMBER(C670)),H670-C670,"")</x:f>
      </x:c>
      <x:c r="J670" s="2" t="str">
        <x:v>inquiries</x:v>
      </x:c>
      <x:c r="K670" s="2" t="str">
        <x:v>Nova</x:v>
      </x:c>
      <x:c r="L670" s="28" t="str"/>
      <x:c r="M670" s="20"/>
      <x:c r="N670" s="21"/>
      <x:c r="O670" s="26" t="str">
        <x:v>Unique ICP-matched practices that express relevant interest, need or timing; Nova records practice type, decision-maker access, case volume, service need and readiness within 30–60 days. Raw records, opens and connection accepts do not qualify.</x:v>
      </x:c>
      <x:c r="P670" s="26" t="str">
        <x:v>Original proposal pages 2 and 4 define qualification; 40 by Dec 16 and intermediate pace are newly proposed recovery targets.</x:v>
      </x:c>
      <x:c r="Q670" s="2" t="n">
        <x:f>IF(ISNUMBER(H670),1,0)</x:f>
        <x:v>0</x:v>
      </x:c>
    </x:row>
    <x:row r="671" ht="46" customHeight="1">
      <x:c r="A671" s="17" t="n">
        <x:v>46356</x:v>
      </x:c>
      <x:c r="B671" s="2" t="str">
        <x:v>Qualified conversations booked</x:v>
      </x:c>
      <x:c r="C671" s="2" t="n">
        <x:v>9</x:v>
      </x:c>
      <x:c r="D671" s="2" t="str">
        <x:v>Cumulative total</x:v>
      </x:c>
      <x:c r="E671" s="20"/>
      <x:c r="F671" s="20"/>
      <x:c r="G671" s="20"/>
      <x:c r="H671" s="2" t="str">
        <x:f>IF(D671="Rate",IF(COUNT(F671:G671)&lt;2,"",IF(G671=0,"n.a.",F671/G671)),IF(COUNT(E671)=0,"",E671))</x:f>
      </x:c>
      <x:c r="I671" s="2" t="str">
        <x:f>IF(AND(ISNUMBER(H671),ISNUMBER(C671)),H671-C671,"")</x:f>
      </x:c>
      <x:c r="J671" s="2" t="str">
        <x:v>bookings</x:v>
      </x:c>
      <x:c r="K671" s="2" t="str">
        <x:v>Nova</x:v>
      </x:c>
      <x:c r="L671" s="28" t="str"/>
      <x:c r="M671" s="20"/>
      <x:c r="N671" s="21"/>
      <x:c r="O671" s="26" t="str">
        <x:v>Unique qualified calls/visits booked with Nic; rebooking same opportunity is not a new booking.</x:v>
      </x:c>
      <x:c r="P671" s="26" t="str">
        <x:v>PDF §10; final deadline advanced to user Dec 16</x:v>
      </x:c>
      <x:c r="Q671" s="2" t="n">
        <x:f>IF(ISNUMBER(H671),1,0)</x:f>
        <x:v>0</x:v>
      </x:c>
    </x:row>
    <x:row r="672" ht="46" customHeight="1">
      <x:c r="A672" s="17" t="n">
        <x:v>46356</x:v>
      </x:c>
      <x:c r="B672" s="2" t="str">
        <x:v>Qualified conversations held</x:v>
      </x:c>
      <x:c r="C672" s="2" t="n">
        <x:v>6</x:v>
      </x:c>
      <x:c r="D672" s="2" t="str">
        <x:v>Cumulative total</x:v>
      </x:c>
      <x:c r="E672" s="20"/>
      <x:c r="F672" s="20"/>
      <x:c r="G672" s="20"/>
      <x:c r="H672" s="2" t="str">
        <x:f>IF(D672="Rate",IF(COUNT(F672:G672)&lt;2,"",IF(G672=0,"n.a.",F672/G672)),IF(COUNT(E672)=0,"",E672))</x:f>
      </x:c>
      <x:c r="I672" s="2" t="str">
        <x:f>IF(AND(ISNUMBER(H672),ISNUMBER(C672)),H672-C672,"")</x:f>
      </x:c>
      <x:c r="J672" s="2" t="str">
        <x:v>held</x:v>
      </x:c>
      <x:c r="K672" s="2" t="str">
        <x:v>Nova</x:v>
      </x:c>
      <x:c r="L672" s="28" t="str"/>
      <x:c r="M672" s="20"/>
      <x:c r="N672" s="21"/>
      <x:c r="O672" s="26" t="str">
        <x:v>Completed qualified calls/visits; 6 and 15 are integer planning proxies for 70% of 8 and 75% of 20.</x:v>
      </x:c>
      <x:c r="P672" s="26" t="str">
        <x:v>Derived from source held-rate targets</x:v>
      </x:c>
      <x:c r="Q672" s="2" t="n">
        <x:f>IF(ISNUMBER(H672),1,0)</x:f>
        <x:v>0</x:v>
      </x:c>
    </x:row>
    <x:row r="673" ht="46" customHeight="1">
      <x:c r="A673" s="17" t="n">
        <x:v>46356</x:v>
      </x:c>
      <x:c r="B673" s="2" t="str">
        <x:v>Trial cases received by DSI</x:v>
      </x:c>
      <x:c r="C673" s="2" t="n">
        <x:v>2</x:v>
      </x:c>
      <x:c r="D673" s="2" t="str">
        <x:v>Cumulative total</x:v>
      </x:c>
      <x:c r="E673" s="20"/>
      <x:c r="F673" s="20"/>
      <x:c r="G673" s="20"/>
      <x:c r="H673" s="2" t="str">
        <x:f>IF(D673="Rate",IF(COUNT(F673:G673)&lt;2,"",IF(G673=0,"n.a.",F673/G673)),IF(COUNT(E673)=0,"",E673))</x:f>
      </x:c>
      <x:c r="I673" s="2" t="str">
        <x:f>IF(AND(ISNUMBER(H673),ISNUMBER(C673)),H673-C673,"")</x:f>
      </x:c>
      <x:c r="J673" s="2" t="str">
        <x:v>trials</x:v>
      </x:c>
      <x:c r="K673" s="2" t="str">
        <x:v>Maseeha</x:v>
      </x:c>
      <x:c r="L673" s="28" t="str"/>
      <x:c r="M673" s="20"/>
      <x:c r="N673" s="21"/>
      <x:c r="O673" s="26" t="str">
        <x:v>Practice’s first trial case received by DSI, not merely promised or shipped; subject to Maseeha capacity.</x:v>
      </x:c>
      <x:c r="P673" s="26" t="str">
        <x:v>PDF §10; final deadline advanced to user Dec 16</x:v>
      </x:c>
      <x:c r="Q673" s="2" t="n">
        <x:f>IF(ISNUMBER(H673),1,0)</x:f>
        <x:v>0</x:v>
      </x:c>
    </x:row>
    <x:row r="674" ht="46" customHeight="1">
      <x:c r="A674" s="17" t="n">
        <x:v>46356</x:v>
      </x:c>
      <x:c r="B674" s="2" t="str">
        <x:v>Recurring accounts signed</x:v>
      </x:c>
      <x:c r="C674" s="2"/>
      <x:c r="D674" s="2" t="str">
        <x:v>Cumulative total</x:v>
      </x:c>
      <x:c r="E674" s="20"/>
      <x:c r="F674" s="20"/>
      <x:c r="G674" s="20"/>
      <x:c r="H674" s="2" t="str">
        <x:f>IF(D674="Rate",IF(COUNT(F674:G674)&lt;2,"",IF(G674=0,"n.a.",F674/G674)),IF(COUNT(E674)=0,"",E674))</x:f>
      </x:c>
      <x:c r="I674" s="2" t="str">
        <x:f>IF(AND(ISNUMBER(H674),ISNUMBER(C674)),H674-C674,"")</x:f>
      </x:c>
      <x:c r="J674" s="2" t="str">
        <x:v>accounts</x:v>
      </x:c>
      <x:c r="K674" s="2" t="str">
        <x:v>Nic</x:v>
      </x:c>
      <x:c r="L674" s="28" t="str"/>
      <x:c r="M674" s="20"/>
      <x:c r="N674" s="21"/>
      <x:c r="O674" s="26" t="str">
        <x:v>Plan signed following Day-30 review; only mature trial cohorts eligible. 1–3 is a conditional range.</x:v>
      </x:c>
      <x:c r="P674" s="26" t="str">
        <x:v>PDF §10</x:v>
      </x:c>
      <x:c r="Q674" s="2" t="n">
        <x:f>IF(ISNUMBER(H674),1,0)</x:f>
        <x:v>0</x:v>
      </x:c>
    </x:row>
    <x:row r="675" ht="46" customHeight="1">
      <x:c r="A675" s="17" t="n">
        <x:v>46356</x:v>
      </x:c>
      <x:c r="B675" s="2" t="str">
        <x:v>Referral-sourced bookings</x:v>
      </x:c>
      <x:c r="C675" s="2" t="n">
        <x:v>4</x:v>
      </x:c>
      <x:c r="D675" s="2" t="str">
        <x:v>Cumulative total</x:v>
      </x:c>
      <x:c r="E675" s="20"/>
      <x:c r="F675" s="20"/>
      <x:c r="G675" s="20"/>
      <x:c r="H675" s="2" t="str">
        <x:f>IF(D675="Rate",IF(COUNT(F675:G675)&lt;2,"",IF(G675=0,"n.a.",F675/G675)),IF(COUNT(E675)=0,"",E675))</x:f>
      </x:c>
      <x:c r="I675" s="2" t="str">
        <x:f>IF(AND(ISNUMBER(H675),ISNUMBER(C675)),H675-C675,"")</x:f>
      </x:c>
      <x:c r="J675" s="2" t="str">
        <x:v>bookings</x:v>
      </x:c>
      <x:c r="K675" s="2" t="str">
        <x:v>Nova</x:v>
      </x:c>
      <x:c r="L675" s="28" t="str"/>
      <x:c r="M675" s="20"/>
      <x:c r="N675" s="21"/>
      <x:c r="O675" s="26" t="str">
        <x:v>Subset of booked total with primary Source=Referral; never added on top of all-channel bookings.</x:v>
      </x:c>
      <x:c r="P675" s="26" t="str">
        <x:v>PDF §§10, 16</x:v>
      </x:c>
      <x:c r="Q675" s="2" t="n">
        <x:f>IF(ISNUMBER(H675),1,0)</x:f>
        <x:v>0</x:v>
      </x:c>
    </x:row>
    <x:row r="676" ht="46" customHeight="1">
      <x:c r="A676" s="17" t="n">
        <x:v>46356</x:v>
      </x:c>
      <x:c r="B676" s="2" t="str">
        <x:v>LinkedIn DM-sourced bookings</x:v>
      </x:c>
      <x:c r="C676" s="2" t="n">
        <x:v>3</x:v>
      </x:c>
      <x:c r="D676" s="2" t="str">
        <x:v>Cumulative total</x:v>
      </x:c>
      <x:c r="E676" s="20"/>
      <x:c r="F676" s="20"/>
      <x:c r="G676" s="20"/>
      <x:c r="H676" s="2" t="str">
        <x:f>IF(D676="Rate",IF(COUNT(F676:G676)&lt;2,"",IF(G676=0,"n.a.",F676/G676)),IF(COUNT(E676)=0,"",E676))</x:f>
      </x:c>
      <x:c r="I676" s="2" t="str">
        <x:f>IF(AND(ISNUMBER(H676),ISNUMBER(C676)),H676-C676,"")</x:f>
      </x:c>
      <x:c r="J676" s="2" t="str">
        <x:v>bookings</x:v>
      </x:c>
      <x:c r="K676" s="2" t="str">
        <x:v>Dexter</x:v>
      </x:c>
      <x:c r="L676" s="28" t="str"/>
      <x:c r="M676" s="20"/>
      <x:c r="N676" s="21"/>
      <x:c r="O676" s="26" t="str">
        <x:v>Subset of booked total with primary Source=LinkedIn DM; assists tracked separately.</x:v>
      </x:c>
      <x:c r="P676" s="26" t="str">
        <x:v>PDF §§10, 17 a</x:v>
      </x:c>
      <x:c r="Q676" s="2" t="n">
        <x:f>IF(ISNUMBER(H676),1,0)</x:f>
        <x:v>0</x:v>
      </x:c>
    </x:row>
    <x:row r="677" ht="46" customHeight="1">
      <x:c r="A677" s="17" t="n">
        <x:v>46356</x:v>
      </x:c>
      <x:c r="B677" s="2" t="str">
        <x:v>Verified contacts ready</x:v>
      </x:c>
      <x:c r="C677" s="2" t="n">
        <x:v>530</x:v>
      </x:c>
      <x:c r="D677" s="2" t="str">
        <x:v>Cumulative total</x:v>
      </x:c>
      <x:c r="E677" s="20"/>
      <x:c r="F677" s="20"/>
      <x:c r="G677" s="20"/>
      <x:c r="H677" s="2" t="str">
        <x:f>IF(D677="Rate",IF(COUNT(F677:G677)&lt;2,"",IF(G677=0,"n.a.",F677/G677)),IF(COUNT(E677)=0,"",E677))</x:f>
      </x:c>
      <x:c r="I677" s="2" t="str">
        <x:f>IF(AND(ISNUMBER(H677),ISNUMBER(C677)),H677-C677,"")</x:f>
      </x:c>
      <x:c r="J677" s="2" t="str">
        <x:v>contacts</x:v>
      </x:c>
      <x:c r="K677" s="2" t="str">
        <x:v>Joey</x:v>
      </x:c>
      <x:c r="L677" s="28" t="str"/>
      <x:c r="M677" s="20"/>
      <x:c r="N677" s="21"/>
      <x:c r="O677" s="26" t="str">
        <x:v>Unique contacts passing Scout and loaded in CQL; count once per contact.</x:v>
      </x:c>
      <x:c r="P677" s="26" t="str">
        <x:v>PDF §§10, 14; 750 due Dec 12 moved to Fri Dec 11</x:v>
      </x:c>
      <x:c r="Q677" s="2" t="n">
        <x:f>IF(ISNUMBER(H677),1,0)</x:f>
        <x:v>0</x:v>
      </x:c>
    </x:row>
    <x:row r="678" ht="46" customHeight="1">
      <x:c r="A678" s="17" t="n">
        <x:v>46356</x:v>
      </x:c>
      <x:c r="B678" s="2" t="str">
        <x:v>Permission-based referral introductions</x:v>
      </x:c>
      <x:c r="C678" s="2" t="n">
        <x:v>8</x:v>
      </x:c>
      <x:c r="D678" s="2" t="str">
        <x:v>Cumulative total</x:v>
      </x:c>
      <x:c r="E678" s="20"/>
      <x:c r="F678" s="20"/>
      <x:c r="G678" s="20"/>
      <x:c r="H678" s="2" t="str">
        <x:f>IF(D678="Rate",IF(COUNT(F678:G678)&lt;2,"",IF(G678=0,"n.a.",F678/G678)),IF(COUNT(E678)=0,"",E678))</x:f>
      </x:c>
      <x:c r="I678" s="2" t="str">
        <x:f>IF(AND(ISNUMBER(H678),ISNUMBER(C678)),H678-C678,"")</x:f>
      </x:c>
      <x:c r="J678" s="2" t="str">
        <x:v>introductions</x:v>
      </x:c>
      <x:c r="K678" s="2" t="str">
        <x:v>Maseeha</x:v>
      </x:c>
      <x:c r="L678" s="28" t="str"/>
      <x:c r="M678" s="20"/>
      <x:c r="N678" s="21"/>
      <x:c r="O678" s="26" t="str">
        <x:v>Unique introductions with consent and referrer recorded, verified by Maseeha within 2 business days.</x:v>
      </x:c>
      <x:c r="P678" s="26" t="str">
        <x:v>PDF §§10, 16</x:v>
      </x:c>
      <x:c r="Q678" s="2" t="n">
        <x:f>IF(ISNUMBER(H678),1,0)</x:f>
        <x:v>0</x:v>
      </x:c>
    </x:row>
    <x:row r="679" ht="46" customHeight="1">
      <x:c r="A679" s="17" t="n">
        <x:v>46356</x:v>
      </x:c>
      <x:c r="B679" s="2" t="str">
        <x:v>Human reply rate</x:v>
      </x:c>
      <x:c r="C679" s="40" t="n">
        <x:v>0.03</x:v>
      </x:c>
      <x:c r="D679" s="2" t="str">
        <x:v>Rate</x:v>
      </x:c>
      <x:c r="E679" s="20"/>
      <x:c r="F679" s="20"/>
      <x:c r="G679" s="20"/>
      <x:c r="H679" s="40" t="str">
        <x:f>IF(D679="Rate",IF(COUNT(F679:G679)&lt;2,"",IF(G679=0,"n.a.",F679/G679)),IF(COUNT(E679)=0,"",E679))</x:f>
      </x:c>
      <x:c r="I679" s="40" t="str">
        <x:f>IF(AND(ISNUMBER(H679),ISNUMBER(C679)),H679-C679,"")</x:f>
      </x:c>
      <x:c r="J679" s="2" t="str">
        <x:v>%</x:v>
      </x:c>
      <x:c r="K679" s="2" t="str">
        <x:v>Kenneth</x:v>
      </x:c>
      <x:c r="L679" s="28" t="str"/>
      <x:c r="M679" s="20"/>
      <x:c r="N679" s="21"/>
      <x:c r="O679" s="26" t="str">
        <x:v>Unique emailed contacts that give a qualifying human reply / unique contacts emailed in the same send cohort. Exclude OOO, auto-replies, bounces and unsubscribe-only replies. Deduplicate contacts across sequence steps; zero denominator is N/A.</x:v>
      </x:c>
      <x:c r="P679" s="26" t="str">
        <x:v>PDF §10</x:v>
      </x:c>
      <x:c r="Q679" s="2" t="n">
        <x:f>IF(ISNUMBER(H679),1,0)</x:f>
        <x:v>0</x:v>
      </x:c>
    </x:row>
    <x:row r="680" ht="46" customHeight="1">
      <x:c r="A680" s="17" t="n">
        <x:v>46356</x:v>
      </x:c>
      <x:c r="B680" s="2" t="str">
        <x:v>Positive reply rate</x:v>
      </x:c>
      <x:c r="C680" s="40" t="n">
        <x:v>0.015</x:v>
      </x:c>
      <x:c r="D680" s="2" t="str">
        <x:v>Rate</x:v>
      </x:c>
      <x:c r="E680" s="20"/>
      <x:c r="F680" s="20"/>
      <x:c r="G680" s="20"/>
      <x:c r="H680" s="40" t="str">
        <x:f>IF(D680="Rate",IF(COUNT(F680:G680)&lt;2,"",IF(G680=0,"n.a.",F680/G680)),IF(COUNT(E680)=0,"",E680))</x:f>
      </x:c>
      <x:c r="I680" s="40" t="str">
        <x:f>IF(AND(ISNUMBER(H680),ISNUMBER(C680)),H680-C680,"")</x:f>
      </x:c>
      <x:c r="J680" s="2" t="str">
        <x:v>%</x:v>
      </x:c>
      <x:c r="K680" s="2" t="str">
        <x:v>Kenneth</x:v>
      </x:c>
      <x:c r="L680" s="28" t="str"/>
      <x:c r="M680" s="20"/>
      <x:c r="N680" s="21"/>
      <x:c r="O680" s="26" t="str">
        <x:v>Unique emailed contacts classified interested or relevant question / unique contacts emailed in the same send cohort. Deduplicate across sequence steps; zero denominator is N/A. Keep this email rate separate from all-channel qualified inquiries.</x:v>
      </x:c>
      <x:c r="P680" s="26" t="str">
        <x:v>PDF §10</x:v>
      </x:c>
      <x:c r="Q680" s="2" t="n">
        <x:f>IF(ISNUMBER(H680),1,0)</x:f>
        <x:v>0</x:v>
      </x:c>
    </x:row>
    <x:row r="681" ht="46" customHeight="1">
      <x:c r="A681" s="17" t="n">
        <x:v>46356</x:v>
      </x:c>
      <x:c r="B681" s="2" t="str">
        <x:v>Replies answered within 15 minutes</x:v>
      </x:c>
      <x:c r="C681" s="40" t="n">
        <x:v>1</x:v>
      </x:c>
      <x:c r="D681" s="2" t="str">
        <x:v>Rate</x:v>
      </x:c>
      <x:c r="E681" s="20"/>
      <x:c r="F681" s="20"/>
      <x:c r="G681" s="20"/>
      <x:c r="H681" s="40" t="str">
        <x:f>IF(D681="Rate",IF(COUNT(F681:G681)&lt;2,"",IF(G681=0,"n.a.",F681/G681)),IF(COUNT(E681)=0,"",E681))</x:f>
      </x:c>
      <x:c r="I681" s="40" t="str">
        <x:f>IF(AND(ISNUMBER(H681),ISNUMBER(C681)),H681-C681,"")</x:f>
      </x:c>
      <x:c r="J681" s="2" t="str">
        <x:v>%</x:v>
      </x:c>
      <x:c r="K681" s="2" t="str">
        <x:v>Nova</x:v>
      </x:c>
      <x:c r="L681" s="28" t="str"/>
      <x:c r="M681" s="20"/>
      <x:c r="N681" s="21"/>
      <x:c r="O681"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81" s="26" t="str">
        <x:v>PDF §9; clock convention clarified for tracker</x:v>
      </x:c>
      <x:c r="Q681" s="2" t="n">
        <x:f>IF(ISNUMBER(H681),1,0)</x:f>
        <x:v>0</x:v>
      </x:c>
    </x:row>
    <x:row r="682" ht="46" customHeight="1">
      <x:c r="A682" s="17" t="n">
        <x:v>46356</x:v>
      </x:c>
      <x:c r="B682" s="2" t="str">
        <x:v>Held rate</x:v>
      </x:c>
      <x:c r="C682" s="40" t="n">
        <x:v>0.75</x:v>
      </x:c>
      <x:c r="D682" s="2" t="str">
        <x:v>Rate</x:v>
      </x:c>
      <x:c r="E682" s="20"/>
      <x:c r="F682" s="20"/>
      <x:c r="G682" s="20"/>
      <x:c r="H682" s="40" t="str">
        <x:f>IF(D682="Rate",IF(COUNT(F682:G682)&lt;2,"",IF(G682=0,"n.a.",F682/G682)),IF(COUNT(E682)=0,"",E682))</x:f>
      </x:c>
      <x:c r="I682" s="40" t="str">
        <x:f>IF(AND(ISNUMBER(H682),ISNUMBER(C682)),H682-C682,"")</x:f>
      </x:c>
      <x:c r="J682" s="2" t="str">
        <x:v>%</x:v>
      </x:c>
      <x:c r="K682" s="2" t="str">
        <x:v>Nova</x:v>
      </x:c>
      <x:c r="L682" s="28" t="str"/>
      <x:c r="M682" s="20"/>
      <x:c r="N682" s="21"/>
      <x:c r="O682" s="26" t="str">
        <x:v>Qualified conversations actually held / unique booked conversations whose scheduled time has passed. Exclude upcoming appointments. Rebooking the same opportunity is not a second booking. A zero denominator is N/A.</x:v>
      </x:c>
      <x:c r="P682" s="26" t="str">
        <x:v>PDF §10; due-cohort denominator clarified</x:v>
      </x:c>
      <x:c r="Q682" s="2" t="n">
        <x:f>IF(ISNUMBER(H682),1,0)</x:f>
        <x:v>0</x:v>
      </x:c>
    </x:row>
    <x:row r="683" ht="46" customHeight="1">
      <x:c r="A683" s="17" t="n">
        <x:v>46356</x:v>
      </x:c>
      <x:c r="B683" s="2" t="str">
        <x:v>Positive-to-booked conversion</x:v>
      </x:c>
      <x:c r="C683" s="40" t="n">
        <x:v>0.5</x:v>
      </x:c>
      <x:c r="D683" s="2" t="str">
        <x:v>Rate</x:v>
      </x:c>
      <x:c r="E683" s="20"/>
      <x:c r="F683" s="20"/>
      <x:c r="G683" s="20"/>
      <x:c r="H683" s="40" t="str">
        <x:f>IF(D683="Rate",IF(COUNT(F683:G683)&lt;2,"",IF(G683=0,"n.a.",F683/G683)),IF(COUNT(E683)=0,"",E683))</x:f>
      </x:c>
      <x:c r="I683" s="40" t="str">
        <x:f>IF(AND(ISNUMBER(H683),ISNUMBER(C683)),H683-C683,"")</x:f>
      </x:c>
      <x:c r="J683" s="2" t="str">
        <x:v>%</x:v>
      </x:c>
      <x:c r="K683" s="2" t="str">
        <x:v>Nova</x:v>
      </x:c>
      <x:c r="L683" s="28" t="str"/>
      <x:c r="M683" s="20"/>
      <x:c r="N683" s="21"/>
      <x:c r="O683" s="26" t="str">
        <x:v>Unique email-positive opportunities booked / unique email-positive opportunities in the same reviewed cohort. Use a documented follow-up window. This differs from the all-channel 40-inquiry/20-booking planning assumption. A zero denominator is N/A.</x:v>
      </x:c>
      <x:c r="P683" s="26" t="str">
        <x:v>PDF §9</x:v>
      </x:c>
      <x:c r="Q683" s="2" t="n">
        <x:f>IF(ISNUMBER(H683),1,0)</x:f>
        <x:v>0</x:v>
      </x:c>
    </x:row>
    <x:row r="684" ht="46" customHeight="1">
      <x:c r="A684" s="17" t="n">
        <x:v>46356</x:v>
      </x:c>
      <x:c r="B684" s="2" t="str">
        <x:v>Existing-account referral asks</x:v>
      </x:c>
      <x:c r="C684" s="2" t="n">
        <x:v>41</x:v>
      </x:c>
      <x:c r="D684" s="2" t="str">
        <x:v>Cumulative total</x:v>
      </x:c>
      <x:c r="E684" s="20"/>
      <x:c r="F684" s="20"/>
      <x:c r="G684" s="20"/>
      <x:c r="H684" s="2" t="str">
        <x:f>IF(D684="Rate",IF(COUNT(F684:G684)&lt;2,"",IF(G684=0,"n.a.",F684/G684)),IF(COUNT(E684)=0,"",E684))</x:f>
      </x:c>
      <x:c r="I684" s="2" t="str">
        <x:f>IF(AND(ISNUMBER(H684),ISNUMBER(C684)),H684-C684,"")</x:f>
      </x:c>
      <x:c r="J684" s="2" t="str">
        <x:v>accounts asked</x:v>
      </x:c>
      <x:c r="K684" s="2" t="str">
        <x:v>Maseeha</x:v>
      </x:c>
      <x:c r="L684" s="28" t="str"/>
      <x:c r="M684" s="20"/>
      <x:c r="N684" s="21"/>
      <x:c r="O684" s="26" t="str">
        <x:v>Ask 25 unique A/B accounts (5 A and 20 B) by November 13; proposed pace 35 total by November 20; complete the remaining C accounts to reach 41 total by November 25. One introduction is the ask; asks and received intros are separate counts.</x:v>
      </x:c>
      <x:c r="P684" s="26" t="str">
        <x:v>PDF §16 supplies 25 A/B byNov 14 and 16 C byNov 25; Friday deadline and 35-byNov 20 pace are proposed scheduling allocations.</x:v>
      </x:c>
      <x:c r="Q684" s="2" t="n">
        <x:f>IF(ISNUMBER(H684),1,0)</x:f>
        <x:v>0</x:v>
      </x:c>
    </x:row>
    <x:row r="685" ht="46" customHeight="1">
      <x:c r="A685" s="17" t="n">
        <x:v>46356</x:v>
      </x:c>
      <x:c r="B685" s="2" t="str">
        <x:v>Approved SOPs</x:v>
      </x:c>
      <x:c r="C685" s="2"/>
      <x:c r="D685" s="2" t="str">
        <x:v>Cumulative total</x:v>
      </x:c>
      <x:c r="E685" s="20"/>
      <x:c r="F685" s="20"/>
      <x:c r="G685" s="20"/>
      <x:c r="H685" s="2" t="str">
        <x:f>IF(D685="Rate",IF(COUNT(F685:G685)&lt;2,"",IF(G685=0,"n.a.",F685/G685)),IF(COUNT(E685)=0,"",E685))</x:f>
      </x:c>
      <x:c r="I685" s="2" t="str">
        <x:f>IF(AND(ISNUMBER(H685),ISNUMBER(C685)),H685-C685,"")</x:f>
      </x:c>
      <x:c r="J685" s="2" t="str">
        <x:v>SOPs</x:v>
      </x:c>
      <x:c r="K685" s="2" t="str">
        <x:v>Wyline</x:v>
      </x:c>
      <x:c r="L685" s="28" t="str"/>
      <x:c r="M685" s="20"/>
      <x:c r="N685" s="21"/>
      <x:c r="O685" s="26" t="str">
        <x:v>10 core SOPs plus ADS-01 and SOC-01 additions; approved version and independent-run evidence required.</x:v>
      </x:c>
      <x:c r="P685" s="26" t="str">
        <x:v>PDF §8 with §§17 b–d additions</x:v>
      </x:c>
      <x:c r="Q685" s="2" t="n">
        <x:f>IF(ISNUMBER(H685),1,0)</x:f>
        <x:v>0</x:v>
      </x:c>
    </x:row>
    <x:row r="686" ht="46" customHeight="1">
      <x:c r="A686" s="17" t="n">
        <x:v>46356</x:v>
      </x:c>
      <x:c r="B686" s="2" t="str">
        <x:v>Accepted AI agents</x:v>
      </x:c>
      <x:c r="C686" s="2"/>
      <x:c r="D686" s="2" t="str">
        <x:v>Cumulative total</x:v>
      </x:c>
      <x:c r="E686" s="20"/>
      <x:c r="F686" s="20"/>
      <x:c r="G686" s="20"/>
      <x:c r="H686" s="2" t="str">
        <x:f>IF(D686="Rate",IF(COUNT(F686:G686)&lt;2,"",IF(G686=0,"n.a.",F686/G686)),IF(COUNT(E686)=0,"",E686))</x:f>
      </x:c>
      <x:c r="I686" s="2" t="str">
        <x:f>IF(AND(ISNUMBER(H686),ISNUMBER(C686)),H686-C686,"")</x:f>
      </x:c>
      <x:c r="J686" s="2" t="str">
        <x:v>agents</x:v>
      </x:c>
      <x:c r="K686" s="2" t="str">
        <x:v>Emman</x:v>
      </x:c>
      <x:c r="L686" s="28" t="str"/>
      <x:c r="M686" s="20"/>
      <x:c r="N686" s="21"/>
      <x:c r="O686" s="26" t="str">
        <x:v>Scout, Writer, Inbox, Phone Assist, LinkedIn Assist, Follow-up, Scoreboard and Client Reporter; acceptance evidence required.</x:v>
      </x:c>
      <x:c r="P686" s="26" t="str">
        <x:v>PDF §7</x:v>
      </x:c>
      <x:c r="Q686" s="2" t="n">
        <x:f>IF(ISNUMBER(H686),1,0)</x:f>
        <x:v>0</x:v>
      </x:c>
    </x:row>
    <x:row r="687" ht="46" customHeight="1">
      <x:c r="A687" s="17" t="n">
        <x:v>46357</x:v>
      </x:c>
      <x:c r="B687" s="2" t="str">
        <x:v>Qualified inquiries</x:v>
      </x:c>
      <x:c r="C687" s="2" t="n">
        <x:v>20</x:v>
      </x:c>
      <x:c r="D687" s="2" t="str">
        <x:v>Cumulative total</x:v>
      </x:c>
      <x:c r="E687" s="20"/>
      <x:c r="F687" s="20"/>
      <x:c r="G687" s="20"/>
      <x:c r="H687" s="2" t="str">
        <x:f>IF(D687="Rate",IF(COUNT(F687:G687)&lt;2,"",IF(G687=0,"n.a.",F687/G687)),IF(COUNT(E687)=0,"",E687))</x:f>
      </x:c>
      <x:c r="I687" s="2" t="str">
        <x:f>IF(AND(ISNUMBER(H687),ISNUMBER(C687)),H687-C687,"")</x:f>
      </x:c>
      <x:c r="J687" s="2" t="str">
        <x:v>inquiries</x:v>
      </x:c>
      <x:c r="K687" s="2" t="str">
        <x:v>Nova</x:v>
      </x:c>
      <x:c r="L687" s="28" t="str"/>
      <x:c r="M687" s="20"/>
      <x:c r="N687" s="21"/>
      <x:c r="O687" s="26" t="str">
        <x:v>Unique ICP-matched practices that express relevant interest, need or timing; Nova records practice type, decision-maker access, case volume, service need and readiness within 30–60 days. Raw records, opens and connection accepts do not qualify.</x:v>
      </x:c>
      <x:c r="P687" s="26" t="str">
        <x:v>Original proposal pages 2 and 4 define qualification; 40 by Dec 16 and intermediate pace are newly proposed recovery targets.</x:v>
      </x:c>
      <x:c r="Q687" s="2" t="n">
        <x:f>IF(ISNUMBER(H687),1,0)</x:f>
        <x:v>0</x:v>
      </x:c>
    </x:row>
    <x:row r="688" ht="46" customHeight="1">
      <x:c r="A688" s="17" t="n">
        <x:v>46357</x:v>
      </x:c>
      <x:c r="B688" s="2" t="str">
        <x:v>Qualified conversations booked</x:v>
      </x:c>
      <x:c r="C688" s="2" t="n">
        <x:v>10</x:v>
      </x:c>
      <x:c r="D688" s="2" t="str">
        <x:v>Cumulative total</x:v>
      </x:c>
      <x:c r="E688" s="20"/>
      <x:c r="F688" s="20"/>
      <x:c r="G688" s="20"/>
      <x:c r="H688" s="2" t="str">
        <x:f>IF(D688="Rate",IF(COUNT(F688:G688)&lt;2,"",IF(G688=0,"n.a.",F688/G688)),IF(COUNT(E688)=0,"",E688))</x:f>
      </x:c>
      <x:c r="I688" s="2" t="str">
        <x:f>IF(AND(ISNUMBER(H688),ISNUMBER(C688)),H688-C688,"")</x:f>
      </x:c>
      <x:c r="J688" s="2" t="str">
        <x:v>bookings</x:v>
      </x:c>
      <x:c r="K688" s="2" t="str">
        <x:v>Nova</x:v>
      </x:c>
      <x:c r="L688" s="28" t="str"/>
      <x:c r="M688" s="20"/>
      <x:c r="N688" s="21"/>
      <x:c r="O688" s="26" t="str">
        <x:v>Unique qualified calls/visits booked with Nic; rebooking same opportunity is not a new booking.</x:v>
      </x:c>
      <x:c r="P688" s="26" t="str">
        <x:v>PDF §10; final deadline advanced to user Dec 16</x:v>
      </x:c>
      <x:c r="Q688" s="2" t="n">
        <x:f>IF(ISNUMBER(H688),1,0)</x:f>
        <x:v>0</x:v>
      </x:c>
    </x:row>
    <x:row r="689" ht="46" customHeight="1">
      <x:c r="A689" s="17" t="n">
        <x:v>46357</x:v>
      </x:c>
      <x:c r="B689" s="2" t="str">
        <x:v>Qualified conversations held</x:v>
      </x:c>
      <x:c r="C689" s="2" t="n">
        <x:v>7</x:v>
      </x:c>
      <x:c r="D689" s="2" t="str">
        <x:v>Cumulative total</x:v>
      </x:c>
      <x:c r="E689" s="20"/>
      <x:c r="F689" s="20"/>
      <x:c r="G689" s="20"/>
      <x:c r="H689" s="2" t="str">
        <x:f>IF(D689="Rate",IF(COUNT(F689:G689)&lt;2,"",IF(G689=0,"n.a.",F689/G689)),IF(COUNT(E689)=0,"",E689))</x:f>
      </x:c>
      <x:c r="I689" s="2" t="str">
        <x:f>IF(AND(ISNUMBER(H689),ISNUMBER(C689)),H689-C689,"")</x:f>
      </x:c>
      <x:c r="J689" s="2" t="str">
        <x:v>held</x:v>
      </x:c>
      <x:c r="K689" s="2" t="str">
        <x:v>Nova</x:v>
      </x:c>
      <x:c r="L689" s="28" t="str"/>
      <x:c r="M689" s="20"/>
      <x:c r="N689" s="21"/>
      <x:c r="O689" s="26" t="str">
        <x:v>Completed qualified calls/visits; 6 and 15 are integer planning proxies for 70% of 8 and 75% of 20.</x:v>
      </x:c>
      <x:c r="P689" s="26" t="str">
        <x:v>Derived from source held-rate targets</x:v>
      </x:c>
      <x:c r="Q689" s="2" t="n">
        <x:f>IF(ISNUMBER(H689),1,0)</x:f>
        <x:v>0</x:v>
      </x:c>
    </x:row>
    <x:row r="690" ht="46" customHeight="1">
      <x:c r="A690" s="17" t="n">
        <x:v>46357</x:v>
      </x:c>
      <x:c r="B690" s="2" t="str">
        <x:v>Trial cases received by DSI</x:v>
      </x:c>
      <x:c r="C690" s="2" t="n">
        <x:v>2</x:v>
      </x:c>
      <x:c r="D690" s="2" t="str">
        <x:v>Cumulative total</x:v>
      </x:c>
      <x:c r="E690" s="20"/>
      <x:c r="F690" s="20"/>
      <x:c r="G690" s="20"/>
      <x:c r="H690" s="2" t="str">
        <x:f>IF(D690="Rate",IF(COUNT(F690:G690)&lt;2,"",IF(G690=0,"n.a.",F690/G690)),IF(COUNT(E690)=0,"",E690))</x:f>
      </x:c>
      <x:c r="I690" s="2" t="str">
        <x:f>IF(AND(ISNUMBER(H690),ISNUMBER(C690)),H690-C690,"")</x:f>
      </x:c>
      <x:c r="J690" s="2" t="str">
        <x:v>trials</x:v>
      </x:c>
      <x:c r="K690" s="2" t="str">
        <x:v>Maseeha</x:v>
      </x:c>
      <x:c r="L690" s="28" t="str"/>
      <x:c r="M690" s="20"/>
      <x:c r="N690" s="21"/>
      <x:c r="O690" s="26" t="str">
        <x:v>Practice’s first trial case received by DSI, not merely promised or shipped; subject to Maseeha capacity.</x:v>
      </x:c>
      <x:c r="P690" s="26" t="str">
        <x:v>PDF §10; final deadline advanced to user Dec 16</x:v>
      </x:c>
      <x:c r="Q690" s="2" t="n">
        <x:f>IF(ISNUMBER(H690),1,0)</x:f>
        <x:v>0</x:v>
      </x:c>
    </x:row>
    <x:row r="691" ht="46" customHeight="1">
      <x:c r="A691" s="17" t="n">
        <x:v>46357</x:v>
      </x:c>
      <x:c r="B691" s="2" t="str">
        <x:v>Recurring accounts signed</x:v>
      </x:c>
      <x:c r="C691" s="2"/>
      <x:c r="D691" s="2" t="str">
        <x:v>Cumulative total</x:v>
      </x:c>
      <x:c r="E691" s="20"/>
      <x:c r="F691" s="20"/>
      <x:c r="G691" s="20"/>
      <x:c r="H691" s="2" t="str">
        <x:f>IF(D691="Rate",IF(COUNT(F691:G691)&lt;2,"",IF(G691=0,"n.a.",F691/G691)),IF(COUNT(E691)=0,"",E691))</x:f>
      </x:c>
      <x:c r="I691" s="2" t="str">
        <x:f>IF(AND(ISNUMBER(H691),ISNUMBER(C691)),H691-C691,"")</x:f>
      </x:c>
      <x:c r="J691" s="2" t="str">
        <x:v>accounts</x:v>
      </x:c>
      <x:c r="K691" s="2" t="str">
        <x:v>Nic</x:v>
      </x:c>
      <x:c r="L691" s="28" t="str"/>
      <x:c r="M691" s="20"/>
      <x:c r="N691" s="21"/>
      <x:c r="O691" s="26" t="str">
        <x:v>Plan signed following Day-30 review; only mature trial cohorts eligible. 1–3 is a conditional range.</x:v>
      </x:c>
      <x:c r="P691" s="26" t="str">
        <x:v>PDF §10</x:v>
      </x:c>
      <x:c r="Q691" s="2" t="n">
        <x:f>IF(ISNUMBER(H691),1,0)</x:f>
        <x:v>0</x:v>
      </x:c>
    </x:row>
    <x:row r="692" ht="46" customHeight="1">
      <x:c r="A692" s="17" t="n">
        <x:v>46357</x:v>
      </x:c>
      <x:c r="B692" s="2" t="str">
        <x:v>Referral-sourced bookings</x:v>
      </x:c>
      <x:c r="C692" s="2" t="n">
        <x:v>4</x:v>
      </x:c>
      <x:c r="D692" s="2" t="str">
        <x:v>Cumulative total</x:v>
      </x:c>
      <x:c r="E692" s="20"/>
      <x:c r="F692" s="20"/>
      <x:c r="G692" s="20"/>
      <x:c r="H692" s="2" t="str">
        <x:f>IF(D692="Rate",IF(COUNT(F692:G692)&lt;2,"",IF(G692=0,"n.a.",F692/G692)),IF(COUNT(E692)=0,"",E692))</x:f>
      </x:c>
      <x:c r="I692" s="2" t="str">
        <x:f>IF(AND(ISNUMBER(H692),ISNUMBER(C692)),H692-C692,"")</x:f>
      </x:c>
      <x:c r="J692" s="2" t="str">
        <x:v>bookings</x:v>
      </x:c>
      <x:c r="K692" s="2" t="str">
        <x:v>Nova</x:v>
      </x:c>
      <x:c r="L692" s="28" t="str"/>
      <x:c r="M692" s="20"/>
      <x:c r="N692" s="21"/>
      <x:c r="O692" s="26" t="str">
        <x:v>Subset of booked total with primary Source=Referral; never added on top of all-channel bookings.</x:v>
      </x:c>
      <x:c r="P692" s="26" t="str">
        <x:v>PDF §§10, 16</x:v>
      </x:c>
      <x:c r="Q692" s="2" t="n">
        <x:f>IF(ISNUMBER(H692),1,0)</x:f>
        <x:v>0</x:v>
      </x:c>
    </x:row>
    <x:row r="693" ht="46" customHeight="1">
      <x:c r="A693" s="17" t="n">
        <x:v>46357</x:v>
      </x:c>
      <x:c r="B693" s="2" t="str">
        <x:v>LinkedIn DM-sourced bookings</x:v>
      </x:c>
      <x:c r="C693" s="2" t="n">
        <x:v>3</x:v>
      </x:c>
      <x:c r="D693" s="2" t="str">
        <x:v>Cumulative total</x:v>
      </x:c>
      <x:c r="E693" s="20"/>
      <x:c r="F693" s="20"/>
      <x:c r="G693" s="20"/>
      <x:c r="H693" s="2" t="str">
        <x:f>IF(D693="Rate",IF(COUNT(F693:G693)&lt;2,"",IF(G693=0,"n.a.",F693/G693)),IF(COUNT(E693)=0,"",E693))</x:f>
      </x:c>
      <x:c r="I693" s="2" t="str">
        <x:f>IF(AND(ISNUMBER(H693),ISNUMBER(C693)),H693-C693,"")</x:f>
      </x:c>
      <x:c r="J693" s="2" t="str">
        <x:v>bookings</x:v>
      </x:c>
      <x:c r="K693" s="2" t="str">
        <x:v>Dexter</x:v>
      </x:c>
      <x:c r="L693" s="28" t="str"/>
      <x:c r="M693" s="20"/>
      <x:c r="N693" s="21"/>
      <x:c r="O693" s="26" t="str">
        <x:v>Subset of booked total with primary Source=LinkedIn DM; assists tracked separately.</x:v>
      </x:c>
      <x:c r="P693" s="26" t="str">
        <x:v>PDF §§10, 17 a</x:v>
      </x:c>
      <x:c r="Q693" s="2" t="n">
        <x:f>IF(ISNUMBER(H693),1,0)</x:f>
        <x:v>0</x:v>
      </x:c>
    </x:row>
    <x:row r="694" ht="46" customHeight="1">
      <x:c r="A694" s="17" t="n">
        <x:v>46357</x:v>
      </x:c>
      <x:c r="B694" s="2" t="str">
        <x:v>Verified contacts ready</x:v>
      </x:c>
      <x:c r="C694" s="2" t="n">
        <x:v>560</x:v>
      </x:c>
      <x:c r="D694" s="2" t="str">
        <x:v>Cumulative total</x:v>
      </x:c>
      <x:c r="E694" s="20"/>
      <x:c r="F694" s="20"/>
      <x:c r="G694" s="20"/>
      <x:c r="H694" s="2" t="str">
        <x:f>IF(D694="Rate",IF(COUNT(F694:G694)&lt;2,"",IF(G694=0,"n.a.",F694/G694)),IF(COUNT(E694)=0,"",E694))</x:f>
      </x:c>
      <x:c r="I694" s="2" t="str">
        <x:f>IF(AND(ISNUMBER(H694),ISNUMBER(C694)),H694-C694,"")</x:f>
      </x:c>
      <x:c r="J694" s="2" t="str">
        <x:v>contacts</x:v>
      </x:c>
      <x:c r="K694" s="2" t="str">
        <x:v>Joey</x:v>
      </x:c>
      <x:c r="L694" s="28" t="str"/>
      <x:c r="M694" s="20"/>
      <x:c r="N694" s="21"/>
      <x:c r="O694" s="26" t="str">
        <x:v>Unique contacts passing Scout and loaded in CQL; count once per contact.</x:v>
      </x:c>
      <x:c r="P694" s="26" t="str">
        <x:v>PDF §§10, 14; 750 due Dec 12 moved to Fri Dec 11</x:v>
      </x:c>
      <x:c r="Q694" s="2" t="n">
        <x:f>IF(ISNUMBER(H694),1,0)</x:f>
        <x:v>0</x:v>
      </x:c>
    </x:row>
    <x:row r="695" ht="46" customHeight="1">
      <x:c r="A695" s="17" t="n">
        <x:v>46357</x:v>
      </x:c>
      <x:c r="B695" s="2" t="str">
        <x:v>Permission-based referral introductions</x:v>
      </x:c>
      <x:c r="C695" s="2" t="n">
        <x:v>9</x:v>
      </x:c>
      <x:c r="D695" s="2" t="str">
        <x:v>Cumulative total</x:v>
      </x:c>
      <x:c r="E695" s="20"/>
      <x:c r="F695" s="20"/>
      <x:c r="G695" s="20"/>
      <x:c r="H695" s="2" t="str">
        <x:f>IF(D695="Rate",IF(COUNT(F695:G695)&lt;2,"",IF(G695=0,"n.a.",F695/G695)),IF(COUNT(E695)=0,"",E695))</x:f>
      </x:c>
      <x:c r="I695" s="2" t="str">
        <x:f>IF(AND(ISNUMBER(H695),ISNUMBER(C695)),H695-C695,"")</x:f>
      </x:c>
      <x:c r="J695" s="2" t="str">
        <x:v>introductions</x:v>
      </x:c>
      <x:c r="K695" s="2" t="str">
        <x:v>Maseeha</x:v>
      </x:c>
      <x:c r="L695" s="28" t="str"/>
      <x:c r="M695" s="20"/>
      <x:c r="N695" s="21"/>
      <x:c r="O695" s="26" t="str">
        <x:v>Unique introductions with consent and referrer recorded, verified by Maseeha within 2 business days.</x:v>
      </x:c>
      <x:c r="P695" s="26" t="str">
        <x:v>PDF §§10, 16</x:v>
      </x:c>
      <x:c r="Q695" s="2" t="n">
        <x:f>IF(ISNUMBER(H695),1,0)</x:f>
        <x:v>0</x:v>
      </x:c>
    </x:row>
    <x:row r="696" ht="46" customHeight="1">
      <x:c r="A696" s="17" t="n">
        <x:v>46357</x:v>
      </x:c>
      <x:c r="B696" s="2" t="str">
        <x:v>Human reply rate</x:v>
      </x:c>
      <x:c r="C696" s="40" t="n">
        <x:v>0.03</x:v>
      </x:c>
      <x:c r="D696" s="2" t="str">
        <x:v>Rate</x:v>
      </x:c>
      <x:c r="E696" s="20"/>
      <x:c r="F696" s="20"/>
      <x:c r="G696" s="20"/>
      <x:c r="H696" s="40" t="str">
        <x:f>IF(D696="Rate",IF(COUNT(F696:G696)&lt;2,"",IF(G696=0,"n.a.",F696/G696)),IF(COUNT(E696)=0,"",E696))</x:f>
      </x:c>
      <x:c r="I696" s="40" t="str">
        <x:f>IF(AND(ISNUMBER(H696),ISNUMBER(C696)),H696-C696,"")</x:f>
      </x:c>
      <x:c r="J696" s="2" t="str">
        <x:v>%</x:v>
      </x:c>
      <x:c r="K696" s="2" t="str">
        <x:v>Kenneth</x:v>
      </x:c>
      <x:c r="L696" s="28" t="str"/>
      <x:c r="M696" s="20"/>
      <x:c r="N696" s="21"/>
      <x:c r="O696" s="26" t="str">
        <x:v>Unique emailed contacts that give a qualifying human reply / unique contacts emailed in the same send cohort. Exclude OOO, auto-replies, bounces and unsubscribe-only replies. Deduplicate contacts across sequence steps; zero denominator is N/A.</x:v>
      </x:c>
      <x:c r="P696" s="26" t="str">
        <x:v>PDF §10</x:v>
      </x:c>
      <x:c r="Q696" s="2" t="n">
        <x:f>IF(ISNUMBER(H696),1,0)</x:f>
        <x:v>0</x:v>
      </x:c>
    </x:row>
    <x:row r="697" ht="46" customHeight="1">
      <x:c r="A697" s="17" t="n">
        <x:v>46357</x:v>
      </x:c>
      <x:c r="B697" s="2" t="str">
        <x:v>Positive reply rate</x:v>
      </x:c>
      <x:c r="C697" s="40" t="n">
        <x:v>0.015</x:v>
      </x:c>
      <x:c r="D697" s="2" t="str">
        <x:v>Rate</x:v>
      </x:c>
      <x:c r="E697" s="20"/>
      <x:c r="F697" s="20"/>
      <x:c r="G697" s="20"/>
      <x:c r="H697" s="40" t="str">
        <x:f>IF(D697="Rate",IF(COUNT(F697:G697)&lt;2,"",IF(G697=0,"n.a.",F697/G697)),IF(COUNT(E697)=0,"",E697))</x:f>
      </x:c>
      <x:c r="I697" s="40" t="str">
        <x:f>IF(AND(ISNUMBER(H697),ISNUMBER(C697)),H697-C697,"")</x:f>
      </x:c>
      <x:c r="J697" s="2" t="str">
        <x:v>%</x:v>
      </x:c>
      <x:c r="K697" s="2" t="str">
        <x:v>Kenneth</x:v>
      </x:c>
      <x:c r="L697" s="28" t="str"/>
      <x:c r="M697" s="20"/>
      <x:c r="N697" s="21"/>
      <x:c r="O697" s="26" t="str">
        <x:v>Unique emailed contacts classified interested or relevant question / unique contacts emailed in the same send cohort. Deduplicate across sequence steps; zero denominator is N/A. Keep this email rate separate from all-channel qualified inquiries.</x:v>
      </x:c>
      <x:c r="P697" s="26" t="str">
        <x:v>PDF §10</x:v>
      </x:c>
      <x:c r="Q697" s="2" t="n">
        <x:f>IF(ISNUMBER(H697),1,0)</x:f>
        <x:v>0</x:v>
      </x:c>
    </x:row>
    <x:row r="698" ht="46" customHeight="1">
      <x:c r="A698" s="17" t="n">
        <x:v>46357</x:v>
      </x:c>
      <x:c r="B698" s="2" t="str">
        <x:v>Replies answered within 15 minutes</x:v>
      </x:c>
      <x:c r="C698" s="40" t="n">
        <x:v>1</x:v>
      </x:c>
      <x:c r="D698" s="2" t="str">
        <x:v>Rate</x:v>
      </x:c>
      <x:c r="E698" s="20"/>
      <x:c r="F698" s="20"/>
      <x:c r="G698" s="20"/>
      <x:c r="H698" s="40" t="str">
        <x:f>IF(D698="Rate",IF(COUNT(F698:G698)&lt;2,"",IF(G698=0,"n.a.",F698/G698)),IF(COUNT(E698)=0,"",E698))</x:f>
      </x:c>
      <x:c r="I698" s="40" t="str">
        <x:f>IF(AND(ISNUMBER(H698),ISNUMBER(C698)),H698-C698,"")</x:f>
      </x:c>
      <x:c r="J698" s="2" t="str">
        <x:v>%</x:v>
      </x:c>
      <x:c r="K698" s="2" t="str">
        <x:v>Nova</x:v>
      </x:c>
      <x:c r="L698" s="28" t="str"/>
      <x:c r="M698" s="20"/>
      <x:c r="N698" s="21"/>
      <x:c r="O698"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698" s="26" t="str">
        <x:v>PDF §9; clock convention clarified for tracker</x:v>
      </x:c>
      <x:c r="Q698" s="2" t="n">
        <x:f>IF(ISNUMBER(H698),1,0)</x:f>
        <x:v>0</x:v>
      </x:c>
    </x:row>
    <x:row r="699" ht="46" customHeight="1">
      <x:c r="A699" s="17" t="n">
        <x:v>46357</x:v>
      </x:c>
      <x:c r="B699" s="2" t="str">
        <x:v>Held rate</x:v>
      </x:c>
      <x:c r="C699" s="40" t="n">
        <x:v>0.75</x:v>
      </x:c>
      <x:c r="D699" s="2" t="str">
        <x:v>Rate</x:v>
      </x:c>
      <x:c r="E699" s="20"/>
      <x:c r="F699" s="20"/>
      <x:c r="G699" s="20"/>
      <x:c r="H699" s="40" t="str">
        <x:f>IF(D699="Rate",IF(COUNT(F699:G699)&lt;2,"",IF(G699=0,"n.a.",F699/G699)),IF(COUNT(E699)=0,"",E699))</x:f>
      </x:c>
      <x:c r="I699" s="40" t="str">
        <x:f>IF(AND(ISNUMBER(H699),ISNUMBER(C699)),H699-C699,"")</x:f>
      </x:c>
      <x:c r="J699" s="2" t="str">
        <x:v>%</x:v>
      </x:c>
      <x:c r="K699" s="2" t="str">
        <x:v>Nova</x:v>
      </x:c>
      <x:c r="L699" s="28" t="str"/>
      <x:c r="M699" s="20"/>
      <x:c r="N699" s="21"/>
      <x:c r="O699" s="26" t="str">
        <x:v>Qualified conversations actually held / unique booked conversations whose scheduled time has passed. Exclude upcoming appointments. Rebooking the same opportunity is not a second booking. A zero denominator is N/A.</x:v>
      </x:c>
      <x:c r="P699" s="26" t="str">
        <x:v>PDF §10; due-cohort denominator clarified</x:v>
      </x:c>
      <x:c r="Q699" s="2" t="n">
        <x:f>IF(ISNUMBER(H699),1,0)</x:f>
        <x:v>0</x:v>
      </x:c>
    </x:row>
    <x:row r="700" ht="46" customHeight="1">
      <x:c r="A700" s="17" t="n">
        <x:v>46357</x:v>
      </x:c>
      <x:c r="B700" s="2" t="str">
        <x:v>Positive-to-booked conversion</x:v>
      </x:c>
      <x:c r="C700" s="40" t="n">
        <x:v>0.5</x:v>
      </x:c>
      <x:c r="D700" s="2" t="str">
        <x:v>Rate</x:v>
      </x:c>
      <x:c r="E700" s="20"/>
      <x:c r="F700" s="20"/>
      <x:c r="G700" s="20"/>
      <x:c r="H700" s="40" t="str">
        <x:f>IF(D700="Rate",IF(COUNT(F700:G700)&lt;2,"",IF(G700=0,"n.a.",F700/G700)),IF(COUNT(E700)=0,"",E700))</x:f>
      </x:c>
      <x:c r="I700" s="40" t="str">
        <x:f>IF(AND(ISNUMBER(H700),ISNUMBER(C700)),H700-C700,"")</x:f>
      </x:c>
      <x:c r="J700" s="2" t="str">
        <x:v>%</x:v>
      </x:c>
      <x:c r="K700" s="2" t="str">
        <x:v>Nova</x:v>
      </x:c>
      <x:c r="L700" s="28" t="str"/>
      <x:c r="M700" s="20"/>
      <x:c r="N700" s="21"/>
      <x:c r="O700" s="26" t="str">
        <x:v>Unique email-positive opportunities booked / unique email-positive opportunities in the same reviewed cohort. Use a documented follow-up window. This differs from the all-channel 40-inquiry/20-booking planning assumption. A zero denominator is N/A.</x:v>
      </x:c>
      <x:c r="P700" s="26" t="str">
        <x:v>PDF §9</x:v>
      </x:c>
      <x:c r="Q700" s="2" t="n">
        <x:f>IF(ISNUMBER(H700),1,0)</x:f>
        <x:v>0</x:v>
      </x:c>
    </x:row>
    <x:row r="701" ht="46" customHeight="1">
      <x:c r="A701" s="17" t="n">
        <x:v>46357</x:v>
      </x:c>
      <x:c r="B701" s="2" t="str">
        <x:v>Existing-account referral asks</x:v>
      </x:c>
      <x:c r="C701" s="2" t="n">
        <x:v>41</x:v>
      </x:c>
      <x:c r="D701" s="2" t="str">
        <x:v>Cumulative total</x:v>
      </x:c>
      <x:c r="E701" s="20"/>
      <x:c r="F701" s="20"/>
      <x:c r="G701" s="20"/>
      <x:c r="H701" s="2" t="str">
        <x:f>IF(D701="Rate",IF(COUNT(F701:G701)&lt;2,"",IF(G701=0,"n.a.",F701/G701)),IF(COUNT(E701)=0,"",E701))</x:f>
      </x:c>
      <x:c r="I701" s="2" t="str">
        <x:f>IF(AND(ISNUMBER(H701),ISNUMBER(C701)),H701-C701,"")</x:f>
      </x:c>
      <x:c r="J701" s="2" t="str">
        <x:v>accounts asked</x:v>
      </x:c>
      <x:c r="K701" s="2" t="str">
        <x:v>Maseeha</x:v>
      </x:c>
      <x:c r="L701" s="28" t="str"/>
      <x:c r="M701" s="20"/>
      <x:c r="N701" s="21"/>
      <x:c r="O701" s="26" t="str">
        <x:v>Ask 25 unique A/B accounts (5 A and 20 B) by November 13; proposed pace 35 total by November 20; complete the remaining C accounts to reach 41 total by November 25. One introduction is the ask; asks and received intros are separate counts.</x:v>
      </x:c>
      <x:c r="P701" s="26" t="str">
        <x:v>PDF §16 supplies 25 A/B byNov 14 and 16 C byNov 25; Friday deadline and 35-byNov 20 pace are proposed scheduling allocations.</x:v>
      </x:c>
      <x:c r="Q701" s="2" t="n">
        <x:f>IF(ISNUMBER(H701),1,0)</x:f>
        <x:v>0</x:v>
      </x:c>
    </x:row>
    <x:row r="702" ht="46" customHeight="1">
      <x:c r="A702" s="17" t="n">
        <x:v>46357</x:v>
      </x:c>
      <x:c r="B702" s="2" t="str">
        <x:v>Approved SOPs</x:v>
      </x:c>
      <x:c r="C702" s="2"/>
      <x:c r="D702" s="2" t="str">
        <x:v>Cumulative total</x:v>
      </x:c>
      <x:c r="E702" s="20"/>
      <x:c r="F702" s="20"/>
      <x:c r="G702" s="20"/>
      <x:c r="H702" s="2" t="str">
        <x:f>IF(D702="Rate",IF(COUNT(F702:G702)&lt;2,"",IF(G702=0,"n.a.",F702/G702)),IF(COUNT(E702)=0,"",E702))</x:f>
      </x:c>
      <x:c r="I702" s="2" t="str">
        <x:f>IF(AND(ISNUMBER(H702),ISNUMBER(C702)),H702-C702,"")</x:f>
      </x:c>
      <x:c r="J702" s="2" t="str">
        <x:v>SOPs</x:v>
      </x:c>
      <x:c r="K702" s="2" t="str">
        <x:v>Wyline</x:v>
      </x:c>
      <x:c r="L702" s="28" t="str"/>
      <x:c r="M702" s="20"/>
      <x:c r="N702" s="21"/>
      <x:c r="O702" s="26" t="str">
        <x:v>10 core SOPs plus ADS-01 and SOC-01 additions; approved version and independent-run evidence required.</x:v>
      </x:c>
      <x:c r="P702" s="26" t="str">
        <x:v>PDF §8 with §§17 b–d additions</x:v>
      </x:c>
      <x:c r="Q702" s="2" t="n">
        <x:f>IF(ISNUMBER(H702),1,0)</x:f>
        <x:v>0</x:v>
      </x:c>
    </x:row>
    <x:row r="703" ht="46" customHeight="1">
      <x:c r="A703" s="17" t="n">
        <x:v>46357</x:v>
      </x:c>
      <x:c r="B703" s="2" t="str">
        <x:v>Accepted AI agents</x:v>
      </x:c>
      <x:c r="C703" s="2"/>
      <x:c r="D703" s="2" t="str">
        <x:v>Cumulative total</x:v>
      </x:c>
      <x:c r="E703" s="20"/>
      <x:c r="F703" s="20"/>
      <x:c r="G703" s="20"/>
      <x:c r="H703" s="2" t="str">
        <x:f>IF(D703="Rate",IF(COUNT(F703:G703)&lt;2,"",IF(G703=0,"n.a.",F703/G703)),IF(COUNT(E703)=0,"",E703))</x:f>
      </x:c>
      <x:c r="I703" s="2" t="str">
        <x:f>IF(AND(ISNUMBER(H703),ISNUMBER(C703)),H703-C703,"")</x:f>
      </x:c>
      <x:c r="J703" s="2" t="str">
        <x:v>agents</x:v>
      </x:c>
      <x:c r="K703" s="2" t="str">
        <x:v>Emman</x:v>
      </x:c>
      <x:c r="L703" s="28" t="str"/>
      <x:c r="M703" s="20"/>
      <x:c r="N703" s="21"/>
      <x:c r="O703" s="26" t="str">
        <x:v>Scout, Writer, Inbox, Phone Assist, LinkedIn Assist, Follow-up, Scoreboard and Client Reporter; acceptance evidence required.</x:v>
      </x:c>
      <x:c r="P703" s="26" t="str">
        <x:v>PDF §7</x:v>
      </x:c>
      <x:c r="Q703" s="2" t="n">
        <x:f>IF(ISNUMBER(H703),1,0)</x:f>
        <x:v>0</x:v>
      </x:c>
    </x:row>
    <x:row r="704" ht="46" customHeight="1">
      <x:c r="A704" s="17" t="n">
        <x:v>46358</x:v>
      </x:c>
      <x:c r="B704" s="2" t="str">
        <x:v>Qualified inquiries</x:v>
      </x:c>
      <x:c r="C704" s="2" t="n">
        <x:v>23</x:v>
      </x:c>
      <x:c r="D704" s="2" t="str">
        <x:v>Cumulative total</x:v>
      </x:c>
      <x:c r="E704" s="20"/>
      <x:c r="F704" s="20"/>
      <x:c r="G704" s="20"/>
      <x:c r="H704" s="2" t="str">
        <x:f>IF(D704="Rate",IF(COUNT(F704:G704)&lt;2,"",IF(G704=0,"n.a.",F704/G704)),IF(COUNT(E704)=0,"",E704))</x:f>
      </x:c>
      <x:c r="I704" s="2" t="str">
        <x:f>IF(AND(ISNUMBER(H704),ISNUMBER(C704)),H704-C704,"")</x:f>
      </x:c>
      <x:c r="J704" s="2" t="str">
        <x:v>inquiries</x:v>
      </x:c>
      <x:c r="K704" s="2" t="str">
        <x:v>Nova</x:v>
      </x:c>
      <x:c r="L704" s="28" t="str"/>
      <x:c r="M704" s="20"/>
      <x:c r="N704" s="21"/>
      <x:c r="O704" s="26" t="str">
        <x:v>Unique ICP-matched practices that express relevant interest, need or timing; Nova records practice type, decision-maker access, case volume, service need and readiness within 30–60 days. Raw records, opens and connection accepts do not qualify.</x:v>
      </x:c>
      <x:c r="P704" s="26" t="str">
        <x:v>Original proposal pages 2 and 4 define qualification; 40 by Dec 16 and intermediate pace are newly proposed recovery targets.</x:v>
      </x:c>
      <x:c r="Q704" s="2" t="n">
        <x:f>IF(ISNUMBER(H704),1,0)</x:f>
        <x:v>0</x:v>
      </x:c>
    </x:row>
    <x:row r="705" ht="46" customHeight="1">
      <x:c r="A705" s="17" t="n">
        <x:v>46358</x:v>
      </x:c>
      <x:c r="B705" s="2" t="str">
        <x:v>Qualified conversations booked</x:v>
      </x:c>
      <x:c r="C705" s="2" t="n">
        <x:v>11</x:v>
      </x:c>
      <x:c r="D705" s="2" t="str">
        <x:v>Cumulative total</x:v>
      </x:c>
      <x:c r="E705" s="20"/>
      <x:c r="F705" s="20"/>
      <x:c r="G705" s="20"/>
      <x:c r="H705" s="2" t="str">
        <x:f>IF(D705="Rate",IF(COUNT(F705:G705)&lt;2,"",IF(G705=0,"n.a.",F705/G705)),IF(COUNT(E705)=0,"",E705))</x:f>
      </x:c>
      <x:c r="I705" s="2" t="str">
        <x:f>IF(AND(ISNUMBER(H705),ISNUMBER(C705)),H705-C705,"")</x:f>
      </x:c>
      <x:c r="J705" s="2" t="str">
        <x:v>bookings</x:v>
      </x:c>
      <x:c r="K705" s="2" t="str">
        <x:v>Nova</x:v>
      </x:c>
      <x:c r="L705" s="28" t="str"/>
      <x:c r="M705" s="20"/>
      <x:c r="N705" s="21"/>
      <x:c r="O705" s="26" t="str">
        <x:v>Unique qualified calls/visits booked with Nic; rebooking same opportunity is not a new booking.</x:v>
      </x:c>
      <x:c r="P705" s="26" t="str">
        <x:v>PDF §10; final deadline advanced to user Dec 16</x:v>
      </x:c>
      <x:c r="Q705" s="2" t="n">
        <x:f>IF(ISNUMBER(H705),1,0)</x:f>
        <x:v>0</x:v>
      </x:c>
    </x:row>
    <x:row r="706" ht="46" customHeight="1">
      <x:c r="A706" s="17" t="n">
        <x:v>46358</x:v>
      </x:c>
      <x:c r="B706" s="2" t="str">
        <x:v>Qualified conversations held</x:v>
      </x:c>
      <x:c r="C706" s="2" t="n">
        <x:v>8</x:v>
      </x:c>
      <x:c r="D706" s="2" t="str">
        <x:v>Cumulative total</x:v>
      </x:c>
      <x:c r="E706" s="20"/>
      <x:c r="F706" s="20"/>
      <x:c r="G706" s="20"/>
      <x:c r="H706" s="2" t="str">
        <x:f>IF(D706="Rate",IF(COUNT(F706:G706)&lt;2,"",IF(G706=0,"n.a.",F706/G706)),IF(COUNT(E706)=0,"",E706))</x:f>
      </x:c>
      <x:c r="I706" s="2" t="str">
        <x:f>IF(AND(ISNUMBER(H706),ISNUMBER(C706)),H706-C706,"")</x:f>
      </x:c>
      <x:c r="J706" s="2" t="str">
        <x:v>held</x:v>
      </x:c>
      <x:c r="K706" s="2" t="str">
        <x:v>Nova</x:v>
      </x:c>
      <x:c r="L706" s="28" t="str"/>
      <x:c r="M706" s="20"/>
      <x:c r="N706" s="21"/>
      <x:c r="O706" s="26" t="str">
        <x:v>Completed qualified calls/visits; 6 and 15 are integer planning proxies for 70% of 8 and 75% of 20.</x:v>
      </x:c>
      <x:c r="P706" s="26" t="str">
        <x:v>Derived from source held-rate targets</x:v>
      </x:c>
      <x:c r="Q706" s="2" t="n">
        <x:f>IF(ISNUMBER(H706),1,0)</x:f>
        <x:v>0</x:v>
      </x:c>
    </x:row>
    <x:row r="707" ht="46" customHeight="1">
      <x:c r="A707" s="17" t="n">
        <x:v>46358</x:v>
      </x:c>
      <x:c r="B707" s="2" t="str">
        <x:v>Trial cases received by DSI</x:v>
      </x:c>
      <x:c r="C707" s="2" t="n">
        <x:v>3</x:v>
      </x:c>
      <x:c r="D707" s="2" t="str">
        <x:v>Cumulative total</x:v>
      </x:c>
      <x:c r="E707" s="20"/>
      <x:c r="F707" s="20"/>
      <x:c r="G707" s="20"/>
      <x:c r="H707" s="2" t="str">
        <x:f>IF(D707="Rate",IF(COUNT(F707:G707)&lt;2,"",IF(G707=0,"n.a.",F707/G707)),IF(COUNT(E707)=0,"",E707))</x:f>
      </x:c>
      <x:c r="I707" s="2" t="str">
        <x:f>IF(AND(ISNUMBER(H707),ISNUMBER(C707)),H707-C707,"")</x:f>
      </x:c>
      <x:c r="J707" s="2" t="str">
        <x:v>trials</x:v>
      </x:c>
      <x:c r="K707" s="2" t="str">
        <x:v>Maseeha</x:v>
      </x:c>
      <x:c r="L707" s="28" t="str"/>
      <x:c r="M707" s="20"/>
      <x:c r="N707" s="21"/>
      <x:c r="O707" s="26" t="str">
        <x:v>Practice’s first trial case received by DSI, not merely promised or shipped; subject to Maseeha capacity.</x:v>
      </x:c>
      <x:c r="P707" s="26" t="str">
        <x:v>PDF §10; final deadline advanced to user Dec 16</x:v>
      </x:c>
      <x:c r="Q707" s="2" t="n">
        <x:f>IF(ISNUMBER(H707),1,0)</x:f>
        <x:v>0</x:v>
      </x:c>
    </x:row>
    <x:row r="708" ht="46" customHeight="1">
      <x:c r="A708" s="17" t="n">
        <x:v>46358</x:v>
      </x:c>
      <x:c r="B708" s="2" t="str">
        <x:v>Recurring accounts signed</x:v>
      </x:c>
      <x:c r="C708" s="2"/>
      <x:c r="D708" s="2" t="str">
        <x:v>Cumulative total</x:v>
      </x:c>
      <x:c r="E708" s="20"/>
      <x:c r="F708" s="20"/>
      <x:c r="G708" s="20"/>
      <x:c r="H708" s="2" t="str">
        <x:f>IF(D708="Rate",IF(COUNT(F708:G708)&lt;2,"",IF(G708=0,"n.a.",F708/G708)),IF(COUNT(E708)=0,"",E708))</x:f>
      </x:c>
      <x:c r="I708" s="2" t="str">
        <x:f>IF(AND(ISNUMBER(H708),ISNUMBER(C708)),H708-C708,"")</x:f>
      </x:c>
      <x:c r="J708" s="2" t="str">
        <x:v>accounts</x:v>
      </x:c>
      <x:c r="K708" s="2" t="str">
        <x:v>Nic</x:v>
      </x:c>
      <x:c r="L708" s="28" t="str"/>
      <x:c r="M708" s="20"/>
      <x:c r="N708" s="21"/>
      <x:c r="O708" s="26" t="str">
        <x:v>Plan signed following Day-30 review; only mature trial cohorts eligible. 1–3 is a conditional range.</x:v>
      </x:c>
      <x:c r="P708" s="26" t="str">
        <x:v>PDF §10</x:v>
      </x:c>
      <x:c r="Q708" s="2" t="n">
        <x:f>IF(ISNUMBER(H708),1,0)</x:f>
        <x:v>0</x:v>
      </x:c>
    </x:row>
    <x:row r="709" ht="46" customHeight="1">
      <x:c r="A709" s="17" t="n">
        <x:v>46358</x:v>
      </x:c>
      <x:c r="B709" s="2" t="str">
        <x:v>Referral-sourced bookings</x:v>
      </x:c>
      <x:c r="C709" s="2" t="n">
        <x:v>5</x:v>
      </x:c>
      <x:c r="D709" s="2" t="str">
        <x:v>Cumulative total</x:v>
      </x:c>
      <x:c r="E709" s="20"/>
      <x:c r="F709" s="20"/>
      <x:c r="G709" s="20"/>
      <x:c r="H709" s="2" t="str">
        <x:f>IF(D709="Rate",IF(COUNT(F709:G709)&lt;2,"",IF(G709=0,"n.a.",F709/G709)),IF(COUNT(E709)=0,"",E709))</x:f>
      </x:c>
      <x:c r="I709" s="2" t="str">
        <x:f>IF(AND(ISNUMBER(H709),ISNUMBER(C709)),H709-C709,"")</x:f>
      </x:c>
      <x:c r="J709" s="2" t="str">
        <x:v>bookings</x:v>
      </x:c>
      <x:c r="K709" s="2" t="str">
        <x:v>Nova</x:v>
      </x:c>
      <x:c r="L709" s="28" t="str"/>
      <x:c r="M709" s="20"/>
      <x:c r="N709" s="21"/>
      <x:c r="O709" s="26" t="str">
        <x:v>Subset of booked total with primary Source=Referral; never added on top of all-channel bookings.</x:v>
      </x:c>
      <x:c r="P709" s="26" t="str">
        <x:v>PDF §§10, 16</x:v>
      </x:c>
      <x:c r="Q709" s="2" t="n">
        <x:f>IF(ISNUMBER(H709),1,0)</x:f>
        <x:v>0</x:v>
      </x:c>
    </x:row>
    <x:row r="710" ht="46" customHeight="1">
      <x:c r="A710" s="17" t="n">
        <x:v>46358</x:v>
      </x:c>
      <x:c r="B710" s="2" t="str">
        <x:v>LinkedIn DM-sourced bookings</x:v>
      </x:c>
      <x:c r="C710" s="2" t="n">
        <x:v>4</x:v>
      </x:c>
      <x:c r="D710" s="2" t="str">
        <x:v>Cumulative total</x:v>
      </x:c>
      <x:c r="E710" s="20"/>
      <x:c r="F710" s="20"/>
      <x:c r="G710" s="20"/>
      <x:c r="H710" s="2" t="str">
        <x:f>IF(D710="Rate",IF(COUNT(F710:G710)&lt;2,"",IF(G710=0,"n.a.",F710/G710)),IF(COUNT(E710)=0,"",E710))</x:f>
      </x:c>
      <x:c r="I710" s="2" t="str">
        <x:f>IF(AND(ISNUMBER(H710),ISNUMBER(C710)),H710-C710,"")</x:f>
      </x:c>
      <x:c r="J710" s="2" t="str">
        <x:v>bookings</x:v>
      </x:c>
      <x:c r="K710" s="2" t="str">
        <x:v>Dexter</x:v>
      </x:c>
      <x:c r="L710" s="28" t="str"/>
      <x:c r="M710" s="20"/>
      <x:c r="N710" s="21"/>
      <x:c r="O710" s="26" t="str">
        <x:v>Subset of booked total with primary Source=LinkedIn DM; assists tracked separately.</x:v>
      </x:c>
      <x:c r="P710" s="26" t="str">
        <x:v>PDF §§10, 17 a</x:v>
      </x:c>
      <x:c r="Q710" s="2" t="n">
        <x:f>IF(ISNUMBER(H710),1,0)</x:f>
        <x:v>0</x:v>
      </x:c>
    </x:row>
    <x:row r="711" ht="46" customHeight="1">
      <x:c r="A711" s="17" t="n">
        <x:v>46358</x:v>
      </x:c>
      <x:c r="B711" s="2" t="str">
        <x:v>Verified contacts ready</x:v>
      </x:c>
      <x:c r="C711" s="2" t="n">
        <x:v>590</x:v>
      </x:c>
      <x:c r="D711" s="2" t="str">
        <x:v>Cumulative total</x:v>
      </x:c>
      <x:c r="E711" s="20"/>
      <x:c r="F711" s="20"/>
      <x:c r="G711" s="20"/>
      <x:c r="H711" s="2" t="str">
        <x:f>IF(D711="Rate",IF(COUNT(F711:G711)&lt;2,"",IF(G711=0,"n.a.",F711/G711)),IF(COUNT(E711)=0,"",E711))</x:f>
      </x:c>
      <x:c r="I711" s="2" t="str">
        <x:f>IF(AND(ISNUMBER(H711),ISNUMBER(C711)),H711-C711,"")</x:f>
      </x:c>
      <x:c r="J711" s="2" t="str">
        <x:v>contacts</x:v>
      </x:c>
      <x:c r="K711" s="2" t="str">
        <x:v>Joey</x:v>
      </x:c>
      <x:c r="L711" s="28" t="str"/>
      <x:c r="M711" s="20"/>
      <x:c r="N711" s="21"/>
      <x:c r="O711" s="26" t="str">
        <x:v>Unique contacts passing Scout and loaded in CQL; count once per contact.</x:v>
      </x:c>
      <x:c r="P711" s="26" t="str">
        <x:v>PDF §§10, 14; 750 due Dec 12 moved to Fri Dec 11</x:v>
      </x:c>
      <x:c r="Q711" s="2" t="n">
        <x:f>IF(ISNUMBER(H711),1,0)</x:f>
        <x:v>0</x:v>
      </x:c>
    </x:row>
    <x:row r="712" ht="46" customHeight="1">
      <x:c r="A712" s="17" t="n">
        <x:v>46358</x:v>
      </x:c>
      <x:c r="B712" s="2" t="str">
        <x:v>Permission-based referral introductions</x:v>
      </x:c>
      <x:c r="C712" s="2" t="n">
        <x:v>10</x:v>
      </x:c>
      <x:c r="D712" s="2" t="str">
        <x:v>Cumulative total</x:v>
      </x:c>
      <x:c r="E712" s="20"/>
      <x:c r="F712" s="20"/>
      <x:c r="G712" s="20"/>
      <x:c r="H712" s="2" t="str">
        <x:f>IF(D712="Rate",IF(COUNT(F712:G712)&lt;2,"",IF(G712=0,"n.a.",F712/G712)),IF(COUNT(E712)=0,"",E712))</x:f>
      </x:c>
      <x:c r="I712" s="2" t="str">
        <x:f>IF(AND(ISNUMBER(H712),ISNUMBER(C712)),H712-C712,"")</x:f>
      </x:c>
      <x:c r="J712" s="2" t="str">
        <x:v>introductions</x:v>
      </x:c>
      <x:c r="K712" s="2" t="str">
        <x:v>Maseeha</x:v>
      </x:c>
      <x:c r="L712" s="28" t="str"/>
      <x:c r="M712" s="20"/>
      <x:c r="N712" s="21"/>
      <x:c r="O712" s="26" t="str">
        <x:v>Unique introductions with consent and referrer recorded, verified by Maseeha within 2 business days.</x:v>
      </x:c>
      <x:c r="P712" s="26" t="str">
        <x:v>PDF §§10, 16</x:v>
      </x:c>
      <x:c r="Q712" s="2" t="n">
        <x:f>IF(ISNUMBER(H712),1,0)</x:f>
        <x:v>0</x:v>
      </x:c>
    </x:row>
    <x:row r="713" ht="46" customHeight="1">
      <x:c r="A713" s="17" t="n">
        <x:v>46358</x:v>
      </x:c>
      <x:c r="B713" s="2" t="str">
        <x:v>Human reply rate</x:v>
      </x:c>
      <x:c r="C713" s="40" t="n">
        <x:v>0.03</x:v>
      </x:c>
      <x:c r="D713" s="2" t="str">
        <x:v>Rate</x:v>
      </x:c>
      <x:c r="E713" s="20"/>
      <x:c r="F713" s="20"/>
      <x:c r="G713" s="20"/>
      <x:c r="H713" s="40" t="str">
        <x:f>IF(D713="Rate",IF(COUNT(F713:G713)&lt;2,"",IF(G713=0,"n.a.",F713/G713)),IF(COUNT(E713)=0,"",E713))</x:f>
      </x:c>
      <x:c r="I713" s="40" t="str">
        <x:f>IF(AND(ISNUMBER(H713),ISNUMBER(C713)),H713-C713,"")</x:f>
      </x:c>
      <x:c r="J713" s="2" t="str">
        <x:v>%</x:v>
      </x:c>
      <x:c r="K713" s="2" t="str">
        <x:v>Kenneth</x:v>
      </x:c>
      <x:c r="L713" s="28" t="str"/>
      <x:c r="M713" s="20"/>
      <x:c r="N713" s="21"/>
      <x:c r="O713" s="26" t="str">
        <x:v>Unique emailed contacts that give a qualifying human reply / unique contacts emailed in the same send cohort. Exclude OOO, auto-replies, bounces and unsubscribe-only replies. Deduplicate contacts across sequence steps; zero denominator is N/A.</x:v>
      </x:c>
      <x:c r="P713" s="26" t="str">
        <x:v>PDF §10</x:v>
      </x:c>
      <x:c r="Q713" s="2" t="n">
        <x:f>IF(ISNUMBER(H713),1,0)</x:f>
        <x:v>0</x:v>
      </x:c>
    </x:row>
    <x:row r="714" ht="46" customHeight="1">
      <x:c r="A714" s="17" t="n">
        <x:v>46358</x:v>
      </x:c>
      <x:c r="B714" s="2" t="str">
        <x:v>Positive reply rate</x:v>
      </x:c>
      <x:c r="C714" s="40" t="n">
        <x:v>0.015</x:v>
      </x:c>
      <x:c r="D714" s="2" t="str">
        <x:v>Rate</x:v>
      </x:c>
      <x:c r="E714" s="20"/>
      <x:c r="F714" s="20"/>
      <x:c r="G714" s="20"/>
      <x:c r="H714" s="40" t="str">
        <x:f>IF(D714="Rate",IF(COUNT(F714:G714)&lt;2,"",IF(G714=0,"n.a.",F714/G714)),IF(COUNT(E714)=0,"",E714))</x:f>
      </x:c>
      <x:c r="I714" s="40" t="str">
        <x:f>IF(AND(ISNUMBER(H714),ISNUMBER(C714)),H714-C714,"")</x:f>
      </x:c>
      <x:c r="J714" s="2" t="str">
        <x:v>%</x:v>
      </x:c>
      <x:c r="K714" s="2" t="str">
        <x:v>Kenneth</x:v>
      </x:c>
      <x:c r="L714" s="28" t="str"/>
      <x:c r="M714" s="20"/>
      <x:c r="N714" s="21"/>
      <x:c r="O714" s="26" t="str">
        <x:v>Unique emailed contacts classified interested or relevant question / unique contacts emailed in the same send cohort. Deduplicate across sequence steps; zero denominator is N/A. Keep this email rate separate from all-channel qualified inquiries.</x:v>
      </x:c>
      <x:c r="P714" s="26" t="str">
        <x:v>PDF §10</x:v>
      </x:c>
      <x:c r="Q714" s="2" t="n">
        <x:f>IF(ISNUMBER(H714),1,0)</x:f>
        <x:v>0</x:v>
      </x:c>
    </x:row>
    <x:row r="715" ht="46" customHeight="1">
      <x:c r="A715" s="17" t="n">
        <x:v>46358</x:v>
      </x:c>
      <x:c r="B715" s="2" t="str">
        <x:v>Replies answered within 15 minutes</x:v>
      </x:c>
      <x:c r="C715" s="40" t="n">
        <x:v>1</x:v>
      </x:c>
      <x:c r="D715" s="2" t="str">
        <x:v>Rate</x:v>
      </x:c>
      <x:c r="E715" s="20"/>
      <x:c r="F715" s="20"/>
      <x:c r="G715" s="20"/>
      <x:c r="H715" s="40" t="str">
        <x:f>IF(D715="Rate",IF(COUNT(F715:G715)&lt;2,"",IF(G715=0,"n.a.",F715/G715)),IF(COUNT(E715)=0,"",E715))</x:f>
      </x:c>
      <x:c r="I715" s="40" t="str">
        <x:f>IF(AND(ISNUMBER(H715),ISNUMBER(C715)),H715-C715,"")</x:f>
      </x:c>
      <x:c r="J715" s="2" t="str">
        <x:v>%</x:v>
      </x:c>
      <x:c r="K715" s="2" t="str">
        <x:v>Nova</x:v>
      </x:c>
      <x:c r="L715" s="28" t="str"/>
      <x:c r="M715" s="20"/>
      <x:c r="N715" s="21"/>
      <x:c r="O715"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715" s="26" t="str">
        <x:v>PDF §9; clock convention clarified for tracker</x:v>
      </x:c>
      <x:c r="Q715" s="2" t="n">
        <x:f>IF(ISNUMBER(H715),1,0)</x:f>
        <x:v>0</x:v>
      </x:c>
    </x:row>
    <x:row r="716" ht="46" customHeight="1">
      <x:c r="A716" s="17" t="n">
        <x:v>46358</x:v>
      </x:c>
      <x:c r="B716" s="2" t="str">
        <x:v>Held rate</x:v>
      </x:c>
      <x:c r="C716" s="40" t="n">
        <x:v>0.75</x:v>
      </x:c>
      <x:c r="D716" s="2" t="str">
        <x:v>Rate</x:v>
      </x:c>
      <x:c r="E716" s="20"/>
      <x:c r="F716" s="20"/>
      <x:c r="G716" s="20"/>
      <x:c r="H716" s="40" t="str">
        <x:f>IF(D716="Rate",IF(COUNT(F716:G716)&lt;2,"",IF(G716=0,"n.a.",F716/G716)),IF(COUNT(E716)=0,"",E716))</x:f>
      </x:c>
      <x:c r="I716" s="40" t="str">
        <x:f>IF(AND(ISNUMBER(H716),ISNUMBER(C716)),H716-C716,"")</x:f>
      </x:c>
      <x:c r="J716" s="2" t="str">
        <x:v>%</x:v>
      </x:c>
      <x:c r="K716" s="2" t="str">
        <x:v>Nova</x:v>
      </x:c>
      <x:c r="L716" s="28" t="str"/>
      <x:c r="M716" s="20"/>
      <x:c r="N716" s="21"/>
      <x:c r="O716" s="26" t="str">
        <x:v>Qualified conversations actually held / unique booked conversations whose scheduled time has passed. Exclude upcoming appointments. Rebooking the same opportunity is not a second booking. A zero denominator is N/A.</x:v>
      </x:c>
      <x:c r="P716" s="26" t="str">
        <x:v>PDF §10; due-cohort denominator clarified</x:v>
      </x:c>
      <x:c r="Q716" s="2" t="n">
        <x:f>IF(ISNUMBER(H716),1,0)</x:f>
        <x:v>0</x:v>
      </x:c>
    </x:row>
    <x:row r="717" ht="46" customHeight="1">
      <x:c r="A717" s="17" t="n">
        <x:v>46358</x:v>
      </x:c>
      <x:c r="B717" s="2" t="str">
        <x:v>Positive-to-booked conversion</x:v>
      </x:c>
      <x:c r="C717" s="40" t="n">
        <x:v>0.5</x:v>
      </x:c>
      <x:c r="D717" s="2" t="str">
        <x:v>Rate</x:v>
      </x:c>
      <x:c r="E717" s="20"/>
      <x:c r="F717" s="20"/>
      <x:c r="G717" s="20"/>
      <x:c r="H717" s="40" t="str">
        <x:f>IF(D717="Rate",IF(COUNT(F717:G717)&lt;2,"",IF(G717=0,"n.a.",F717/G717)),IF(COUNT(E717)=0,"",E717))</x:f>
      </x:c>
      <x:c r="I717" s="40" t="str">
        <x:f>IF(AND(ISNUMBER(H717),ISNUMBER(C717)),H717-C717,"")</x:f>
      </x:c>
      <x:c r="J717" s="2" t="str">
        <x:v>%</x:v>
      </x:c>
      <x:c r="K717" s="2" t="str">
        <x:v>Nova</x:v>
      </x:c>
      <x:c r="L717" s="28" t="str"/>
      <x:c r="M717" s="20"/>
      <x:c r="N717" s="21"/>
      <x:c r="O717" s="26" t="str">
        <x:v>Unique email-positive opportunities booked / unique email-positive opportunities in the same reviewed cohort. Use a documented follow-up window. This differs from the all-channel 40-inquiry/20-booking planning assumption. A zero denominator is N/A.</x:v>
      </x:c>
      <x:c r="P717" s="26" t="str">
        <x:v>PDF §9</x:v>
      </x:c>
      <x:c r="Q717" s="2" t="n">
        <x:f>IF(ISNUMBER(H717),1,0)</x:f>
        <x:v>0</x:v>
      </x:c>
    </x:row>
    <x:row r="718" ht="46" customHeight="1">
      <x:c r="A718" s="17" t="n">
        <x:v>46358</x:v>
      </x:c>
      <x:c r="B718" s="2" t="str">
        <x:v>Existing-account referral asks</x:v>
      </x:c>
      <x:c r="C718" s="2" t="n">
        <x:v>41</x:v>
      </x:c>
      <x:c r="D718" s="2" t="str">
        <x:v>Cumulative total</x:v>
      </x:c>
      <x:c r="E718" s="20"/>
      <x:c r="F718" s="20"/>
      <x:c r="G718" s="20"/>
      <x:c r="H718" s="2" t="str">
        <x:f>IF(D718="Rate",IF(COUNT(F718:G718)&lt;2,"",IF(G718=0,"n.a.",F718/G718)),IF(COUNT(E718)=0,"",E718))</x:f>
      </x:c>
      <x:c r="I718" s="2" t="str">
        <x:f>IF(AND(ISNUMBER(H718),ISNUMBER(C718)),H718-C718,"")</x:f>
      </x:c>
      <x:c r="J718" s="2" t="str">
        <x:v>accounts asked</x:v>
      </x:c>
      <x:c r="K718" s="2" t="str">
        <x:v>Maseeha</x:v>
      </x:c>
      <x:c r="L718" s="28" t="str"/>
      <x:c r="M718" s="20"/>
      <x:c r="N718" s="21"/>
      <x:c r="O718" s="26" t="str">
        <x:v>Ask 25 unique A/B accounts (5 A and 20 B) by November 13; proposed pace 35 total by November 20; complete the remaining C accounts to reach 41 total by November 25. One introduction is the ask; asks and received intros are separate counts.</x:v>
      </x:c>
      <x:c r="P718" s="26" t="str">
        <x:v>PDF §16 supplies 25 A/B byNov 14 and 16 C byNov 25; Friday deadline and 35-byNov 20 pace are proposed scheduling allocations.</x:v>
      </x:c>
      <x:c r="Q718" s="2" t="n">
        <x:f>IF(ISNUMBER(H718),1,0)</x:f>
        <x:v>0</x:v>
      </x:c>
    </x:row>
    <x:row r="719" ht="46" customHeight="1">
      <x:c r="A719" s="17" t="n">
        <x:v>46358</x:v>
      </x:c>
      <x:c r="B719" s="2" t="str">
        <x:v>Approved SOPs</x:v>
      </x:c>
      <x:c r="C719" s="2"/>
      <x:c r="D719" s="2" t="str">
        <x:v>Cumulative total</x:v>
      </x:c>
      <x:c r="E719" s="20"/>
      <x:c r="F719" s="20"/>
      <x:c r="G719" s="20"/>
      <x:c r="H719" s="2" t="str">
        <x:f>IF(D719="Rate",IF(COUNT(F719:G719)&lt;2,"",IF(G719=0,"n.a.",F719/G719)),IF(COUNT(E719)=0,"",E719))</x:f>
      </x:c>
      <x:c r="I719" s="2" t="str">
        <x:f>IF(AND(ISNUMBER(H719),ISNUMBER(C719)),H719-C719,"")</x:f>
      </x:c>
      <x:c r="J719" s="2" t="str">
        <x:v>SOPs</x:v>
      </x:c>
      <x:c r="K719" s="2" t="str">
        <x:v>Wyline</x:v>
      </x:c>
      <x:c r="L719" s="28" t="str"/>
      <x:c r="M719" s="20"/>
      <x:c r="N719" s="21"/>
      <x:c r="O719" s="26" t="str">
        <x:v>10 core SOPs plus ADS-01 and SOC-01 additions; approved version and independent-run evidence required.</x:v>
      </x:c>
      <x:c r="P719" s="26" t="str">
        <x:v>PDF §8 with §§17 b–d additions</x:v>
      </x:c>
      <x:c r="Q719" s="2" t="n">
        <x:f>IF(ISNUMBER(H719),1,0)</x:f>
        <x:v>0</x:v>
      </x:c>
    </x:row>
    <x:row r="720" ht="46" customHeight="1">
      <x:c r="A720" s="17" t="n">
        <x:v>46358</x:v>
      </x:c>
      <x:c r="B720" s="2" t="str">
        <x:v>Accepted AI agents</x:v>
      </x:c>
      <x:c r="C720" s="2"/>
      <x:c r="D720" s="2" t="str">
        <x:v>Cumulative total</x:v>
      </x:c>
      <x:c r="E720" s="20"/>
      <x:c r="F720" s="20"/>
      <x:c r="G720" s="20"/>
      <x:c r="H720" s="2" t="str">
        <x:f>IF(D720="Rate",IF(COUNT(F720:G720)&lt;2,"",IF(G720=0,"n.a.",F720/G720)),IF(COUNT(E720)=0,"",E720))</x:f>
      </x:c>
      <x:c r="I720" s="2" t="str">
        <x:f>IF(AND(ISNUMBER(H720),ISNUMBER(C720)),H720-C720,"")</x:f>
      </x:c>
      <x:c r="J720" s="2" t="str">
        <x:v>agents</x:v>
      </x:c>
      <x:c r="K720" s="2" t="str">
        <x:v>Emman</x:v>
      </x:c>
      <x:c r="L720" s="28" t="str"/>
      <x:c r="M720" s="20"/>
      <x:c r="N720" s="21"/>
      <x:c r="O720" s="26" t="str">
        <x:v>Scout, Writer, Inbox, Phone Assist, LinkedIn Assist, Follow-up, Scoreboard and Client Reporter; acceptance evidence required.</x:v>
      </x:c>
      <x:c r="P720" s="26" t="str">
        <x:v>PDF §7</x:v>
      </x:c>
      <x:c r="Q720" s="2" t="n">
        <x:f>IF(ISNUMBER(H720),1,0)</x:f>
        <x:v>0</x:v>
      </x:c>
    </x:row>
    <x:row r="721" ht="46" customHeight="1">
      <x:c r="A721" s="17" t="n">
        <x:v>46359</x:v>
      </x:c>
      <x:c r="B721" s="2" t="str">
        <x:v>Qualified inquiries</x:v>
      </x:c>
      <x:c r="C721" s="2" t="n">
        <x:v>25</x:v>
      </x:c>
      <x:c r="D721" s="2" t="str">
        <x:v>Cumulative total</x:v>
      </x:c>
      <x:c r="E721" s="20"/>
      <x:c r="F721" s="20"/>
      <x:c r="G721" s="20"/>
      <x:c r="H721" s="2" t="str">
        <x:f>IF(D721="Rate",IF(COUNT(F721:G721)&lt;2,"",IF(G721=0,"n.a.",F721/G721)),IF(COUNT(E721)=0,"",E721))</x:f>
      </x:c>
      <x:c r="I721" s="2" t="str">
        <x:f>IF(AND(ISNUMBER(H721),ISNUMBER(C721)),H721-C721,"")</x:f>
      </x:c>
      <x:c r="J721" s="2" t="str">
        <x:v>inquiries</x:v>
      </x:c>
      <x:c r="K721" s="2" t="str">
        <x:v>Nova</x:v>
      </x:c>
      <x:c r="L721" s="28" t="str"/>
      <x:c r="M721" s="20"/>
      <x:c r="N721" s="21"/>
      <x:c r="O721" s="26" t="str">
        <x:v>Unique ICP-matched practices that express relevant interest, need or timing; Nova records practice type, decision-maker access, case volume, service need and readiness within 30–60 days. Raw records, opens and connection accepts do not qualify.</x:v>
      </x:c>
      <x:c r="P721" s="26" t="str">
        <x:v>Original proposal pages 2 and 4 define qualification; 40 by Dec 16 and intermediate pace are newly proposed recovery targets.</x:v>
      </x:c>
      <x:c r="Q721" s="2" t="n">
        <x:f>IF(ISNUMBER(H721),1,0)</x:f>
        <x:v>0</x:v>
      </x:c>
    </x:row>
    <x:row r="722" ht="46" customHeight="1">
      <x:c r="A722" s="17" t="n">
        <x:v>46359</x:v>
      </x:c>
      <x:c r="B722" s="2" t="str">
        <x:v>Qualified conversations booked</x:v>
      </x:c>
      <x:c r="C722" s="2" t="n">
        <x:v>12</x:v>
      </x:c>
      <x:c r="D722" s="2" t="str">
        <x:v>Cumulative total</x:v>
      </x:c>
      <x:c r="E722" s="20"/>
      <x:c r="F722" s="20"/>
      <x:c r="G722" s="20"/>
      <x:c r="H722" s="2" t="str">
        <x:f>IF(D722="Rate",IF(COUNT(F722:G722)&lt;2,"",IF(G722=0,"n.a.",F722/G722)),IF(COUNT(E722)=0,"",E722))</x:f>
      </x:c>
      <x:c r="I722" s="2" t="str">
        <x:f>IF(AND(ISNUMBER(H722),ISNUMBER(C722)),H722-C722,"")</x:f>
      </x:c>
      <x:c r="J722" s="2" t="str">
        <x:v>bookings</x:v>
      </x:c>
      <x:c r="K722" s="2" t="str">
        <x:v>Nova</x:v>
      </x:c>
      <x:c r="L722" s="28" t="str"/>
      <x:c r="M722" s="20"/>
      <x:c r="N722" s="21"/>
      <x:c r="O722" s="26" t="str">
        <x:v>Unique qualified calls/visits booked with Nic; rebooking same opportunity is not a new booking.</x:v>
      </x:c>
      <x:c r="P722" s="26" t="str">
        <x:v>PDF §10; final deadline advanced to user Dec 16</x:v>
      </x:c>
      <x:c r="Q722" s="2" t="n">
        <x:f>IF(ISNUMBER(H722),1,0)</x:f>
        <x:v>0</x:v>
      </x:c>
    </x:row>
    <x:row r="723" ht="46" customHeight="1">
      <x:c r="A723" s="17" t="n">
        <x:v>46359</x:v>
      </x:c>
      <x:c r="B723" s="2" t="str">
        <x:v>Qualified conversations held</x:v>
      </x:c>
      <x:c r="C723" s="2" t="n">
        <x:v>9</x:v>
      </x:c>
      <x:c r="D723" s="2" t="str">
        <x:v>Cumulative total</x:v>
      </x:c>
      <x:c r="E723" s="20"/>
      <x:c r="F723" s="20"/>
      <x:c r="G723" s="20"/>
      <x:c r="H723" s="2" t="str">
        <x:f>IF(D723="Rate",IF(COUNT(F723:G723)&lt;2,"",IF(G723=0,"n.a.",F723/G723)),IF(COUNT(E723)=0,"",E723))</x:f>
      </x:c>
      <x:c r="I723" s="2" t="str">
        <x:f>IF(AND(ISNUMBER(H723),ISNUMBER(C723)),H723-C723,"")</x:f>
      </x:c>
      <x:c r="J723" s="2" t="str">
        <x:v>held</x:v>
      </x:c>
      <x:c r="K723" s="2" t="str">
        <x:v>Nova</x:v>
      </x:c>
      <x:c r="L723" s="28" t="str"/>
      <x:c r="M723" s="20"/>
      <x:c r="N723" s="21"/>
      <x:c r="O723" s="26" t="str">
        <x:v>Completed qualified calls/visits; 6 and 15 are integer planning proxies for 70% of 8 and 75% of 20.</x:v>
      </x:c>
      <x:c r="P723" s="26" t="str">
        <x:v>Derived from source held-rate targets</x:v>
      </x:c>
      <x:c r="Q723" s="2" t="n">
        <x:f>IF(ISNUMBER(H723),1,0)</x:f>
        <x:v>0</x:v>
      </x:c>
    </x:row>
    <x:row r="724" ht="46" customHeight="1">
      <x:c r="A724" s="17" t="n">
        <x:v>46359</x:v>
      </x:c>
      <x:c r="B724" s="2" t="str">
        <x:v>Trial cases received by DSI</x:v>
      </x:c>
      <x:c r="C724" s="2" t="n">
        <x:v>3</x:v>
      </x:c>
      <x:c r="D724" s="2" t="str">
        <x:v>Cumulative total</x:v>
      </x:c>
      <x:c r="E724" s="20"/>
      <x:c r="F724" s="20"/>
      <x:c r="G724" s="20"/>
      <x:c r="H724" s="2" t="str">
        <x:f>IF(D724="Rate",IF(COUNT(F724:G724)&lt;2,"",IF(G724=0,"n.a.",F724/G724)),IF(COUNT(E724)=0,"",E724))</x:f>
      </x:c>
      <x:c r="I724" s="2" t="str">
        <x:f>IF(AND(ISNUMBER(H724),ISNUMBER(C724)),H724-C724,"")</x:f>
      </x:c>
      <x:c r="J724" s="2" t="str">
        <x:v>trials</x:v>
      </x:c>
      <x:c r="K724" s="2" t="str">
        <x:v>Maseeha</x:v>
      </x:c>
      <x:c r="L724" s="28" t="str"/>
      <x:c r="M724" s="20"/>
      <x:c r="N724" s="21"/>
      <x:c r="O724" s="26" t="str">
        <x:v>Practice’s first trial case received by DSI, not merely promised or shipped; subject to Maseeha capacity.</x:v>
      </x:c>
      <x:c r="P724" s="26" t="str">
        <x:v>PDF §10; final deadline advanced to user Dec 16</x:v>
      </x:c>
      <x:c r="Q724" s="2" t="n">
        <x:f>IF(ISNUMBER(H724),1,0)</x:f>
        <x:v>0</x:v>
      </x:c>
    </x:row>
    <x:row r="725" ht="46" customHeight="1">
      <x:c r="A725" s="17" t="n">
        <x:v>46359</x:v>
      </x:c>
      <x:c r="B725" s="2" t="str">
        <x:v>Recurring accounts signed</x:v>
      </x:c>
      <x:c r="C725" s="2"/>
      <x:c r="D725" s="2" t="str">
        <x:v>Cumulative total</x:v>
      </x:c>
      <x:c r="E725" s="20"/>
      <x:c r="F725" s="20"/>
      <x:c r="G725" s="20"/>
      <x:c r="H725" s="2" t="str">
        <x:f>IF(D725="Rate",IF(COUNT(F725:G725)&lt;2,"",IF(G725=0,"n.a.",F725/G725)),IF(COUNT(E725)=0,"",E725))</x:f>
      </x:c>
      <x:c r="I725" s="2" t="str">
        <x:f>IF(AND(ISNUMBER(H725),ISNUMBER(C725)),H725-C725,"")</x:f>
      </x:c>
      <x:c r="J725" s="2" t="str">
        <x:v>accounts</x:v>
      </x:c>
      <x:c r="K725" s="2" t="str">
        <x:v>Nic</x:v>
      </x:c>
      <x:c r="L725" s="28" t="str"/>
      <x:c r="M725" s="20"/>
      <x:c r="N725" s="21"/>
      <x:c r="O725" s="26" t="str">
        <x:v>Plan signed following Day-30 review; only mature trial cohorts eligible. 1–3 is a conditional range.</x:v>
      </x:c>
      <x:c r="P725" s="26" t="str">
        <x:v>PDF §10</x:v>
      </x:c>
      <x:c r="Q725" s="2" t="n">
        <x:f>IF(ISNUMBER(H725),1,0)</x:f>
        <x:v>0</x:v>
      </x:c>
    </x:row>
    <x:row r="726" ht="46" customHeight="1">
      <x:c r="A726" s="17" t="n">
        <x:v>46359</x:v>
      </x:c>
      <x:c r="B726" s="2" t="str">
        <x:v>Referral-sourced bookings</x:v>
      </x:c>
      <x:c r="C726" s="2" t="n">
        <x:v>5</x:v>
      </x:c>
      <x:c r="D726" s="2" t="str">
        <x:v>Cumulative total</x:v>
      </x:c>
      <x:c r="E726" s="20"/>
      <x:c r="F726" s="20"/>
      <x:c r="G726" s="20"/>
      <x:c r="H726" s="2" t="str">
        <x:f>IF(D726="Rate",IF(COUNT(F726:G726)&lt;2,"",IF(G726=0,"n.a.",F726/G726)),IF(COUNT(E726)=0,"",E726))</x:f>
      </x:c>
      <x:c r="I726" s="2" t="str">
        <x:f>IF(AND(ISNUMBER(H726),ISNUMBER(C726)),H726-C726,"")</x:f>
      </x:c>
      <x:c r="J726" s="2" t="str">
        <x:v>bookings</x:v>
      </x:c>
      <x:c r="K726" s="2" t="str">
        <x:v>Nova</x:v>
      </x:c>
      <x:c r="L726" s="28" t="str"/>
      <x:c r="M726" s="20"/>
      <x:c r="N726" s="21"/>
      <x:c r="O726" s="26" t="str">
        <x:v>Subset of booked total with primary Source=Referral; never added on top of all-channel bookings.</x:v>
      </x:c>
      <x:c r="P726" s="26" t="str">
        <x:v>PDF §§10, 16</x:v>
      </x:c>
      <x:c r="Q726" s="2" t="n">
        <x:f>IF(ISNUMBER(H726),1,0)</x:f>
        <x:v>0</x:v>
      </x:c>
    </x:row>
    <x:row r="727" ht="46" customHeight="1">
      <x:c r="A727" s="17" t="n">
        <x:v>46359</x:v>
      </x:c>
      <x:c r="B727" s="2" t="str">
        <x:v>LinkedIn DM-sourced bookings</x:v>
      </x:c>
      <x:c r="C727" s="2" t="n">
        <x:v>4</x:v>
      </x:c>
      <x:c r="D727" s="2" t="str">
        <x:v>Cumulative total</x:v>
      </x:c>
      <x:c r="E727" s="20"/>
      <x:c r="F727" s="20"/>
      <x:c r="G727" s="20"/>
      <x:c r="H727" s="2" t="str">
        <x:f>IF(D727="Rate",IF(COUNT(F727:G727)&lt;2,"",IF(G727=0,"n.a.",F727/G727)),IF(COUNT(E727)=0,"",E727))</x:f>
      </x:c>
      <x:c r="I727" s="2" t="str">
        <x:f>IF(AND(ISNUMBER(H727),ISNUMBER(C727)),H727-C727,"")</x:f>
      </x:c>
      <x:c r="J727" s="2" t="str">
        <x:v>bookings</x:v>
      </x:c>
      <x:c r="K727" s="2" t="str">
        <x:v>Dexter</x:v>
      </x:c>
      <x:c r="L727" s="28" t="str"/>
      <x:c r="M727" s="20"/>
      <x:c r="N727" s="21"/>
      <x:c r="O727" s="26" t="str">
        <x:v>Subset of booked total with primary Source=LinkedIn DM; assists tracked separately.</x:v>
      </x:c>
      <x:c r="P727" s="26" t="str">
        <x:v>PDF §§10, 17 a</x:v>
      </x:c>
      <x:c r="Q727" s="2" t="n">
        <x:f>IF(ISNUMBER(H727),1,0)</x:f>
        <x:v>0</x:v>
      </x:c>
    </x:row>
    <x:row r="728" ht="46" customHeight="1">
      <x:c r="A728" s="17" t="n">
        <x:v>46359</x:v>
      </x:c>
      <x:c r="B728" s="2" t="str">
        <x:v>Verified contacts ready</x:v>
      </x:c>
      <x:c r="C728" s="2" t="n">
        <x:v>620</x:v>
      </x:c>
      <x:c r="D728" s="2" t="str">
        <x:v>Cumulative total</x:v>
      </x:c>
      <x:c r="E728" s="20"/>
      <x:c r="F728" s="20"/>
      <x:c r="G728" s="20"/>
      <x:c r="H728" s="2" t="str">
        <x:f>IF(D728="Rate",IF(COUNT(F728:G728)&lt;2,"",IF(G728=0,"n.a.",F728/G728)),IF(COUNT(E728)=0,"",E728))</x:f>
      </x:c>
      <x:c r="I728" s="2" t="str">
        <x:f>IF(AND(ISNUMBER(H728),ISNUMBER(C728)),H728-C728,"")</x:f>
      </x:c>
      <x:c r="J728" s="2" t="str">
        <x:v>contacts</x:v>
      </x:c>
      <x:c r="K728" s="2" t="str">
        <x:v>Joey</x:v>
      </x:c>
      <x:c r="L728" s="28" t="str"/>
      <x:c r="M728" s="20"/>
      <x:c r="N728" s="21"/>
      <x:c r="O728" s="26" t="str">
        <x:v>Unique contacts passing Scout and loaded in CQL; count once per contact.</x:v>
      </x:c>
      <x:c r="P728" s="26" t="str">
        <x:v>PDF §§10, 14; 750 due Dec 12 moved to Fri Dec 11</x:v>
      </x:c>
      <x:c r="Q728" s="2" t="n">
        <x:f>IF(ISNUMBER(H728),1,0)</x:f>
        <x:v>0</x:v>
      </x:c>
    </x:row>
    <x:row r="729" ht="46" customHeight="1">
      <x:c r="A729" s="17" t="n">
        <x:v>46359</x:v>
      </x:c>
      <x:c r="B729" s="2" t="str">
        <x:v>Permission-based referral introductions</x:v>
      </x:c>
      <x:c r="C729" s="2" t="n">
        <x:v>11</x:v>
      </x:c>
      <x:c r="D729" s="2" t="str">
        <x:v>Cumulative total</x:v>
      </x:c>
      <x:c r="E729" s="20"/>
      <x:c r="F729" s="20"/>
      <x:c r="G729" s="20"/>
      <x:c r="H729" s="2" t="str">
        <x:f>IF(D729="Rate",IF(COUNT(F729:G729)&lt;2,"",IF(G729=0,"n.a.",F729/G729)),IF(COUNT(E729)=0,"",E729))</x:f>
      </x:c>
      <x:c r="I729" s="2" t="str">
        <x:f>IF(AND(ISNUMBER(H729),ISNUMBER(C729)),H729-C729,"")</x:f>
      </x:c>
      <x:c r="J729" s="2" t="str">
        <x:v>introductions</x:v>
      </x:c>
      <x:c r="K729" s="2" t="str">
        <x:v>Maseeha</x:v>
      </x:c>
      <x:c r="L729" s="28" t="str"/>
      <x:c r="M729" s="20"/>
      <x:c r="N729" s="21"/>
      <x:c r="O729" s="26" t="str">
        <x:v>Unique introductions with consent and referrer recorded, verified by Maseeha within 2 business days.</x:v>
      </x:c>
      <x:c r="P729" s="26" t="str">
        <x:v>PDF §§10, 16</x:v>
      </x:c>
      <x:c r="Q729" s="2" t="n">
        <x:f>IF(ISNUMBER(H729),1,0)</x:f>
        <x:v>0</x:v>
      </x:c>
    </x:row>
    <x:row r="730" ht="46" customHeight="1">
      <x:c r="A730" s="17" t="n">
        <x:v>46359</x:v>
      </x:c>
      <x:c r="B730" s="2" t="str">
        <x:v>Human reply rate</x:v>
      </x:c>
      <x:c r="C730" s="40" t="n">
        <x:v>0.03</x:v>
      </x:c>
      <x:c r="D730" s="2" t="str">
        <x:v>Rate</x:v>
      </x:c>
      <x:c r="E730" s="20"/>
      <x:c r="F730" s="20"/>
      <x:c r="G730" s="20"/>
      <x:c r="H730" s="40" t="str">
        <x:f>IF(D730="Rate",IF(COUNT(F730:G730)&lt;2,"",IF(G730=0,"n.a.",F730/G730)),IF(COUNT(E730)=0,"",E730))</x:f>
      </x:c>
      <x:c r="I730" s="40" t="str">
        <x:f>IF(AND(ISNUMBER(H730),ISNUMBER(C730)),H730-C730,"")</x:f>
      </x:c>
      <x:c r="J730" s="2" t="str">
        <x:v>%</x:v>
      </x:c>
      <x:c r="K730" s="2" t="str">
        <x:v>Kenneth</x:v>
      </x:c>
      <x:c r="L730" s="28" t="str"/>
      <x:c r="M730" s="20"/>
      <x:c r="N730" s="21"/>
      <x:c r="O730" s="26" t="str">
        <x:v>Unique emailed contacts that give a qualifying human reply / unique contacts emailed in the same send cohort. Exclude OOO, auto-replies, bounces and unsubscribe-only replies. Deduplicate contacts across sequence steps; zero denominator is N/A.</x:v>
      </x:c>
      <x:c r="P730" s="26" t="str">
        <x:v>PDF §10</x:v>
      </x:c>
      <x:c r="Q730" s="2" t="n">
        <x:f>IF(ISNUMBER(H730),1,0)</x:f>
        <x:v>0</x:v>
      </x:c>
    </x:row>
    <x:row r="731" ht="46" customHeight="1">
      <x:c r="A731" s="17" t="n">
        <x:v>46359</x:v>
      </x:c>
      <x:c r="B731" s="2" t="str">
        <x:v>Positive reply rate</x:v>
      </x:c>
      <x:c r="C731" s="40" t="n">
        <x:v>0.015</x:v>
      </x:c>
      <x:c r="D731" s="2" t="str">
        <x:v>Rate</x:v>
      </x:c>
      <x:c r="E731" s="20"/>
      <x:c r="F731" s="20"/>
      <x:c r="G731" s="20"/>
      <x:c r="H731" s="40" t="str">
        <x:f>IF(D731="Rate",IF(COUNT(F731:G731)&lt;2,"",IF(G731=0,"n.a.",F731/G731)),IF(COUNT(E731)=0,"",E731))</x:f>
      </x:c>
      <x:c r="I731" s="40" t="str">
        <x:f>IF(AND(ISNUMBER(H731),ISNUMBER(C731)),H731-C731,"")</x:f>
      </x:c>
      <x:c r="J731" s="2" t="str">
        <x:v>%</x:v>
      </x:c>
      <x:c r="K731" s="2" t="str">
        <x:v>Kenneth</x:v>
      </x:c>
      <x:c r="L731" s="28" t="str"/>
      <x:c r="M731" s="20"/>
      <x:c r="N731" s="21"/>
      <x:c r="O731" s="26" t="str">
        <x:v>Unique emailed contacts classified interested or relevant question / unique contacts emailed in the same send cohort. Deduplicate across sequence steps; zero denominator is N/A. Keep this email rate separate from all-channel qualified inquiries.</x:v>
      </x:c>
      <x:c r="P731" s="26" t="str">
        <x:v>PDF §10</x:v>
      </x:c>
      <x:c r="Q731" s="2" t="n">
        <x:f>IF(ISNUMBER(H731),1,0)</x:f>
        <x:v>0</x:v>
      </x:c>
    </x:row>
    <x:row r="732" ht="46" customHeight="1">
      <x:c r="A732" s="17" t="n">
        <x:v>46359</x:v>
      </x:c>
      <x:c r="B732" s="2" t="str">
        <x:v>Replies answered within 15 minutes</x:v>
      </x:c>
      <x:c r="C732" s="40" t="n">
        <x:v>1</x:v>
      </x:c>
      <x:c r="D732" s="2" t="str">
        <x:v>Rate</x:v>
      </x:c>
      <x:c r="E732" s="20"/>
      <x:c r="F732" s="20"/>
      <x:c r="G732" s="20"/>
      <x:c r="H732" s="40" t="str">
        <x:f>IF(D732="Rate",IF(COUNT(F732:G732)&lt;2,"",IF(G732=0,"n.a.",F732/G732)),IF(COUNT(E732)=0,"",E732))</x:f>
      </x:c>
      <x:c r="I732" s="40" t="str">
        <x:f>IF(AND(ISNUMBER(H732),ISNUMBER(C732)),H732-C732,"")</x:f>
      </x:c>
      <x:c r="J732" s="2" t="str">
        <x:v>%</x:v>
      </x:c>
      <x:c r="K732" s="2" t="str">
        <x:v>Nova</x:v>
      </x:c>
      <x:c r="L732" s="28" t="str"/>
      <x:c r="M732" s="20"/>
      <x:c r="N732" s="21"/>
      <x:c r="O732"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732" s="26" t="str">
        <x:v>PDF §9; clock convention clarified for tracker</x:v>
      </x:c>
      <x:c r="Q732" s="2" t="n">
        <x:f>IF(ISNUMBER(H732),1,0)</x:f>
        <x:v>0</x:v>
      </x:c>
    </x:row>
    <x:row r="733" ht="46" customHeight="1">
      <x:c r="A733" s="17" t="n">
        <x:v>46359</x:v>
      </x:c>
      <x:c r="B733" s="2" t="str">
        <x:v>Held rate</x:v>
      </x:c>
      <x:c r="C733" s="40" t="n">
        <x:v>0.75</x:v>
      </x:c>
      <x:c r="D733" s="2" t="str">
        <x:v>Rate</x:v>
      </x:c>
      <x:c r="E733" s="20"/>
      <x:c r="F733" s="20"/>
      <x:c r="G733" s="20"/>
      <x:c r="H733" s="40" t="str">
        <x:f>IF(D733="Rate",IF(COUNT(F733:G733)&lt;2,"",IF(G733=0,"n.a.",F733/G733)),IF(COUNT(E733)=0,"",E733))</x:f>
      </x:c>
      <x:c r="I733" s="40" t="str">
        <x:f>IF(AND(ISNUMBER(H733),ISNUMBER(C733)),H733-C733,"")</x:f>
      </x:c>
      <x:c r="J733" s="2" t="str">
        <x:v>%</x:v>
      </x:c>
      <x:c r="K733" s="2" t="str">
        <x:v>Nova</x:v>
      </x:c>
      <x:c r="L733" s="28" t="str"/>
      <x:c r="M733" s="20"/>
      <x:c r="N733" s="21"/>
      <x:c r="O733" s="26" t="str">
        <x:v>Qualified conversations actually held / unique booked conversations whose scheduled time has passed. Exclude upcoming appointments. Rebooking the same opportunity is not a second booking. A zero denominator is N/A.</x:v>
      </x:c>
      <x:c r="P733" s="26" t="str">
        <x:v>PDF §10; due-cohort denominator clarified</x:v>
      </x:c>
      <x:c r="Q733" s="2" t="n">
        <x:f>IF(ISNUMBER(H733),1,0)</x:f>
        <x:v>0</x:v>
      </x:c>
    </x:row>
    <x:row r="734" ht="46" customHeight="1">
      <x:c r="A734" s="17" t="n">
        <x:v>46359</x:v>
      </x:c>
      <x:c r="B734" s="2" t="str">
        <x:v>Positive-to-booked conversion</x:v>
      </x:c>
      <x:c r="C734" s="40" t="n">
        <x:v>0.5</x:v>
      </x:c>
      <x:c r="D734" s="2" t="str">
        <x:v>Rate</x:v>
      </x:c>
      <x:c r="E734" s="20"/>
      <x:c r="F734" s="20"/>
      <x:c r="G734" s="20"/>
      <x:c r="H734" s="40" t="str">
        <x:f>IF(D734="Rate",IF(COUNT(F734:G734)&lt;2,"",IF(G734=0,"n.a.",F734/G734)),IF(COUNT(E734)=0,"",E734))</x:f>
      </x:c>
      <x:c r="I734" s="40" t="str">
        <x:f>IF(AND(ISNUMBER(H734),ISNUMBER(C734)),H734-C734,"")</x:f>
      </x:c>
      <x:c r="J734" s="2" t="str">
        <x:v>%</x:v>
      </x:c>
      <x:c r="K734" s="2" t="str">
        <x:v>Nova</x:v>
      </x:c>
      <x:c r="L734" s="28" t="str"/>
      <x:c r="M734" s="20"/>
      <x:c r="N734" s="21"/>
      <x:c r="O734" s="26" t="str">
        <x:v>Unique email-positive opportunities booked / unique email-positive opportunities in the same reviewed cohort. Use a documented follow-up window. This differs from the all-channel 40-inquiry/20-booking planning assumption. A zero denominator is N/A.</x:v>
      </x:c>
      <x:c r="P734" s="26" t="str">
        <x:v>PDF §9</x:v>
      </x:c>
      <x:c r="Q734" s="2" t="n">
        <x:f>IF(ISNUMBER(H734),1,0)</x:f>
        <x:v>0</x:v>
      </x:c>
    </x:row>
    <x:row r="735" ht="46" customHeight="1">
      <x:c r="A735" s="17" t="n">
        <x:v>46359</x:v>
      </x:c>
      <x:c r="B735" s="2" t="str">
        <x:v>Existing-account referral asks</x:v>
      </x:c>
      <x:c r="C735" s="2" t="n">
        <x:v>41</x:v>
      </x:c>
      <x:c r="D735" s="2" t="str">
        <x:v>Cumulative total</x:v>
      </x:c>
      <x:c r="E735" s="20"/>
      <x:c r="F735" s="20"/>
      <x:c r="G735" s="20"/>
      <x:c r="H735" s="2" t="str">
        <x:f>IF(D735="Rate",IF(COUNT(F735:G735)&lt;2,"",IF(G735=0,"n.a.",F735/G735)),IF(COUNT(E735)=0,"",E735))</x:f>
      </x:c>
      <x:c r="I735" s="2" t="str">
        <x:f>IF(AND(ISNUMBER(H735),ISNUMBER(C735)),H735-C735,"")</x:f>
      </x:c>
      <x:c r="J735" s="2" t="str">
        <x:v>accounts asked</x:v>
      </x:c>
      <x:c r="K735" s="2" t="str">
        <x:v>Maseeha</x:v>
      </x:c>
      <x:c r="L735" s="28" t="str"/>
      <x:c r="M735" s="20"/>
      <x:c r="N735" s="21"/>
      <x:c r="O735" s="26" t="str">
        <x:v>Ask 25 unique A/B accounts (5 A and 20 B) by November 13; proposed pace 35 total by November 20; complete the remaining C accounts to reach 41 total by November 25. One introduction is the ask; asks and received intros are separate counts.</x:v>
      </x:c>
      <x:c r="P735" s="26" t="str">
        <x:v>PDF §16 supplies 25 A/B byNov 14 and 16 C byNov 25; Friday deadline and 35-byNov 20 pace are proposed scheduling allocations.</x:v>
      </x:c>
      <x:c r="Q735" s="2" t="n">
        <x:f>IF(ISNUMBER(H735),1,0)</x:f>
        <x:v>0</x:v>
      </x:c>
    </x:row>
    <x:row r="736" ht="46" customHeight="1">
      <x:c r="A736" s="17" t="n">
        <x:v>46359</x:v>
      </x:c>
      <x:c r="B736" s="2" t="str">
        <x:v>Approved SOPs</x:v>
      </x:c>
      <x:c r="C736" s="2"/>
      <x:c r="D736" s="2" t="str">
        <x:v>Cumulative total</x:v>
      </x:c>
      <x:c r="E736" s="20"/>
      <x:c r="F736" s="20"/>
      <x:c r="G736" s="20"/>
      <x:c r="H736" s="2" t="str">
        <x:f>IF(D736="Rate",IF(COUNT(F736:G736)&lt;2,"",IF(G736=0,"n.a.",F736/G736)),IF(COUNT(E736)=0,"",E736))</x:f>
      </x:c>
      <x:c r="I736" s="2" t="str">
        <x:f>IF(AND(ISNUMBER(H736),ISNUMBER(C736)),H736-C736,"")</x:f>
      </x:c>
      <x:c r="J736" s="2" t="str">
        <x:v>SOPs</x:v>
      </x:c>
      <x:c r="K736" s="2" t="str">
        <x:v>Wyline</x:v>
      </x:c>
      <x:c r="L736" s="28" t="str"/>
      <x:c r="M736" s="20"/>
      <x:c r="N736" s="21"/>
      <x:c r="O736" s="26" t="str">
        <x:v>10 core SOPs plus ADS-01 and SOC-01 additions; approved version and independent-run evidence required.</x:v>
      </x:c>
      <x:c r="P736" s="26" t="str">
        <x:v>PDF §8 with §§17 b–d additions</x:v>
      </x:c>
      <x:c r="Q736" s="2" t="n">
        <x:f>IF(ISNUMBER(H736),1,0)</x:f>
        <x:v>0</x:v>
      </x:c>
    </x:row>
    <x:row r="737" ht="46" customHeight="1">
      <x:c r="A737" s="17" t="n">
        <x:v>46359</x:v>
      </x:c>
      <x:c r="B737" s="2" t="str">
        <x:v>Accepted AI agents</x:v>
      </x:c>
      <x:c r="C737" s="2"/>
      <x:c r="D737" s="2" t="str">
        <x:v>Cumulative total</x:v>
      </x:c>
      <x:c r="E737" s="20"/>
      <x:c r="F737" s="20"/>
      <x:c r="G737" s="20"/>
      <x:c r="H737" s="2" t="str">
        <x:f>IF(D737="Rate",IF(COUNT(F737:G737)&lt;2,"",IF(G737=0,"n.a.",F737/G737)),IF(COUNT(E737)=0,"",E737))</x:f>
      </x:c>
      <x:c r="I737" s="2" t="str">
        <x:f>IF(AND(ISNUMBER(H737),ISNUMBER(C737)),H737-C737,"")</x:f>
      </x:c>
      <x:c r="J737" s="2" t="str">
        <x:v>agents</x:v>
      </x:c>
      <x:c r="K737" s="2" t="str">
        <x:v>Emman</x:v>
      </x:c>
      <x:c r="L737" s="28" t="str"/>
      <x:c r="M737" s="20"/>
      <x:c r="N737" s="21"/>
      <x:c r="O737" s="26" t="str">
        <x:v>Scout, Writer, Inbox, Phone Assist, LinkedIn Assist, Follow-up, Scoreboard and Client Reporter; acceptance evidence required.</x:v>
      </x:c>
      <x:c r="P737" s="26" t="str">
        <x:v>PDF §7</x:v>
      </x:c>
      <x:c r="Q737" s="2" t="n">
        <x:f>IF(ISNUMBER(H737),1,0)</x:f>
        <x:v>0</x:v>
      </x:c>
    </x:row>
    <x:row r="738" ht="46" customHeight="1">
      <x:c r="A738" s="17" t="n">
        <x:v>46360</x:v>
      </x:c>
      <x:c r="B738" s="2" t="str">
        <x:v>Qualified inquiries</x:v>
      </x:c>
      <x:c r="C738" s="2" t="n">
        <x:v>28</x:v>
      </x:c>
      <x:c r="D738" s="2" t="str">
        <x:v>Cumulative total</x:v>
      </x:c>
      <x:c r="E738" s="20"/>
      <x:c r="F738" s="20"/>
      <x:c r="G738" s="20"/>
      <x:c r="H738" s="2" t="str">
        <x:f>IF(D738="Rate",IF(COUNT(F738:G738)&lt;2,"",IF(G738=0,"n.a.",F738/G738)),IF(COUNT(E738)=0,"",E738))</x:f>
      </x:c>
      <x:c r="I738" s="2" t="str">
        <x:f>IF(AND(ISNUMBER(H738),ISNUMBER(C738)),H738-C738,"")</x:f>
      </x:c>
      <x:c r="J738" s="2" t="str">
        <x:v>inquiries</x:v>
      </x:c>
      <x:c r="K738" s="2" t="str">
        <x:v>Nova</x:v>
      </x:c>
      <x:c r="L738" s="28" t="str"/>
      <x:c r="M738" s="20"/>
      <x:c r="N738" s="21"/>
      <x:c r="O738" s="26" t="str">
        <x:v>Unique ICP-matched practices that express relevant interest, need or timing; Nova records practice type, decision-maker access, case volume, service need and readiness within 30–60 days. Raw records, opens and connection accepts do not qualify.</x:v>
      </x:c>
      <x:c r="P738" s="26" t="str">
        <x:v>Original proposal pages 2 and 4 define qualification; 40 by Dec 16 and intermediate pace are newly proposed recovery targets.</x:v>
      </x:c>
      <x:c r="Q738" s="2" t="n">
        <x:f>IF(ISNUMBER(H738),1,0)</x:f>
        <x:v>0</x:v>
      </x:c>
    </x:row>
    <x:row r="739" ht="46" customHeight="1">
      <x:c r="A739" s="17" t="n">
        <x:v>46360</x:v>
      </x:c>
      <x:c r="B739" s="2" t="str">
        <x:v>Qualified conversations booked</x:v>
      </x:c>
      <x:c r="C739" s="2" t="n">
        <x:v>14</x:v>
      </x:c>
      <x:c r="D739" s="2" t="str">
        <x:v>Cumulative total</x:v>
      </x:c>
      <x:c r="E739" s="20"/>
      <x:c r="F739" s="20"/>
      <x:c r="G739" s="20"/>
      <x:c r="H739" s="2" t="str">
        <x:f>IF(D739="Rate",IF(COUNT(F739:G739)&lt;2,"",IF(G739=0,"n.a.",F739/G739)),IF(COUNT(E739)=0,"",E739))</x:f>
      </x:c>
      <x:c r="I739" s="2" t="str">
        <x:f>IF(AND(ISNUMBER(H739),ISNUMBER(C739)),H739-C739,"")</x:f>
      </x:c>
      <x:c r="J739" s="2" t="str">
        <x:v>bookings</x:v>
      </x:c>
      <x:c r="K739" s="2" t="str">
        <x:v>Nova</x:v>
      </x:c>
      <x:c r="L739" s="28" t="str"/>
      <x:c r="M739" s="20"/>
      <x:c r="N739" s="21"/>
      <x:c r="O739" s="26" t="str">
        <x:v>Unique qualified calls/visits booked with Nic; rebooking same opportunity is not a new booking.</x:v>
      </x:c>
      <x:c r="P739" s="26" t="str">
        <x:v>PDF §10; final deadline advanced to user Dec 16</x:v>
      </x:c>
      <x:c r="Q739" s="2" t="n">
        <x:f>IF(ISNUMBER(H739),1,0)</x:f>
        <x:v>0</x:v>
      </x:c>
    </x:row>
    <x:row r="740" ht="46" customHeight="1">
      <x:c r="A740" s="17" t="n">
        <x:v>46360</x:v>
      </x:c>
      <x:c r="B740" s="2" t="str">
        <x:v>Qualified conversations held</x:v>
      </x:c>
      <x:c r="C740" s="2" t="n">
        <x:v>10</x:v>
      </x:c>
      <x:c r="D740" s="2" t="str">
        <x:v>Cumulative total</x:v>
      </x:c>
      <x:c r="E740" s="20"/>
      <x:c r="F740" s="20"/>
      <x:c r="G740" s="20"/>
      <x:c r="H740" s="2" t="str">
        <x:f>IF(D740="Rate",IF(COUNT(F740:G740)&lt;2,"",IF(G740=0,"n.a.",F740/G740)),IF(COUNT(E740)=0,"",E740))</x:f>
      </x:c>
      <x:c r="I740" s="2" t="str">
        <x:f>IF(AND(ISNUMBER(H740),ISNUMBER(C740)),H740-C740,"")</x:f>
      </x:c>
      <x:c r="J740" s="2" t="str">
        <x:v>held</x:v>
      </x:c>
      <x:c r="K740" s="2" t="str">
        <x:v>Nova</x:v>
      </x:c>
      <x:c r="L740" s="28" t="str"/>
      <x:c r="M740" s="20"/>
      <x:c r="N740" s="21"/>
      <x:c r="O740" s="26" t="str">
        <x:v>Completed qualified calls/visits; 6 and 15 are integer planning proxies for 70% of 8 and 75% of 20.</x:v>
      </x:c>
      <x:c r="P740" s="26" t="str">
        <x:v>Derived from source held-rate targets</x:v>
      </x:c>
      <x:c r="Q740" s="2" t="n">
        <x:f>IF(ISNUMBER(H740),1,0)</x:f>
        <x:v>0</x:v>
      </x:c>
    </x:row>
    <x:row r="741" ht="46" customHeight="1">
      <x:c r="A741" s="17" t="n">
        <x:v>46360</x:v>
      </x:c>
      <x:c r="B741" s="2" t="str">
        <x:v>Trial cases received by DSI</x:v>
      </x:c>
      <x:c r="C741" s="2" t="n">
        <x:v>4</x:v>
      </x:c>
      <x:c r="D741" s="2" t="str">
        <x:v>Cumulative total</x:v>
      </x:c>
      <x:c r="E741" s="20"/>
      <x:c r="F741" s="20"/>
      <x:c r="G741" s="20"/>
      <x:c r="H741" s="2" t="str">
        <x:f>IF(D741="Rate",IF(COUNT(F741:G741)&lt;2,"",IF(G741=0,"n.a.",F741/G741)),IF(COUNT(E741)=0,"",E741))</x:f>
      </x:c>
      <x:c r="I741" s="2" t="str">
        <x:f>IF(AND(ISNUMBER(H741),ISNUMBER(C741)),H741-C741,"")</x:f>
      </x:c>
      <x:c r="J741" s="2" t="str">
        <x:v>trials</x:v>
      </x:c>
      <x:c r="K741" s="2" t="str">
        <x:v>Maseeha</x:v>
      </x:c>
      <x:c r="L741" s="28" t="str"/>
      <x:c r="M741" s="20"/>
      <x:c r="N741" s="21"/>
      <x:c r="O741" s="26" t="str">
        <x:v>Practice’s first trial case received by DSI, not merely promised or shipped; subject to Maseeha capacity.</x:v>
      </x:c>
      <x:c r="P741" s="26" t="str">
        <x:v>PDF §10; final deadline advanced to user Dec 16</x:v>
      </x:c>
      <x:c r="Q741" s="2" t="n">
        <x:f>IF(ISNUMBER(H741),1,0)</x:f>
        <x:v>0</x:v>
      </x:c>
    </x:row>
    <x:row r="742" ht="46" customHeight="1">
      <x:c r="A742" s="17" t="n">
        <x:v>46360</x:v>
      </x:c>
      <x:c r="B742" s="2" t="str">
        <x:v>Recurring accounts signed</x:v>
      </x:c>
      <x:c r="C742" s="2"/>
      <x:c r="D742" s="2" t="str">
        <x:v>Cumulative total</x:v>
      </x:c>
      <x:c r="E742" s="20"/>
      <x:c r="F742" s="20"/>
      <x:c r="G742" s="20"/>
      <x:c r="H742" s="2" t="str">
        <x:f>IF(D742="Rate",IF(COUNT(F742:G742)&lt;2,"",IF(G742=0,"n.a.",F742/G742)),IF(COUNT(E742)=0,"",E742))</x:f>
      </x:c>
      <x:c r="I742" s="2" t="str">
        <x:f>IF(AND(ISNUMBER(H742),ISNUMBER(C742)),H742-C742,"")</x:f>
      </x:c>
      <x:c r="J742" s="2" t="str">
        <x:v>accounts</x:v>
      </x:c>
      <x:c r="K742" s="2" t="str">
        <x:v>Nic</x:v>
      </x:c>
      <x:c r="L742" s="28" t="str"/>
      <x:c r="M742" s="20"/>
      <x:c r="N742" s="21"/>
      <x:c r="O742" s="26" t="str">
        <x:v>Plan signed following Day-30 review; only mature trial cohorts eligible. 1–3 is a conditional range.</x:v>
      </x:c>
      <x:c r="P742" s="26" t="str">
        <x:v>PDF §10</x:v>
      </x:c>
      <x:c r="Q742" s="2" t="n">
        <x:f>IF(ISNUMBER(H742),1,0)</x:f>
        <x:v>0</x:v>
      </x:c>
    </x:row>
    <x:row r="743" ht="46" customHeight="1">
      <x:c r="A743" s="17" t="n">
        <x:v>46360</x:v>
      </x:c>
      <x:c r="B743" s="2" t="str">
        <x:v>Referral-sourced bookings</x:v>
      </x:c>
      <x:c r="C743" s="2" t="n">
        <x:v>6</x:v>
      </x:c>
      <x:c r="D743" s="2" t="str">
        <x:v>Cumulative total</x:v>
      </x:c>
      <x:c r="E743" s="20"/>
      <x:c r="F743" s="20"/>
      <x:c r="G743" s="20"/>
      <x:c r="H743" s="2" t="str">
        <x:f>IF(D743="Rate",IF(COUNT(F743:G743)&lt;2,"",IF(G743=0,"n.a.",F743/G743)),IF(COUNT(E743)=0,"",E743))</x:f>
      </x:c>
      <x:c r="I743" s="2" t="str">
        <x:f>IF(AND(ISNUMBER(H743),ISNUMBER(C743)),H743-C743,"")</x:f>
      </x:c>
      <x:c r="J743" s="2" t="str">
        <x:v>bookings</x:v>
      </x:c>
      <x:c r="K743" s="2" t="str">
        <x:v>Nova</x:v>
      </x:c>
      <x:c r="L743" s="28" t="str"/>
      <x:c r="M743" s="20"/>
      <x:c r="N743" s="21"/>
      <x:c r="O743" s="26" t="str">
        <x:v>Subset of booked total with primary Source=Referral; never added on top of all-channel bookings.</x:v>
      </x:c>
      <x:c r="P743" s="26" t="str">
        <x:v>PDF §§10, 16</x:v>
      </x:c>
      <x:c r="Q743" s="2" t="n">
        <x:f>IF(ISNUMBER(H743),1,0)</x:f>
        <x:v>0</x:v>
      </x:c>
    </x:row>
    <x:row r="744" ht="46" customHeight="1">
      <x:c r="A744" s="17" t="n">
        <x:v>46360</x:v>
      </x:c>
      <x:c r="B744" s="2" t="str">
        <x:v>LinkedIn DM-sourced bookings</x:v>
      </x:c>
      <x:c r="C744" s="2" t="n">
        <x:v>5</x:v>
      </x:c>
      <x:c r="D744" s="2" t="str">
        <x:v>Cumulative total</x:v>
      </x:c>
      <x:c r="E744" s="20"/>
      <x:c r="F744" s="20"/>
      <x:c r="G744" s="20"/>
      <x:c r="H744" s="2" t="str">
        <x:f>IF(D744="Rate",IF(COUNT(F744:G744)&lt;2,"",IF(G744=0,"n.a.",F744/G744)),IF(COUNT(E744)=0,"",E744))</x:f>
      </x:c>
      <x:c r="I744" s="2" t="str">
        <x:f>IF(AND(ISNUMBER(H744),ISNUMBER(C744)),H744-C744,"")</x:f>
      </x:c>
      <x:c r="J744" s="2" t="str">
        <x:v>bookings</x:v>
      </x:c>
      <x:c r="K744" s="2" t="str">
        <x:v>Dexter</x:v>
      </x:c>
      <x:c r="L744" s="28" t="str"/>
      <x:c r="M744" s="20"/>
      <x:c r="N744" s="21"/>
      <x:c r="O744" s="26" t="str">
        <x:v>Subset of booked total with primary Source=LinkedIn DM; assists tracked separately.</x:v>
      </x:c>
      <x:c r="P744" s="26" t="str">
        <x:v>PDF §§10, 17 a</x:v>
      </x:c>
      <x:c r="Q744" s="2" t="n">
        <x:f>IF(ISNUMBER(H744),1,0)</x:f>
        <x:v>0</x:v>
      </x:c>
    </x:row>
    <x:row r="745" ht="46" customHeight="1">
      <x:c r="A745" s="17" t="n">
        <x:v>46360</x:v>
      </x:c>
      <x:c r="B745" s="2" t="str">
        <x:v>Verified contacts ready</x:v>
      </x:c>
      <x:c r="C745" s="2" t="n">
        <x:v>650</x:v>
      </x:c>
      <x:c r="D745" s="2" t="str">
        <x:v>Cumulative total</x:v>
      </x:c>
      <x:c r="E745" s="20"/>
      <x:c r="F745" s="20"/>
      <x:c r="G745" s="20"/>
      <x:c r="H745" s="2" t="str">
        <x:f>IF(D745="Rate",IF(COUNT(F745:G745)&lt;2,"",IF(G745=0,"n.a.",F745/G745)),IF(COUNT(E745)=0,"",E745))</x:f>
      </x:c>
      <x:c r="I745" s="2" t="str">
        <x:f>IF(AND(ISNUMBER(H745),ISNUMBER(C745)),H745-C745,"")</x:f>
      </x:c>
      <x:c r="J745" s="2" t="str">
        <x:v>contacts</x:v>
      </x:c>
      <x:c r="K745" s="2" t="str">
        <x:v>Joey</x:v>
      </x:c>
      <x:c r="L745" s="28" t="str"/>
      <x:c r="M745" s="20"/>
      <x:c r="N745" s="21"/>
      <x:c r="O745" s="26" t="str">
        <x:v>Unique contacts passing Scout and loaded in CQL; count once per contact.</x:v>
      </x:c>
      <x:c r="P745" s="26" t="str">
        <x:v>PDF §§10, 14; 750 due Dec 12 moved to Fri Dec 11</x:v>
      </x:c>
      <x:c r="Q745" s="2" t="n">
        <x:f>IF(ISNUMBER(H745),1,0)</x:f>
        <x:v>0</x:v>
      </x:c>
    </x:row>
    <x:row r="746" ht="46" customHeight="1">
      <x:c r="A746" s="17" t="n">
        <x:v>46360</x:v>
      </x:c>
      <x:c r="B746" s="2" t="str">
        <x:v>Permission-based referral introductions</x:v>
      </x:c>
      <x:c r="C746" s="2" t="n">
        <x:v>12</x:v>
      </x:c>
      <x:c r="D746" s="2" t="str">
        <x:v>Cumulative total</x:v>
      </x:c>
      <x:c r="E746" s="20"/>
      <x:c r="F746" s="20"/>
      <x:c r="G746" s="20"/>
      <x:c r="H746" s="2" t="str">
        <x:f>IF(D746="Rate",IF(COUNT(F746:G746)&lt;2,"",IF(G746=0,"n.a.",F746/G746)),IF(COUNT(E746)=0,"",E746))</x:f>
      </x:c>
      <x:c r="I746" s="2" t="str">
        <x:f>IF(AND(ISNUMBER(H746),ISNUMBER(C746)),H746-C746,"")</x:f>
      </x:c>
      <x:c r="J746" s="2" t="str">
        <x:v>introductions</x:v>
      </x:c>
      <x:c r="K746" s="2" t="str">
        <x:v>Maseeha</x:v>
      </x:c>
      <x:c r="L746" s="28" t="str"/>
      <x:c r="M746" s="20"/>
      <x:c r="N746" s="21"/>
      <x:c r="O746" s="26" t="str">
        <x:v>Unique introductions with consent and referrer recorded, verified by Maseeha within 2 business days.</x:v>
      </x:c>
      <x:c r="P746" s="26" t="str">
        <x:v>PDF §§10, 16</x:v>
      </x:c>
      <x:c r="Q746" s="2" t="n">
        <x:f>IF(ISNUMBER(H746),1,0)</x:f>
        <x:v>0</x:v>
      </x:c>
    </x:row>
    <x:row r="747" ht="46" customHeight="1">
      <x:c r="A747" s="17" t="n">
        <x:v>46360</x:v>
      </x:c>
      <x:c r="B747" s="2" t="str">
        <x:v>Human reply rate</x:v>
      </x:c>
      <x:c r="C747" s="40" t="n">
        <x:v>0.03</x:v>
      </x:c>
      <x:c r="D747" s="2" t="str">
        <x:v>Rate</x:v>
      </x:c>
      <x:c r="E747" s="20"/>
      <x:c r="F747" s="20"/>
      <x:c r="G747" s="20"/>
      <x:c r="H747" s="40" t="str">
        <x:f>IF(D747="Rate",IF(COUNT(F747:G747)&lt;2,"",IF(G747=0,"n.a.",F747/G747)),IF(COUNT(E747)=0,"",E747))</x:f>
      </x:c>
      <x:c r="I747" s="40" t="str">
        <x:f>IF(AND(ISNUMBER(H747),ISNUMBER(C747)),H747-C747,"")</x:f>
      </x:c>
      <x:c r="J747" s="2" t="str">
        <x:v>%</x:v>
      </x:c>
      <x:c r="K747" s="2" t="str">
        <x:v>Kenneth</x:v>
      </x:c>
      <x:c r="L747" s="28" t="str"/>
      <x:c r="M747" s="20"/>
      <x:c r="N747" s="21"/>
      <x:c r="O747" s="26" t="str">
        <x:v>Unique emailed contacts that give a qualifying human reply / unique contacts emailed in the same send cohort. Exclude OOO, auto-replies, bounces and unsubscribe-only replies. Deduplicate contacts across sequence steps; zero denominator is N/A.</x:v>
      </x:c>
      <x:c r="P747" s="26" t="str">
        <x:v>PDF §10</x:v>
      </x:c>
      <x:c r="Q747" s="2" t="n">
        <x:f>IF(ISNUMBER(H747),1,0)</x:f>
        <x:v>0</x:v>
      </x:c>
    </x:row>
    <x:row r="748" ht="46" customHeight="1">
      <x:c r="A748" s="17" t="n">
        <x:v>46360</x:v>
      </x:c>
      <x:c r="B748" s="2" t="str">
        <x:v>Positive reply rate</x:v>
      </x:c>
      <x:c r="C748" s="40" t="n">
        <x:v>0.015</x:v>
      </x:c>
      <x:c r="D748" s="2" t="str">
        <x:v>Rate</x:v>
      </x:c>
      <x:c r="E748" s="20"/>
      <x:c r="F748" s="20"/>
      <x:c r="G748" s="20"/>
      <x:c r="H748" s="40" t="str">
        <x:f>IF(D748="Rate",IF(COUNT(F748:G748)&lt;2,"",IF(G748=0,"n.a.",F748/G748)),IF(COUNT(E748)=0,"",E748))</x:f>
      </x:c>
      <x:c r="I748" s="40" t="str">
        <x:f>IF(AND(ISNUMBER(H748),ISNUMBER(C748)),H748-C748,"")</x:f>
      </x:c>
      <x:c r="J748" s="2" t="str">
        <x:v>%</x:v>
      </x:c>
      <x:c r="K748" s="2" t="str">
        <x:v>Kenneth</x:v>
      </x:c>
      <x:c r="L748" s="28" t="str"/>
      <x:c r="M748" s="20"/>
      <x:c r="N748" s="21"/>
      <x:c r="O748" s="26" t="str">
        <x:v>Unique emailed contacts classified interested or relevant question / unique contacts emailed in the same send cohort. Deduplicate across sequence steps; zero denominator is N/A. Keep this email rate separate from all-channel qualified inquiries.</x:v>
      </x:c>
      <x:c r="P748" s="26" t="str">
        <x:v>PDF §10</x:v>
      </x:c>
      <x:c r="Q748" s="2" t="n">
        <x:f>IF(ISNUMBER(H748),1,0)</x:f>
        <x:v>0</x:v>
      </x:c>
    </x:row>
    <x:row r="749" ht="46" customHeight="1">
      <x:c r="A749" s="17" t="n">
        <x:v>46360</x:v>
      </x:c>
      <x:c r="B749" s="2" t="str">
        <x:v>Replies answered within 15 minutes</x:v>
      </x:c>
      <x:c r="C749" s="40" t="n">
        <x:v>1</x:v>
      </x:c>
      <x:c r="D749" s="2" t="str">
        <x:v>Rate</x:v>
      </x:c>
      <x:c r="E749" s="20"/>
      <x:c r="F749" s="20"/>
      <x:c r="G749" s="20"/>
      <x:c r="H749" s="40" t="str">
        <x:f>IF(D749="Rate",IF(COUNT(F749:G749)&lt;2,"",IF(G749=0,"n.a.",F749/G749)),IF(COUNT(E749)=0,"",E749))</x:f>
      </x:c>
      <x:c r="I749" s="40" t="str">
        <x:f>IF(AND(ISNUMBER(H749),ISNUMBER(C749)),H749-C749,"")</x:f>
      </x:c>
      <x:c r="J749" s="2" t="str">
        <x:v>%</x:v>
      </x:c>
      <x:c r="K749" s="2" t="str">
        <x:v>Nova</x:v>
      </x:c>
      <x:c r="L749" s="28" t="str"/>
      <x:c r="M749" s="20"/>
      <x:c r="N749" s="21"/>
      <x:c r="O749"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749" s="26" t="str">
        <x:v>PDF §9; clock convention clarified for tracker</x:v>
      </x:c>
      <x:c r="Q749" s="2" t="n">
        <x:f>IF(ISNUMBER(H749),1,0)</x:f>
        <x:v>0</x:v>
      </x:c>
    </x:row>
    <x:row r="750" ht="46" customHeight="1">
      <x:c r="A750" s="17" t="n">
        <x:v>46360</x:v>
      </x:c>
      <x:c r="B750" s="2" t="str">
        <x:v>Held rate</x:v>
      </x:c>
      <x:c r="C750" s="40" t="n">
        <x:v>0.75</x:v>
      </x:c>
      <x:c r="D750" s="2" t="str">
        <x:v>Rate</x:v>
      </x:c>
      <x:c r="E750" s="20"/>
      <x:c r="F750" s="20"/>
      <x:c r="G750" s="20"/>
      <x:c r="H750" s="40" t="str">
        <x:f>IF(D750="Rate",IF(COUNT(F750:G750)&lt;2,"",IF(G750=0,"n.a.",F750/G750)),IF(COUNT(E750)=0,"",E750))</x:f>
      </x:c>
      <x:c r="I750" s="40" t="str">
        <x:f>IF(AND(ISNUMBER(H750),ISNUMBER(C750)),H750-C750,"")</x:f>
      </x:c>
      <x:c r="J750" s="2" t="str">
        <x:v>%</x:v>
      </x:c>
      <x:c r="K750" s="2" t="str">
        <x:v>Nova</x:v>
      </x:c>
      <x:c r="L750" s="28" t="str"/>
      <x:c r="M750" s="20"/>
      <x:c r="N750" s="21"/>
      <x:c r="O750" s="26" t="str">
        <x:v>Qualified conversations actually held / unique booked conversations whose scheduled time has passed. Exclude upcoming appointments. Rebooking the same opportunity is not a second booking. A zero denominator is N/A.</x:v>
      </x:c>
      <x:c r="P750" s="26" t="str">
        <x:v>PDF §10; due-cohort denominator clarified</x:v>
      </x:c>
      <x:c r="Q750" s="2" t="n">
        <x:f>IF(ISNUMBER(H750),1,0)</x:f>
        <x:v>0</x:v>
      </x:c>
    </x:row>
    <x:row r="751" ht="46" customHeight="1">
      <x:c r="A751" s="17" t="n">
        <x:v>46360</x:v>
      </x:c>
      <x:c r="B751" s="2" t="str">
        <x:v>Positive-to-booked conversion</x:v>
      </x:c>
      <x:c r="C751" s="40" t="n">
        <x:v>0.5</x:v>
      </x:c>
      <x:c r="D751" s="2" t="str">
        <x:v>Rate</x:v>
      </x:c>
      <x:c r="E751" s="20"/>
      <x:c r="F751" s="20"/>
      <x:c r="G751" s="20"/>
      <x:c r="H751" s="40" t="str">
        <x:f>IF(D751="Rate",IF(COUNT(F751:G751)&lt;2,"",IF(G751=0,"n.a.",F751/G751)),IF(COUNT(E751)=0,"",E751))</x:f>
      </x:c>
      <x:c r="I751" s="40" t="str">
        <x:f>IF(AND(ISNUMBER(H751),ISNUMBER(C751)),H751-C751,"")</x:f>
      </x:c>
      <x:c r="J751" s="2" t="str">
        <x:v>%</x:v>
      </x:c>
      <x:c r="K751" s="2" t="str">
        <x:v>Nova</x:v>
      </x:c>
      <x:c r="L751" s="28" t="str"/>
      <x:c r="M751" s="20"/>
      <x:c r="N751" s="21"/>
      <x:c r="O751" s="26" t="str">
        <x:v>Unique email-positive opportunities booked / unique email-positive opportunities in the same reviewed cohort. Use a documented follow-up window. This differs from the all-channel 40-inquiry/20-booking planning assumption. A zero denominator is N/A.</x:v>
      </x:c>
      <x:c r="P751" s="26" t="str">
        <x:v>PDF §9</x:v>
      </x:c>
      <x:c r="Q751" s="2" t="n">
        <x:f>IF(ISNUMBER(H751),1,0)</x:f>
        <x:v>0</x:v>
      </x:c>
    </x:row>
    <x:row r="752" ht="46" customHeight="1">
      <x:c r="A752" s="17" t="n">
        <x:v>46360</x:v>
      </x:c>
      <x:c r="B752" s="2" t="str">
        <x:v>Existing-account referral asks</x:v>
      </x:c>
      <x:c r="C752" s="2" t="n">
        <x:v>41</x:v>
      </x:c>
      <x:c r="D752" s="2" t="str">
        <x:v>Cumulative total</x:v>
      </x:c>
      <x:c r="E752" s="20"/>
      <x:c r="F752" s="20"/>
      <x:c r="G752" s="20"/>
      <x:c r="H752" s="2" t="str">
        <x:f>IF(D752="Rate",IF(COUNT(F752:G752)&lt;2,"",IF(G752=0,"n.a.",F752/G752)),IF(COUNT(E752)=0,"",E752))</x:f>
      </x:c>
      <x:c r="I752" s="2" t="str">
        <x:f>IF(AND(ISNUMBER(H752),ISNUMBER(C752)),H752-C752,"")</x:f>
      </x:c>
      <x:c r="J752" s="2" t="str">
        <x:v>accounts asked</x:v>
      </x:c>
      <x:c r="K752" s="2" t="str">
        <x:v>Maseeha</x:v>
      </x:c>
      <x:c r="L752" s="28" t="str"/>
      <x:c r="M752" s="20"/>
      <x:c r="N752" s="21"/>
      <x:c r="O752" s="26" t="str">
        <x:v>Ask 25 unique A/B accounts (5 A and 20 B) by November 13; proposed pace 35 total by November 20; complete the remaining C accounts to reach 41 total by November 25. One introduction is the ask; asks and received intros are separate counts.</x:v>
      </x:c>
      <x:c r="P752" s="26" t="str">
        <x:v>PDF §16 supplies 25 A/B byNov 14 and 16 C byNov 25; Friday deadline and 35-byNov 20 pace are proposed scheduling allocations.</x:v>
      </x:c>
      <x:c r="Q752" s="2" t="n">
        <x:f>IF(ISNUMBER(H752),1,0)</x:f>
        <x:v>0</x:v>
      </x:c>
    </x:row>
    <x:row r="753" ht="46" customHeight="1">
      <x:c r="A753" s="17" t="n">
        <x:v>46360</x:v>
      </x:c>
      <x:c r="B753" s="2" t="str">
        <x:v>Approved SOPs</x:v>
      </x:c>
      <x:c r="C753" s="2"/>
      <x:c r="D753" s="2" t="str">
        <x:v>Cumulative total</x:v>
      </x:c>
      <x:c r="E753" s="20"/>
      <x:c r="F753" s="20"/>
      <x:c r="G753" s="20"/>
      <x:c r="H753" s="2" t="str">
        <x:f>IF(D753="Rate",IF(COUNT(F753:G753)&lt;2,"",IF(G753=0,"n.a.",F753/G753)),IF(COUNT(E753)=0,"",E753))</x:f>
      </x:c>
      <x:c r="I753" s="2" t="str">
        <x:f>IF(AND(ISNUMBER(H753),ISNUMBER(C753)),H753-C753,"")</x:f>
      </x:c>
      <x:c r="J753" s="2" t="str">
        <x:v>SOPs</x:v>
      </x:c>
      <x:c r="K753" s="2" t="str">
        <x:v>Wyline</x:v>
      </x:c>
      <x:c r="L753" s="28" t="str"/>
      <x:c r="M753" s="20"/>
      <x:c r="N753" s="21"/>
      <x:c r="O753" s="26" t="str">
        <x:v>10 core SOPs plus ADS-01 and SOC-01 additions; approved version and independent-run evidence required.</x:v>
      </x:c>
      <x:c r="P753" s="26" t="str">
        <x:v>PDF §8 with §§17 b–d additions</x:v>
      </x:c>
      <x:c r="Q753" s="2" t="n">
        <x:f>IF(ISNUMBER(H753),1,0)</x:f>
        <x:v>0</x:v>
      </x:c>
    </x:row>
    <x:row r="754" ht="46" customHeight="1">
      <x:c r="A754" s="17" t="n">
        <x:v>46360</x:v>
      </x:c>
      <x:c r="B754" s="2" t="str">
        <x:v>Accepted AI agents</x:v>
      </x:c>
      <x:c r="C754" s="2"/>
      <x:c r="D754" s="2" t="str">
        <x:v>Cumulative total</x:v>
      </x:c>
      <x:c r="E754" s="20"/>
      <x:c r="F754" s="20"/>
      <x:c r="G754" s="20"/>
      <x:c r="H754" s="2" t="str">
        <x:f>IF(D754="Rate",IF(COUNT(F754:G754)&lt;2,"",IF(G754=0,"n.a.",F754/G754)),IF(COUNT(E754)=0,"",E754))</x:f>
      </x:c>
      <x:c r="I754" s="2" t="str">
        <x:f>IF(AND(ISNUMBER(H754),ISNUMBER(C754)),H754-C754,"")</x:f>
      </x:c>
      <x:c r="J754" s="2" t="str">
        <x:v>agents</x:v>
      </x:c>
      <x:c r="K754" s="2" t="str">
        <x:v>Emman</x:v>
      </x:c>
      <x:c r="L754" s="28" t="str"/>
      <x:c r="M754" s="20"/>
      <x:c r="N754" s="21"/>
      <x:c r="O754" s="26" t="str">
        <x:v>Scout, Writer, Inbox, Phone Assist, LinkedIn Assist, Follow-up, Scoreboard and Client Reporter; acceptance evidence required.</x:v>
      </x:c>
      <x:c r="P754" s="26" t="str">
        <x:v>PDF §7</x:v>
      </x:c>
      <x:c r="Q754" s="2" t="n">
        <x:f>IF(ISNUMBER(H754),1,0)</x:f>
        <x:v>0</x:v>
      </x:c>
    </x:row>
    <x:row r="755" ht="46" customHeight="1">
      <x:c r="A755" s="17" t="n">
        <x:v>46361</x:v>
      </x:c>
      <x:c r="B755" s="2" t="str">
        <x:v>Qualified inquiries</x:v>
      </x:c>
      <x:c r="C755" s="2" t="n">
        <x:v>28</x:v>
      </x:c>
      <x:c r="D755" s="2" t="str">
        <x:v>Cumulative total</x:v>
      </x:c>
      <x:c r="E755" s="20"/>
      <x:c r="F755" s="20"/>
      <x:c r="G755" s="20"/>
      <x:c r="H755" s="2" t="str">
        <x:f>IF(D755="Rate",IF(COUNT(F755:G755)&lt;2,"",IF(G755=0,"n.a.",F755/G755)),IF(COUNT(E755)=0,"",E755))</x:f>
      </x:c>
      <x:c r="I755" s="2" t="str">
        <x:f>IF(AND(ISNUMBER(H755),ISNUMBER(C755)),H755-C755,"")</x:f>
      </x:c>
      <x:c r="J755" s="2" t="str">
        <x:v>inquiries</x:v>
      </x:c>
      <x:c r="K755" s="2" t="str">
        <x:v>Nova</x:v>
      </x:c>
      <x:c r="L755" s="28" t="str"/>
      <x:c r="M755" s="20"/>
      <x:c r="N755" s="21"/>
      <x:c r="O755" s="26" t="str">
        <x:v>Unique ICP-matched practices that express relevant interest, need or timing; Nova records practice type, decision-maker access, case volume, service need and readiness within 30–60 days. Raw records, opens and connection accepts do not qualify.</x:v>
      </x:c>
      <x:c r="P755" s="26" t="str">
        <x:v>Original proposal pages 2 and 4 define qualification; 40 by Dec 16 and intermediate pace are newly proposed recovery targets.</x:v>
      </x:c>
      <x:c r="Q755" s="2" t="n">
        <x:f>IF(ISNUMBER(H755),1,0)</x:f>
        <x:v>0</x:v>
      </x:c>
    </x:row>
    <x:row r="756" ht="46" customHeight="1">
      <x:c r="A756" s="17" t="n">
        <x:v>46361</x:v>
      </x:c>
      <x:c r="B756" s="2" t="str">
        <x:v>Qualified conversations booked</x:v>
      </x:c>
      <x:c r="C756" s="2" t="n">
        <x:v>14</x:v>
      </x:c>
      <x:c r="D756" s="2" t="str">
        <x:v>Cumulative total</x:v>
      </x:c>
      <x:c r="E756" s="20"/>
      <x:c r="F756" s="20"/>
      <x:c r="G756" s="20"/>
      <x:c r="H756" s="2" t="str">
        <x:f>IF(D756="Rate",IF(COUNT(F756:G756)&lt;2,"",IF(G756=0,"n.a.",F756/G756)),IF(COUNT(E756)=0,"",E756))</x:f>
      </x:c>
      <x:c r="I756" s="2" t="str">
        <x:f>IF(AND(ISNUMBER(H756),ISNUMBER(C756)),H756-C756,"")</x:f>
      </x:c>
      <x:c r="J756" s="2" t="str">
        <x:v>bookings</x:v>
      </x:c>
      <x:c r="K756" s="2" t="str">
        <x:v>Nova</x:v>
      </x:c>
      <x:c r="L756" s="28" t="str"/>
      <x:c r="M756" s="20"/>
      <x:c r="N756" s="21"/>
      <x:c r="O756" s="26" t="str">
        <x:v>Unique qualified calls/visits booked with Nic; rebooking same opportunity is not a new booking.</x:v>
      </x:c>
      <x:c r="P756" s="26" t="str">
        <x:v>PDF §10; final deadline advanced to user Dec 16</x:v>
      </x:c>
      <x:c r="Q756" s="2" t="n">
        <x:f>IF(ISNUMBER(H756),1,0)</x:f>
        <x:v>0</x:v>
      </x:c>
    </x:row>
    <x:row r="757" ht="46" customHeight="1">
      <x:c r="A757" s="17" t="n">
        <x:v>46361</x:v>
      </x:c>
      <x:c r="B757" s="2" t="str">
        <x:v>Qualified conversations held</x:v>
      </x:c>
      <x:c r="C757" s="2" t="n">
        <x:v>10</x:v>
      </x:c>
      <x:c r="D757" s="2" t="str">
        <x:v>Cumulative total</x:v>
      </x:c>
      <x:c r="E757" s="20"/>
      <x:c r="F757" s="20"/>
      <x:c r="G757" s="20"/>
      <x:c r="H757" s="2" t="str">
        <x:f>IF(D757="Rate",IF(COUNT(F757:G757)&lt;2,"",IF(G757=0,"n.a.",F757/G757)),IF(COUNT(E757)=0,"",E757))</x:f>
      </x:c>
      <x:c r="I757" s="2" t="str">
        <x:f>IF(AND(ISNUMBER(H757),ISNUMBER(C757)),H757-C757,"")</x:f>
      </x:c>
      <x:c r="J757" s="2" t="str">
        <x:v>held</x:v>
      </x:c>
      <x:c r="K757" s="2" t="str">
        <x:v>Nova</x:v>
      </x:c>
      <x:c r="L757" s="28" t="str"/>
      <x:c r="M757" s="20"/>
      <x:c r="N757" s="21"/>
      <x:c r="O757" s="26" t="str">
        <x:v>Completed qualified calls/visits; 6 and 15 are integer planning proxies for 70% of 8 and 75% of 20.</x:v>
      </x:c>
      <x:c r="P757" s="26" t="str">
        <x:v>Derived from source held-rate targets</x:v>
      </x:c>
      <x:c r="Q757" s="2" t="n">
        <x:f>IF(ISNUMBER(H757),1,0)</x:f>
        <x:v>0</x:v>
      </x:c>
    </x:row>
    <x:row r="758" ht="46" customHeight="1">
      <x:c r="A758" s="17" t="n">
        <x:v>46361</x:v>
      </x:c>
      <x:c r="B758" s="2" t="str">
        <x:v>Trial cases received by DSI</x:v>
      </x:c>
      <x:c r="C758" s="2" t="n">
        <x:v>4</x:v>
      </x:c>
      <x:c r="D758" s="2" t="str">
        <x:v>Cumulative total</x:v>
      </x:c>
      <x:c r="E758" s="20"/>
      <x:c r="F758" s="20"/>
      <x:c r="G758" s="20"/>
      <x:c r="H758" s="2" t="str">
        <x:f>IF(D758="Rate",IF(COUNT(F758:G758)&lt;2,"",IF(G758=0,"n.a.",F758/G758)),IF(COUNT(E758)=0,"",E758))</x:f>
      </x:c>
      <x:c r="I758" s="2" t="str">
        <x:f>IF(AND(ISNUMBER(H758),ISNUMBER(C758)),H758-C758,"")</x:f>
      </x:c>
      <x:c r="J758" s="2" t="str">
        <x:v>trials</x:v>
      </x:c>
      <x:c r="K758" s="2" t="str">
        <x:v>Maseeha</x:v>
      </x:c>
      <x:c r="L758" s="28" t="str"/>
      <x:c r="M758" s="20"/>
      <x:c r="N758" s="21"/>
      <x:c r="O758" s="26" t="str">
        <x:v>Practice’s first trial case received by DSI, not merely promised or shipped; subject to Maseeha capacity.</x:v>
      </x:c>
      <x:c r="P758" s="26" t="str">
        <x:v>PDF §10; final deadline advanced to user Dec 16</x:v>
      </x:c>
      <x:c r="Q758" s="2" t="n">
        <x:f>IF(ISNUMBER(H758),1,0)</x:f>
        <x:v>0</x:v>
      </x:c>
    </x:row>
    <x:row r="759" ht="46" customHeight="1">
      <x:c r="A759" s="17" t="n">
        <x:v>46361</x:v>
      </x:c>
      <x:c r="B759" s="2" t="str">
        <x:v>Recurring accounts signed</x:v>
      </x:c>
      <x:c r="C759" s="2"/>
      <x:c r="D759" s="2" t="str">
        <x:v>Cumulative total</x:v>
      </x:c>
      <x:c r="E759" s="20"/>
      <x:c r="F759" s="20"/>
      <x:c r="G759" s="20"/>
      <x:c r="H759" s="2" t="str">
        <x:f>IF(D759="Rate",IF(COUNT(F759:G759)&lt;2,"",IF(G759=0,"n.a.",F759/G759)),IF(COUNT(E759)=0,"",E759))</x:f>
      </x:c>
      <x:c r="I759" s="2" t="str">
        <x:f>IF(AND(ISNUMBER(H759),ISNUMBER(C759)),H759-C759,"")</x:f>
      </x:c>
      <x:c r="J759" s="2" t="str">
        <x:v>accounts</x:v>
      </x:c>
      <x:c r="K759" s="2" t="str">
        <x:v>Nic</x:v>
      </x:c>
      <x:c r="L759" s="28" t="str"/>
      <x:c r="M759" s="20"/>
      <x:c r="N759" s="21"/>
      <x:c r="O759" s="26" t="str">
        <x:v>Plan signed following Day-30 review; only mature trial cohorts eligible. 1–3 is a conditional range.</x:v>
      </x:c>
      <x:c r="P759" s="26" t="str">
        <x:v>PDF §10</x:v>
      </x:c>
      <x:c r="Q759" s="2" t="n">
        <x:f>IF(ISNUMBER(H759),1,0)</x:f>
        <x:v>0</x:v>
      </x:c>
    </x:row>
    <x:row r="760" ht="46" customHeight="1">
      <x:c r="A760" s="17" t="n">
        <x:v>46361</x:v>
      </x:c>
      <x:c r="B760" s="2" t="str">
        <x:v>Referral-sourced bookings</x:v>
      </x:c>
      <x:c r="C760" s="2" t="n">
        <x:v>6</x:v>
      </x:c>
      <x:c r="D760" s="2" t="str">
        <x:v>Cumulative total</x:v>
      </x:c>
      <x:c r="E760" s="20"/>
      <x:c r="F760" s="20"/>
      <x:c r="G760" s="20"/>
      <x:c r="H760" s="2" t="str">
        <x:f>IF(D760="Rate",IF(COUNT(F760:G760)&lt;2,"",IF(G760=0,"n.a.",F760/G760)),IF(COUNT(E760)=0,"",E760))</x:f>
      </x:c>
      <x:c r="I760" s="2" t="str">
        <x:f>IF(AND(ISNUMBER(H760),ISNUMBER(C760)),H760-C760,"")</x:f>
      </x:c>
      <x:c r="J760" s="2" t="str">
        <x:v>bookings</x:v>
      </x:c>
      <x:c r="K760" s="2" t="str">
        <x:v>Nova</x:v>
      </x:c>
      <x:c r="L760" s="28" t="str"/>
      <x:c r="M760" s="20"/>
      <x:c r="N760" s="21"/>
      <x:c r="O760" s="26" t="str">
        <x:v>Subset of booked total with primary Source=Referral; never added on top of all-channel bookings.</x:v>
      </x:c>
      <x:c r="P760" s="26" t="str">
        <x:v>PDF §§10, 16</x:v>
      </x:c>
      <x:c r="Q760" s="2" t="n">
        <x:f>IF(ISNUMBER(H760),1,0)</x:f>
        <x:v>0</x:v>
      </x:c>
    </x:row>
    <x:row r="761" ht="46" customHeight="1">
      <x:c r="A761" s="17" t="n">
        <x:v>46361</x:v>
      </x:c>
      <x:c r="B761" s="2" t="str">
        <x:v>LinkedIn DM-sourced bookings</x:v>
      </x:c>
      <x:c r="C761" s="2" t="n">
        <x:v>5</x:v>
      </x:c>
      <x:c r="D761" s="2" t="str">
        <x:v>Cumulative total</x:v>
      </x:c>
      <x:c r="E761" s="20"/>
      <x:c r="F761" s="20"/>
      <x:c r="G761" s="20"/>
      <x:c r="H761" s="2" t="str">
        <x:f>IF(D761="Rate",IF(COUNT(F761:G761)&lt;2,"",IF(G761=0,"n.a.",F761/G761)),IF(COUNT(E761)=0,"",E761))</x:f>
      </x:c>
      <x:c r="I761" s="2" t="str">
        <x:f>IF(AND(ISNUMBER(H761),ISNUMBER(C761)),H761-C761,"")</x:f>
      </x:c>
      <x:c r="J761" s="2" t="str">
        <x:v>bookings</x:v>
      </x:c>
      <x:c r="K761" s="2" t="str">
        <x:v>Dexter</x:v>
      </x:c>
      <x:c r="L761" s="28" t="str"/>
      <x:c r="M761" s="20"/>
      <x:c r="N761" s="21"/>
      <x:c r="O761" s="26" t="str">
        <x:v>Subset of booked total with primary Source=LinkedIn DM; assists tracked separately.</x:v>
      </x:c>
      <x:c r="P761" s="26" t="str">
        <x:v>PDF §§10, 17 a</x:v>
      </x:c>
      <x:c r="Q761" s="2" t="n">
        <x:f>IF(ISNUMBER(H761),1,0)</x:f>
        <x:v>0</x:v>
      </x:c>
    </x:row>
    <x:row r="762" ht="46" customHeight="1">
      <x:c r="A762" s="17" t="n">
        <x:v>46361</x:v>
      </x:c>
      <x:c r="B762" s="2" t="str">
        <x:v>Verified contacts ready</x:v>
      </x:c>
      <x:c r="C762" s="2" t="n">
        <x:v>650</x:v>
      </x:c>
      <x:c r="D762" s="2" t="str">
        <x:v>Cumulative total</x:v>
      </x:c>
      <x:c r="E762" s="20"/>
      <x:c r="F762" s="20"/>
      <x:c r="G762" s="20"/>
      <x:c r="H762" s="2" t="str">
        <x:f>IF(D762="Rate",IF(COUNT(F762:G762)&lt;2,"",IF(G762=0,"n.a.",F762/G762)),IF(COUNT(E762)=0,"",E762))</x:f>
      </x:c>
      <x:c r="I762" s="2" t="str">
        <x:f>IF(AND(ISNUMBER(H762),ISNUMBER(C762)),H762-C762,"")</x:f>
      </x:c>
      <x:c r="J762" s="2" t="str">
        <x:v>contacts</x:v>
      </x:c>
      <x:c r="K762" s="2" t="str">
        <x:v>Joey</x:v>
      </x:c>
      <x:c r="L762" s="28" t="str"/>
      <x:c r="M762" s="20"/>
      <x:c r="N762" s="21"/>
      <x:c r="O762" s="26" t="str">
        <x:v>Unique contacts passing Scout and loaded in CQL; count once per contact.</x:v>
      </x:c>
      <x:c r="P762" s="26" t="str">
        <x:v>PDF §§10, 14; 750 due Dec 12 moved to Fri Dec 11</x:v>
      </x:c>
      <x:c r="Q762" s="2" t="n">
        <x:f>IF(ISNUMBER(H762),1,0)</x:f>
        <x:v>0</x:v>
      </x:c>
    </x:row>
    <x:row r="763" ht="46" customHeight="1">
      <x:c r="A763" s="17" t="n">
        <x:v>46361</x:v>
      </x:c>
      <x:c r="B763" s="2" t="str">
        <x:v>Permission-based referral introductions</x:v>
      </x:c>
      <x:c r="C763" s="2" t="n">
        <x:v>12</x:v>
      </x:c>
      <x:c r="D763" s="2" t="str">
        <x:v>Cumulative total</x:v>
      </x:c>
      <x:c r="E763" s="20"/>
      <x:c r="F763" s="20"/>
      <x:c r="G763" s="20"/>
      <x:c r="H763" s="2" t="str">
        <x:f>IF(D763="Rate",IF(COUNT(F763:G763)&lt;2,"",IF(G763=0,"n.a.",F763/G763)),IF(COUNT(E763)=0,"",E763))</x:f>
      </x:c>
      <x:c r="I763" s="2" t="str">
        <x:f>IF(AND(ISNUMBER(H763),ISNUMBER(C763)),H763-C763,"")</x:f>
      </x:c>
      <x:c r="J763" s="2" t="str">
        <x:v>introductions</x:v>
      </x:c>
      <x:c r="K763" s="2" t="str">
        <x:v>Maseeha</x:v>
      </x:c>
      <x:c r="L763" s="28" t="str"/>
      <x:c r="M763" s="20"/>
      <x:c r="N763" s="21"/>
      <x:c r="O763" s="26" t="str">
        <x:v>Unique introductions with consent and referrer recorded, verified by Maseeha within 2 business days.</x:v>
      </x:c>
      <x:c r="P763" s="26" t="str">
        <x:v>PDF §§10, 16</x:v>
      </x:c>
      <x:c r="Q763" s="2" t="n">
        <x:f>IF(ISNUMBER(H763),1,0)</x:f>
        <x:v>0</x:v>
      </x:c>
    </x:row>
    <x:row r="764" ht="46" customHeight="1">
      <x:c r="A764" s="17" t="n">
        <x:v>46361</x:v>
      </x:c>
      <x:c r="B764" s="2" t="str">
        <x:v>Human reply rate</x:v>
      </x:c>
      <x:c r="C764" s="40" t="n">
        <x:v>0.03</x:v>
      </x:c>
      <x:c r="D764" s="2" t="str">
        <x:v>Rate</x:v>
      </x:c>
      <x:c r="E764" s="20"/>
      <x:c r="F764" s="20"/>
      <x:c r="G764" s="20"/>
      <x:c r="H764" s="40" t="str">
        <x:f>IF(D764="Rate",IF(COUNT(F764:G764)&lt;2,"",IF(G764=0,"n.a.",F764/G764)),IF(COUNT(E764)=0,"",E764))</x:f>
      </x:c>
      <x:c r="I764" s="40" t="str">
        <x:f>IF(AND(ISNUMBER(H764),ISNUMBER(C764)),H764-C764,"")</x:f>
      </x:c>
      <x:c r="J764" s="2" t="str">
        <x:v>%</x:v>
      </x:c>
      <x:c r="K764" s="2" t="str">
        <x:v>Kenneth</x:v>
      </x:c>
      <x:c r="L764" s="28" t="str"/>
      <x:c r="M764" s="20"/>
      <x:c r="N764" s="21"/>
      <x:c r="O764" s="26" t="str">
        <x:v>Unique emailed contacts that give a qualifying human reply / unique contacts emailed in the same send cohort. Exclude OOO, auto-replies, bounces and unsubscribe-only replies. Deduplicate contacts across sequence steps; zero denominator is N/A.</x:v>
      </x:c>
      <x:c r="P764" s="26" t="str">
        <x:v>PDF §10</x:v>
      </x:c>
      <x:c r="Q764" s="2" t="n">
        <x:f>IF(ISNUMBER(H764),1,0)</x:f>
        <x:v>0</x:v>
      </x:c>
    </x:row>
    <x:row r="765" ht="46" customHeight="1">
      <x:c r="A765" s="17" t="n">
        <x:v>46361</x:v>
      </x:c>
      <x:c r="B765" s="2" t="str">
        <x:v>Positive reply rate</x:v>
      </x:c>
      <x:c r="C765" s="40" t="n">
        <x:v>0.015</x:v>
      </x:c>
      <x:c r="D765" s="2" t="str">
        <x:v>Rate</x:v>
      </x:c>
      <x:c r="E765" s="20"/>
      <x:c r="F765" s="20"/>
      <x:c r="G765" s="20"/>
      <x:c r="H765" s="40" t="str">
        <x:f>IF(D765="Rate",IF(COUNT(F765:G765)&lt;2,"",IF(G765=0,"n.a.",F765/G765)),IF(COUNT(E765)=0,"",E765))</x:f>
      </x:c>
      <x:c r="I765" s="40" t="str">
        <x:f>IF(AND(ISNUMBER(H765),ISNUMBER(C765)),H765-C765,"")</x:f>
      </x:c>
      <x:c r="J765" s="2" t="str">
        <x:v>%</x:v>
      </x:c>
      <x:c r="K765" s="2" t="str">
        <x:v>Kenneth</x:v>
      </x:c>
      <x:c r="L765" s="28" t="str"/>
      <x:c r="M765" s="20"/>
      <x:c r="N765" s="21"/>
      <x:c r="O765" s="26" t="str">
        <x:v>Unique emailed contacts classified interested or relevant question / unique contacts emailed in the same send cohort. Deduplicate across sequence steps; zero denominator is N/A. Keep this email rate separate from all-channel qualified inquiries.</x:v>
      </x:c>
      <x:c r="P765" s="26" t="str">
        <x:v>PDF §10</x:v>
      </x:c>
      <x:c r="Q765" s="2" t="n">
        <x:f>IF(ISNUMBER(H765),1,0)</x:f>
        <x:v>0</x:v>
      </x:c>
    </x:row>
    <x:row r="766" ht="46" customHeight="1">
      <x:c r="A766" s="17" t="n">
        <x:v>46361</x:v>
      </x:c>
      <x:c r="B766" s="2" t="str">
        <x:v>Replies answered within 15 minutes</x:v>
      </x:c>
      <x:c r="C766" s="40" t="n">
        <x:v>1</x:v>
      </x:c>
      <x:c r="D766" s="2" t="str">
        <x:v>Rate</x:v>
      </x:c>
      <x:c r="E766" s="20"/>
      <x:c r="F766" s="20"/>
      <x:c r="G766" s="20"/>
      <x:c r="H766" s="40" t="str">
        <x:f>IF(D766="Rate",IF(COUNT(F766:G766)&lt;2,"",IF(G766=0,"n.a.",F766/G766)),IF(COUNT(E766)=0,"",E766))</x:f>
      </x:c>
      <x:c r="I766" s="40" t="str">
        <x:f>IF(AND(ISNUMBER(H766),ISNUMBER(C766)),H766-C766,"")</x:f>
      </x:c>
      <x:c r="J766" s="2" t="str">
        <x:v>%</x:v>
      </x:c>
      <x:c r="K766" s="2" t="str">
        <x:v>Nova</x:v>
      </x:c>
      <x:c r="L766" s="28" t="str"/>
      <x:c r="M766" s="20"/>
      <x:c r="N766" s="21"/>
      <x:c r="O766"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766" s="26" t="str">
        <x:v>PDF §9; clock convention clarified for tracker</x:v>
      </x:c>
      <x:c r="Q766" s="2" t="n">
        <x:f>IF(ISNUMBER(H766),1,0)</x:f>
        <x:v>0</x:v>
      </x:c>
    </x:row>
    <x:row r="767" ht="46" customHeight="1">
      <x:c r="A767" s="17" t="n">
        <x:v>46361</x:v>
      </x:c>
      <x:c r="B767" s="2" t="str">
        <x:v>Held rate</x:v>
      </x:c>
      <x:c r="C767" s="40" t="n">
        <x:v>0.75</x:v>
      </x:c>
      <x:c r="D767" s="2" t="str">
        <x:v>Rate</x:v>
      </x:c>
      <x:c r="E767" s="20"/>
      <x:c r="F767" s="20"/>
      <x:c r="G767" s="20"/>
      <x:c r="H767" s="40" t="str">
        <x:f>IF(D767="Rate",IF(COUNT(F767:G767)&lt;2,"",IF(G767=0,"n.a.",F767/G767)),IF(COUNT(E767)=0,"",E767))</x:f>
      </x:c>
      <x:c r="I767" s="40" t="str">
        <x:f>IF(AND(ISNUMBER(H767),ISNUMBER(C767)),H767-C767,"")</x:f>
      </x:c>
      <x:c r="J767" s="2" t="str">
        <x:v>%</x:v>
      </x:c>
      <x:c r="K767" s="2" t="str">
        <x:v>Nova</x:v>
      </x:c>
      <x:c r="L767" s="28" t="str"/>
      <x:c r="M767" s="20"/>
      <x:c r="N767" s="21"/>
      <x:c r="O767" s="26" t="str">
        <x:v>Qualified conversations actually held / unique booked conversations whose scheduled time has passed. Exclude upcoming appointments. Rebooking the same opportunity is not a second booking. A zero denominator is N/A.</x:v>
      </x:c>
      <x:c r="P767" s="26" t="str">
        <x:v>PDF §10; due-cohort denominator clarified</x:v>
      </x:c>
      <x:c r="Q767" s="2" t="n">
        <x:f>IF(ISNUMBER(H767),1,0)</x:f>
        <x:v>0</x:v>
      </x:c>
    </x:row>
    <x:row r="768" ht="46" customHeight="1">
      <x:c r="A768" s="17" t="n">
        <x:v>46361</x:v>
      </x:c>
      <x:c r="B768" s="2" t="str">
        <x:v>Positive-to-booked conversion</x:v>
      </x:c>
      <x:c r="C768" s="40" t="n">
        <x:v>0.5</x:v>
      </x:c>
      <x:c r="D768" s="2" t="str">
        <x:v>Rate</x:v>
      </x:c>
      <x:c r="E768" s="20"/>
      <x:c r="F768" s="20"/>
      <x:c r="G768" s="20"/>
      <x:c r="H768" s="40" t="str">
        <x:f>IF(D768="Rate",IF(COUNT(F768:G768)&lt;2,"",IF(G768=0,"n.a.",F768/G768)),IF(COUNT(E768)=0,"",E768))</x:f>
      </x:c>
      <x:c r="I768" s="40" t="str">
        <x:f>IF(AND(ISNUMBER(H768),ISNUMBER(C768)),H768-C768,"")</x:f>
      </x:c>
      <x:c r="J768" s="2" t="str">
        <x:v>%</x:v>
      </x:c>
      <x:c r="K768" s="2" t="str">
        <x:v>Nova</x:v>
      </x:c>
      <x:c r="L768" s="28" t="str"/>
      <x:c r="M768" s="20"/>
      <x:c r="N768" s="21"/>
      <x:c r="O768" s="26" t="str">
        <x:v>Unique email-positive opportunities booked / unique email-positive opportunities in the same reviewed cohort. Use a documented follow-up window. This differs from the all-channel 40-inquiry/20-booking planning assumption. A zero denominator is N/A.</x:v>
      </x:c>
      <x:c r="P768" s="26" t="str">
        <x:v>PDF §9</x:v>
      </x:c>
      <x:c r="Q768" s="2" t="n">
        <x:f>IF(ISNUMBER(H768),1,0)</x:f>
        <x:v>0</x:v>
      </x:c>
    </x:row>
    <x:row r="769" ht="46" customHeight="1">
      <x:c r="A769" s="17" t="n">
        <x:v>46361</x:v>
      </x:c>
      <x:c r="B769" s="2" t="str">
        <x:v>Existing-account referral asks</x:v>
      </x:c>
      <x:c r="C769" s="2" t="n">
        <x:v>41</x:v>
      </x:c>
      <x:c r="D769" s="2" t="str">
        <x:v>Cumulative total</x:v>
      </x:c>
      <x:c r="E769" s="20"/>
      <x:c r="F769" s="20"/>
      <x:c r="G769" s="20"/>
      <x:c r="H769" s="2" t="str">
        <x:f>IF(D769="Rate",IF(COUNT(F769:G769)&lt;2,"",IF(G769=0,"n.a.",F769/G769)),IF(COUNT(E769)=0,"",E769))</x:f>
      </x:c>
      <x:c r="I769" s="2" t="str">
        <x:f>IF(AND(ISNUMBER(H769),ISNUMBER(C769)),H769-C769,"")</x:f>
      </x:c>
      <x:c r="J769" s="2" t="str">
        <x:v>accounts asked</x:v>
      </x:c>
      <x:c r="K769" s="2" t="str">
        <x:v>Maseeha</x:v>
      </x:c>
      <x:c r="L769" s="28" t="str"/>
      <x:c r="M769" s="20"/>
      <x:c r="N769" s="21"/>
      <x:c r="O769" s="26" t="str">
        <x:v>Ask 25 unique A/B accounts (5 A and 20 B) by November 13; proposed pace 35 total by November 20; complete the remaining C accounts to reach 41 total by November 25. One introduction is the ask; asks and received intros are separate counts.</x:v>
      </x:c>
      <x:c r="P769" s="26" t="str">
        <x:v>PDF §16 supplies 25 A/B byNov 14 and 16 C byNov 25; Friday deadline and 35-byNov 20 pace are proposed scheduling allocations.</x:v>
      </x:c>
      <x:c r="Q769" s="2" t="n">
        <x:f>IF(ISNUMBER(H769),1,0)</x:f>
        <x:v>0</x:v>
      </x:c>
    </x:row>
    <x:row r="770" ht="46" customHeight="1">
      <x:c r="A770" s="17" t="n">
        <x:v>46361</x:v>
      </x:c>
      <x:c r="B770" s="2" t="str">
        <x:v>Approved SOPs</x:v>
      </x:c>
      <x:c r="C770" s="2"/>
      <x:c r="D770" s="2" t="str">
        <x:v>Cumulative total</x:v>
      </x:c>
      <x:c r="E770" s="20"/>
      <x:c r="F770" s="20"/>
      <x:c r="G770" s="20"/>
      <x:c r="H770" s="2" t="str">
        <x:f>IF(D770="Rate",IF(COUNT(F770:G770)&lt;2,"",IF(G770=0,"n.a.",F770/G770)),IF(COUNT(E770)=0,"",E770))</x:f>
      </x:c>
      <x:c r="I770" s="2" t="str">
        <x:f>IF(AND(ISNUMBER(H770),ISNUMBER(C770)),H770-C770,"")</x:f>
      </x:c>
      <x:c r="J770" s="2" t="str">
        <x:v>SOPs</x:v>
      </x:c>
      <x:c r="K770" s="2" t="str">
        <x:v>Wyline</x:v>
      </x:c>
      <x:c r="L770" s="28" t="str"/>
      <x:c r="M770" s="20"/>
      <x:c r="N770" s="21"/>
      <x:c r="O770" s="26" t="str">
        <x:v>10 core SOPs plus ADS-01 and SOC-01 additions; approved version and independent-run evidence required.</x:v>
      </x:c>
      <x:c r="P770" s="26" t="str">
        <x:v>PDF §8 with §§17 b–d additions</x:v>
      </x:c>
      <x:c r="Q770" s="2" t="n">
        <x:f>IF(ISNUMBER(H770),1,0)</x:f>
        <x:v>0</x:v>
      </x:c>
    </x:row>
    <x:row r="771" ht="46" customHeight="1">
      <x:c r="A771" s="17" t="n">
        <x:v>46361</x:v>
      </x:c>
      <x:c r="B771" s="2" t="str">
        <x:v>Accepted AI agents</x:v>
      </x:c>
      <x:c r="C771" s="2"/>
      <x:c r="D771" s="2" t="str">
        <x:v>Cumulative total</x:v>
      </x:c>
      <x:c r="E771" s="20"/>
      <x:c r="F771" s="20"/>
      <x:c r="G771" s="20"/>
      <x:c r="H771" s="2" t="str">
        <x:f>IF(D771="Rate",IF(COUNT(F771:G771)&lt;2,"",IF(G771=0,"n.a.",F771/G771)),IF(COUNT(E771)=0,"",E771))</x:f>
      </x:c>
      <x:c r="I771" s="2" t="str">
        <x:f>IF(AND(ISNUMBER(H771),ISNUMBER(C771)),H771-C771,"")</x:f>
      </x:c>
      <x:c r="J771" s="2" t="str">
        <x:v>agents</x:v>
      </x:c>
      <x:c r="K771" s="2" t="str">
        <x:v>Emman</x:v>
      </x:c>
      <x:c r="L771" s="28" t="str"/>
      <x:c r="M771" s="20"/>
      <x:c r="N771" s="21"/>
      <x:c r="O771" s="26" t="str">
        <x:v>Scout, Writer, Inbox, Phone Assist, LinkedIn Assist, Follow-up, Scoreboard and Client Reporter; acceptance evidence required.</x:v>
      </x:c>
      <x:c r="P771" s="26" t="str">
        <x:v>PDF §7</x:v>
      </x:c>
      <x:c r="Q771" s="2" t="n">
        <x:f>IF(ISNUMBER(H771),1,0)</x:f>
        <x:v>0</x:v>
      </x:c>
    </x:row>
    <x:row r="772" ht="46" customHeight="1">
      <x:c r="A772" s="17" t="n">
        <x:v>46362</x:v>
      </x:c>
      <x:c r="B772" s="2" t="str">
        <x:v>Qualified inquiries</x:v>
      </x:c>
      <x:c r="C772" s="2" t="n">
        <x:v>28</x:v>
      </x:c>
      <x:c r="D772" s="2" t="str">
        <x:v>Cumulative total</x:v>
      </x:c>
      <x:c r="E772" s="20"/>
      <x:c r="F772" s="20"/>
      <x:c r="G772" s="20"/>
      <x:c r="H772" s="2" t="str">
        <x:f>IF(D772="Rate",IF(COUNT(F772:G772)&lt;2,"",IF(G772=0,"n.a.",F772/G772)),IF(COUNT(E772)=0,"",E772))</x:f>
      </x:c>
      <x:c r="I772" s="2" t="str">
        <x:f>IF(AND(ISNUMBER(H772),ISNUMBER(C772)),H772-C772,"")</x:f>
      </x:c>
      <x:c r="J772" s="2" t="str">
        <x:v>inquiries</x:v>
      </x:c>
      <x:c r="K772" s="2" t="str">
        <x:v>Nova</x:v>
      </x:c>
      <x:c r="L772" s="28" t="str"/>
      <x:c r="M772" s="20"/>
      <x:c r="N772" s="21"/>
      <x:c r="O772" s="26" t="str">
        <x:v>Unique ICP-matched practices that express relevant interest, need or timing; Nova records practice type, decision-maker access, case volume, service need and readiness within 30–60 days. Raw records, opens and connection accepts do not qualify.</x:v>
      </x:c>
      <x:c r="P772" s="26" t="str">
        <x:v>Original proposal pages 2 and 4 define qualification; 40 by Dec 16 and intermediate pace are newly proposed recovery targets.</x:v>
      </x:c>
      <x:c r="Q772" s="2" t="n">
        <x:f>IF(ISNUMBER(H772),1,0)</x:f>
        <x:v>0</x:v>
      </x:c>
    </x:row>
    <x:row r="773" ht="46" customHeight="1">
      <x:c r="A773" s="17" t="n">
        <x:v>46362</x:v>
      </x:c>
      <x:c r="B773" s="2" t="str">
        <x:v>Qualified conversations booked</x:v>
      </x:c>
      <x:c r="C773" s="2" t="n">
        <x:v>14</x:v>
      </x:c>
      <x:c r="D773" s="2" t="str">
        <x:v>Cumulative total</x:v>
      </x:c>
      <x:c r="E773" s="20"/>
      <x:c r="F773" s="20"/>
      <x:c r="G773" s="20"/>
      <x:c r="H773" s="2" t="str">
        <x:f>IF(D773="Rate",IF(COUNT(F773:G773)&lt;2,"",IF(G773=0,"n.a.",F773/G773)),IF(COUNT(E773)=0,"",E773))</x:f>
      </x:c>
      <x:c r="I773" s="2" t="str">
        <x:f>IF(AND(ISNUMBER(H773),ISNUMBER(C773)),H773-C773,"")</x:f>
      </x:c>
      <x:c r="J773" s="2" t="str">
        <x:v>bookings</x:v>
      </x:c>
      <x:c r="K773" s="2" t="str">
        <x:v>Nova</x:v>
      </x:c>
      <x:c r="L773" s="28" t="str"/>
      <x:c r="M773" s="20"/>
      <x:c r="N773" s="21"/>
      <x:c r="O773" s="26" t="str">
        <x:v>Unique qualified calls/visits booked with Nic; rebooking same opportunity is not a new booking.</x:v>
      </x:c>
      <x:c r="P773" s="26" t="str">
        <x:v>PDF §10; final deadline advanced to user Dec 16</x:v>
      </x:c>
      <x:c r="Q773" s="2" t="n">
        <x:f>IF(ISNUMBER(H773),1,0)</x:f>
        <x:v>0</x:v>
      </x:c>
    </x:row>
    <x:row r="774" ht="46" customHeight="1">
      <x:c r="A774" s="17" t="n">
        <x:v>46362</x:v>
      </x:c>
      <x:c r="B774" s="2" t="str">
        <x:v>Qualified conversations held</x:v>
      </x:c>
      <x:c r="C774" s="2" t="n">
        <x:v>10</x:v>
      </x:c>
      <x:c r="D774" s="2" t="str">
        <x:v>Cumulative total</x:v>
      </x:c>
      <x:c r="E774" s="20"/>
      <x:c r="F774" s="20"/>
      <x:c r="G774" s="20"/>
      <x:c r="H774" s="2" t="str">
        <x:f>IF(D774="Rate",IF(COUNT(F774:G774)&lt;2,"",IF(G774=0,"n.a.",F774/G774)),IF(COUNT(E774)=0,"",E774))</x:f>
      </x:c>
      <x:c r="I774" s="2" t="str">
        <x:f>IF(AND(ISNUMBER(H774),ISNUMBER(C774)),H774-C774,"")</x:f>
      </x:c>
      <x:c r="J774" s="2" t="str">
        <x:v>held</x:v>
      </x:c>
      <x:c r="K774" s="2" t="str">
        <x:v>Nova</x:v>
      </x:c>
      <x:c r="L774" s="28" t="str"/>
      <x:c r="M774" s="20"/>
      <x:c r="N774" s="21"/>
      <x:c r="O774" s="26" t="str">
        <x:v>Completed qualified calls/visits; 6 and 15 are integer planning proxies for 70% of 8 and 75% of 20.</x:v>
      </x:c>
      <x:c r="P774" s="26" t="str">
        <x:v>Derived from source held-rate targets</x:v>
      </x:c>
      <x:c r="Q774" s="2" t="n">
        <x:f>IF(ISNUMBER(H774),1,0)</x:f>
        <x:v>0</x:v>
      </x:c>
    </x:row>
    <x:row r="775" ht="46" customHeight="1">
      <x:c r="A775" s="17" t="n">
        <x:v>46362</x:v>
      </x:c>
      <x:c r="B775" s="2" t="str">
        <x:v>Trial cases received by DSI</x:v>
      </x:c>
      <x:c r="C775" s="2" t="n">
        <x:v>4</x:v>
      </x:c>
      <x:c r="D775" s="2" t="str">
        <x:v>Cumulative total</x:v>
      </x:c>
      <x:c r="E775" s="20"/>
      <x:c r="F775" s="20"/>
      <x:c r="G775" s="20"/>
      <x:c r="H775" s="2" t="str">
        <x:f>IF(D775="Rate",IF(COUNT(F775:G775)&lt;2,"",IF(G775=0,"n.a.",F775/G775)),IF(COUNT(E775)=0,"",E775))</x:f>
      </x:c>
      <x:c r="I775" s="2" t="str">
        <x:f>IF(AND(ISNUMBER(H775),ISNUMBER(C775)),H775-C775,"")</x:f>
      </x:c>
      <x:c r="J775" s="2" t="str">
        <x:v>trials</x:v>
      </x:c>
      <x:c r="K775" s="2" t="str">
        <x:v>Maseeha</x:v>
      </x:c>
      <x:c r="L775" s="28" t="str"/>
      <x:c r="M775" s="20"/>
      <x:c r="N775" s="21"/>
      <x:c r="O775" s="26" t="str">
        <x:v>Practice’s first trial case received by DSI, not merely promised or shipped; subject to Maseeha capacity.</x:v>
      </x:c>
      <x:c r="P775" s="26" t="str">
        <x:v>PDF §10; final deadline advanced to user Dec 16</x:v>
      </x:c>
      <x:c r="Q775" s="2" t="n">
        <x:f>IF(ISNUMBER(H775),1,0)</x:f>
        <x:v>0</x:v>
      </x:c>
    </x:row>
    <x:row r="776" ht="46" customHeight="1">
      <x:c r="A776" s="17" t="n">
        <x:v>46362</x:v>
      </x:c>
      <x:c r="B776" s="2" t="str">
        <x:v>Recurring accounts signed</x:v>
      </x:c>
      <x:c r="C776" s="2"/>
      <x:c r="D776" s="2" t="str">
        <x:v>Cumulative total</x:v>
      </x:c>
      <x:c r="E776" s="20"/>
      <x:c r="F776" s="20"/>
      <x:c r="G776" s="20"/>
      <x:c r="H776" s="2" t="str">
        <x:f>IF(D776="Rate",IF(COUNT(F776:G776)&lt;2,"",IF(G776=0,"n.a.",F776/G776)),IF(COUNT(E776)=0,"",E776))</x:f>
      </x:c>
      <x:c r="I776" s="2" t="str">
        <x:f>IF(AND(ISNUMBER(H776),ISNUMBER(C776)),H776-C776,"")</x:f>
      </x:c>
      <x:c r="J776" s="2" t="str">
        <x:v>accounts</x:v>
      </x:c>
      <x:c r="K776" s="2" t="str">
        <x:v>Nic</x:v>
      </x:c>
      <x:c r="L776" s="28" t="str"/>
      <x:c r="M776" s="20"/>
      <x:c r="N776" s="21"/>
      <x:c r="O776" s="26" t="str">
        <x:v>Plan signed following Day-30 review; only mature trial cohorts eligible. 1–3 is a conditional range.</x:v>
      </x:c>
      <x:c r="P776" s="26" t="str">
        <x:v>PDF §10</x:v>
      </x:c>
      <x:c r="Q776" s="2" t="n">
        <x:f>IF(ISNUMBER(H776),1,0)</x:f>
        <x:v>0</x:v>
      </x:c>
    </x:row>
    <x:row r="777" ht="46" customHeight="1">
      <x:c r="A777" s="17" t="n">
        <x:v>46362</x:v>
      </x:c>
      <x:c r="B777" s="2" t="str">
        <x:v>Referral-sourced bookings</x:v>
      </x:c>
      <x:c r="C777" s="2" t="n">
        <x:v>6</x:v>
      </x:c>
      <x:c r="D777" s="2" t="str">
        <x:v>Cumulative total</x:v>
      </x:c>
      <x:c r="E777" s="20"/>
      <x:c r="F777" s="20"/>
      <x:c r="G777" s="20"/>
      <x:c r="H777" s="2" t="str">
        <x:f>IF(D777="Rate",IF(COUNT(F777:G777)&lt;2,"",IF(G777=0,"n.a.",F777/G777)),IF(COUNT(E777)=0,"",E777))</x:f>
      </x:c>
      <x:c r="I777" s="2" t="str">
        <x:f>IF(AND(ISNUMBER(H777),ISNUMBER(C777)),H777-C777,"")</x:f>
      </x:c>
      <x:c r="J777" s="2" t="str">
        <x:v>bookings</x:v>
      </x:c>
      <x:c r="K777" s="2" t="str">
        <x:v>Nova</x:v>
      </x:c>
      <x:c r="L777" s="28" t="str"/>
      <x:c r="M777" s="20"/>
      <x:c r="N777" s="21"/>
      <x:c r="O777" s="26" t="str">
        <x:v>Subset of booked total with primary Source=Referral; never added on top of all-channel bookings.</x:v>
      </x:c>
      <x:c r="P777" s="26" t="str">
        <x:v>PDF §§10, 16</x:v>
      </x:c>
      <x:c r="Q777" s="2" t="n">
        <x:f>IF(ISNUMBER(H777),1,0)</x:f>
        <x:v>0</x:v>
      </x:c>
    </x:row>
    <x:row r="778" ht="46" customHeight="1">
      <x:c r="A778" s="17" t="n">
        <x:v>46362</x:v>
      </x:c>
      <x:c r="B778" s="2" t="str">
        <x:v>LinkedIn DM-sourced bookings</x:v>
      </x:c>
      <x:c r="C778" s="2" t="n">
        <x:v>5</x:v>
      </x:c>
      <x:c r="D778" s="2" t="str">
        <x:v>Cumulative total</x:v>
      </x:c>
      <x:c r="E778" s="20"/>
      <x:c r="F778" s="20"/>
      <x:c r="G778" s="20"/>
      <x:c r="H778" s="2" t="str">
        <x:f>IF(D778="Rate",IF(COUNT(F778:G778)&lt;2,"",IF(G778=0,"n.a.",F778/G778)),IF(COUNT(E778)=0,"",E778))</x:f>
      </x:c>
      <x:c r="I778" s="2" t="str">
        <x:f>IF(AND(ISNUMBER(H778),ISNUMBER(C778)),H778-C778,"")</x:f>
      </x:c>
      <x:c r="J778" s="2" t="str">
        <x:v>bookings</x:v>
      </x:c>
      <x:c r="K778" s="2" t="str">
        <x:v>Dexter</x:v>
      </x:c>
      <x:c r="L778" s="28" t="str"/>
      <x:c r="M778" s="20"/>
      <x:c r="N778" s="21"/>
      <x:c r="O778" s="26" t="str">
        <x:v>Subset of booked total with primary Source=LinkedIn DM; assists tracked separately.</x:v>
      </x:c>
      <x:c r="P778" s="26" t="str">
        <x:v>PDF §§10, 17 a</x:v>
      </x:c>
      <x:c r="Q778" s="2" t="n">
        <x:f>IF(ISNUMBER(H778),1,0)</x:f>
        <x:v>0</x:v>
      </x:c>
    </x:row>
    <x:row r="779" ht="46" customHeight="1">
      <x:c r="A779" s="17" t="n">
        <x:v>46362</x:v>
      </x:c>
      <x:c r="B779" s="2" t="str">
        <x:v>Verified contacts ready</x:v>
      </x:c>
      <x:c r="C779" s="2" t="n">
        <x:v>650</x:v>
      </x:c>
      <x:c r="D779" s="2" t="str">
        <x:v>Cumulative total</x:v>
      </x:c>
      <x:c r="E779" s="20"/>
      <x:c r="F779" s="20"/>
      <x:c r="G779" s="20"/>
      <x:c r="H779" s="2" t="str">
        <x:f>IF(D779="Rate",IF(COUNT(F779:G779)&lt;2,"",IF(G779=0,"n.a.",F779/G779)),IF(COUNT(E779)=0,"",E779))</x:f>
      </x:c>
      <x:c r="I779" s="2" t="str">
        <x:f>IF(AND(ISNUMBER(H779),ISNUMBER(C779)),H779-C779,"")</x:f>
      </x:c>
      <x:c r="J779" s="2" t="str">
        <x:v>contacts</x:v>
      </x:c>
      <x:c r="K779" s="2" t="str">
        <x:v>Joey</x:v>
      </x:c>
      <x:c r="L779" s="28" t="str"/>
      <x:c r="M779" s="20"/>
      <x:c r="N779" s="21"/>
      <x:c r="O779" s="26" t="str">
        <x:v>Unique contacts passing Scout and loaded in CQL; count once per contact.</x:v>
      </x:c>
      <x:c r="P779" s="26" t="str">
        <x:v>PDF §§10, 14; 750 due Dec 12 moved to Fri Dec 11</x:v>
      </x:c>
      <x:c r="Q779" s="2" t="n">
        <x:f>IF(ISNUMBER(H779),1,0)</x:f>
        <x:v>0</x:v>
      </x:c>
    </x:row>
    <x:row r="780" ht="46" customHeight="1">
      <x:c r="A780" s="17" t="n">
        <x:v>46362</x:v>
      </x:c>
      <x:c r="B780" s="2" t="str">
        <x:v>Permission-based referral introductions</x:v>
      </x:c>
      <x:c r="C780" s="2" t="n">
        <x:v>12</x:v>
      </x:c>
      <x:c r="D780" s="2" t="str">
        <x:v>Cumulative total</x:v>
      </x:c>
      <x:c r="E780" s="20"/>
      <x:c r="F780" s="20"/>
      <x:c r="G780" s="20"/>
      <x:c r="H780" s="2" t="str">
        <x:f>IF(D780="Rate",IF(COUNT(F780:G780)&lt;2,"",IF(G780=0,"n.a.",F780/G780)),IF(COUNT(E780)=0,"",E780))</x:f>
      </x:c>
      <x:c r="I780" s="2" t="str">
        <x:f>IF(AND(ISNUMBER(H780),ISNUMBER(C780)),H780-C780,"")</x:f>
      </x:c>
      <x:c r="J780" s="2" t="str">
        <x:v>introductions</x:v>
      </x:c>
      <x:c r="K780" s="2" t="str">
        <x:v>Maseeha</x:v>
      </x:c>
      <x:c r="L780" s="28" t="str"/>
      <x:c r="M780" s="20"/>
      <x:c r="N780" s="21"/>
      <x:c r="O780" s="26" t="str">
        <x:v>Unique introductions with consent and referrer recorded, verified by Maseeha within 2 business days.</x:v>
      </x:c>
      <x:c r="P780" s="26" t="str">
        <x:v>PDF §§10, 16</x:v>
      </x:c>
      <x:c r="Q780" s="2" t="n">
        <x:f>IF(ISNUMBER(H780),1,0)</x:f>
        <x:v>0</x:v>
      </x:c>
    </x:row>
    <x:row r="781" ht="46" customHeight="1">
      <x:c r="A781" s="17" t="n">
        <x:v>46362</x:v>
      </x:c>
      <x:c r="B781" s="2" t="str">
        <x:v>Human reply rate</x:v>
      </x:c>
      <x:c r="C781" s="40" t="n">
        <x:v>0.03</x:v>
      </x:c>
      <x:c r="D781" s="2" t="str">
        <x:v>Rate</x:v>
      </x:c>
      <x:c r="E781" s="20"/>
      <x:c r="F781" s="20"/>
      <x:c r="G781" s="20"/>
      <x:c r="H781" s="40" t="str">
        <x:f>IF(D781="Rate",IF(COUNT(F781:G781)&lt;2,"",IF(G781=0,"n.a.",F781/G781)),IF(COUNT(E781)=0,"",E781))</x:f>
      </x:c>
      <x:c r="I781" s="40" t="str">
        <x:f>IF(AND(ISNUMBER(H781),ISNUMBER(C781)),H781-C781,"")</x:f>
      </x:c>
      <x:c r="J781" s="2" t="str">
        <x:v>%</x:v>
      </x:c>
      <x:c r="K781" s="2" t="str">
        <x:v>Kenneth</x:v>
      </x:c>
      <x:c r="L781" s="28" t="str"/>
      <x:c r="M781" s="20"/>
      <x:c r="N781" s="21"/>
      <x:c r="O781" s="26" t="str">
        <x:v>Unique emailed contacts that give a qualifying human reply / unique contacts emailed in the same send cohort. Exclude OOO, auto-replies, bounces and unsubscribe-only replies. Deduplicate contacts across sequence steps; zero denominator is N/A.</x:v>
      </x:c>
      <x:c r="P781" s="26" t="str">
        <x:v>PDF §10</x:v>
      </x:c>
      <x:c r="Q781" s="2" t="n">
        <x:f>IF(ISNUMBER(H781),1,0)</x:f>
        <x:v>0</x:v>
      </x:c>
    </x:row>
    <x:row r="782" ht="46" customHeight="1">
      <x:c r="A782" s="17" t="n">
        <x:v>46362</x:v>
      </x:c>
      <x:c r="B782" s="2" t="str">
        <x:v>Positive reply rate</x:v>
      </x:c>
      <x:c r="C782" s="40" t="n">
        <x:v>0.015</x:v>
      </x:c>
      <x:c r="D782" s="2" t="str">
        <x:v>Rate</x:v>
      </x:c>
      <x:c r="E782" s="20"/>
      <x:c r="F782" s="20"/>
      <x:c r="G782" s="20"/>
      <x:c r="H782" s="40" t="str">
        <x:f>IF(D782="Rate",IF(COUNT(F782:G782)&lt;2,"",IF(G782=0,"n.a.",F782/G782)),IF(COUNT(E782)=0,"",E782))</x:f>
      </x:c>
      <x:c r="I782" s="40" t="str">
        <x:f>IF(AND(ISNUMBER(H782),ISNUMBER(C782)),H782-C782,"")</x:f>
      </x:c>
      <x:c r="J782" s="2" t="str">
        <x:v>%</x:v>
      </x:c>
      <x:c r="K782" s="2" t="str">
        <x:v>Kenneth</x:v>
      </x:c>
      <x:c r="L782" s="28" t="str"/>
      <x:c r="M782" s="20"/>
      <x:c r="N782" s="21"/>
      <x:c r="O782" s="26" t="str">
        <x:v>Unique emailed contacts classified interested or relevant question / unique contacts emailed in the same send cohort. Deduplicate across sequence steps; zero denominator is N/A. Keep this email rate separate from all-channel qualified inquiries.</x:v>
      </x:c>
      <x:c r="P782" s="26" t="str">
        <x:v>PDF §10</x:v>
      </x:c>
      <x:c r="Q782" s="2" t="n">
        <x:f>IF(ISNUMBER(H782),1,0)</x:f>
        <x:v>0</x:v>
      </x:c>
    </x:row>
    <x:row r="783" ht="46" customHeight="1">
      <x:c r="A783" s="17" t="n">
        <x:v>46362</x:v>
      </x:c>
      <x:c r="B783" s="2" t="str">
        <x:v>Replies answered within 15 minutes</x:v>
      </x:c>
      <x:c r="C783" s="40" t="n">
        <x:v>1</x:v>
      </x:c>
      <x:c r="D783" s="2" t="str">
        <x:v>Rate</x:v>
      </x:c>
      <x:c r="E783" s="20"/>
      <x:c r="F783" s="20"/>
      <x:c r="G783" s="20"/>
      <x:c r="H783" s="40" t="str">
        <x:f>IF(D783="Rate",IF(COUNT(F783:G783)&lt;2,"",IF(G783=0,"n.a.",F783/G783)),IF(COUNT(E783)=0,"",E783))</x:f>
      </x:c>
      <x:c r="I783" s="40" t="str">
        <x:f>IF(AND(ISNUMBER(H783),ISNUMBER(C783)),H783-C783,"")</x:f>
      </x:c>
      <x:c r="J783" s="2" t="str">
        <x:v>%</x:v>
      </x:c>
      <x:c r="K783" s="2" t="str">
        <x:v>Nova</x:v>
      </x:c>
      <x:c r="L783" s="28" t="str"/>
      <x:c r="M783" s="20"/>
      <x:c r="N783" s="21"/>
      <x:c r="O783"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783" s="26" t="str">
        <x:v>PDF §9; clock convention clarified for tracker</x:v>
      </x:c>
      <x:c r="Q783" s="2" t="n">
        <x:f>IF(ISNUMBER(H783),1,0)</x:f>
        <x:v>0</x:v>
      </x:c>
    </x:row>
    <x:row r="784" ht="46" customHeight="1">
      <x:c r="A784" s="17" t="n">
        <x:v>46362</x:v>
      </x:c>
      <x:c r="B784" s="2" t="str">
        <x:v>Held rate</x:v>
      </x:c>
      <x:c r="C784" s="40" t="n">
        <x:v>0.75</x:v>
      </x:c>
      <x:c r="D784" s="2" t="str">
        <x:v>Rate</x:v>
      </x:c>
      <x:c r="E784" s="20"/>
      <x:c r="F784" s="20"/>
      <x:c r="G784" s="20"/>
      <x:c r="H784" s="40" t="str">
        <x:f>IF(D784="Rate",IF(COUNT(F784:G784)&lt;2,"",IF(G784=0,"n.a.",F784/G784)),IF(COUNT(E784)=0,"",E784))</x:f>
      </x:c>
      <x:c r="I784" s="40" t="str">
        <x:f>IF(AND(ISNUMBER(H784),ISNUMBER(C784)),H784-C784,"")</x:f>
      </x:c>
      <x:c r="J784" s="2" t="str">
        <x:v>%</x:v>
      </x:c>
      <x:c r="K784" s="2" t="str">
        <x:v>Nova</x:v>
      </x:c>
      <x:c r="L784" s="28" t="str"/>
      <x:c r="M784" s="20"/>
      <x:c r="N784" s="21"/>
      <x:c r="O784" s="26" t="str">
        <x:v>Qualified conversations actually held / unique booked conversations whose scheduled time has passed. Exclude upcoming appointments. Rebooking the same opportunity is not a second booking. A zero denominator is N/A.</x:v>
      </x:c>
      <x:c r="P784" s="26" t="str">
        <x:v>PDF §10; due-cohort denominator clarified</x:v>
      </x:c>
      <x:c r="Q784" s="2" t="n">
        <x:f>IF(ISNUMBER(H784),1,0)</x:f>
        <x:v>0</x:v>
      </x:c>
    </x:row>
    <x:row r="785" ht="46" customHeight="1">
      <x:c r="A785" s="17" t="n">
        <x:v>46362</x:v>
      </x:c>
      <x:c r="B785" s="2" t="str">
        <x:v>Positive-to-booked conversion</x:v>
      </x:c>
      <x:c r="C785" s="40" t="n">
        <x:v>0.5</x:v>
      </x:c>
      <x:c r="D785" s="2" t="str">
        <x:v>Rate</x:v>
      </x:c>
      <x:c r="E785" s="20"/>
      <x:c r="F785" s="20"/>
      <x:c r="G785" s="20"/>
      <x:c r="H785" s="40" t="str">
        <x:f>IF(D785="Rate",IF(COUNT(F785:G785)&lt;2,"",IF(G785=0,"n.a.",F785/G785)),IF(COUNT(E785)=0,"",E785))</x:f>
      </x:c>
      <x:c r="I785" s="40" t="str">
        <x:f>IF(AND(ISNUMBER(H785),ISNUMBER(C785)),H785-C785,"")</x:f>
      </x:c>
      <x:c r="J785" s="2" t="str">
        <x:v>%</x:v>
      </x:c>
      <x:c r="K785" s="2" t="str">
        <x:v>Nova</x:v>
      </x:c>
      <x:c r="L785" s="28" t="str"/>
      <x:c r="M785" s="20"/>
      <x:c r="N785" s="21"/>
      <x:c r="O785" s="26" t="str">
        <x:v>Unique email-positive opportunities booked / unique email-positive opportunities in the same reviewed cohort. Use a documented follow-up window. This differs from the all-channel 40-inquiry/20-booking planning assumption. A zero denominator is N/A.</x:v>
      </x:c>
      <x:c r="P785" s="26" t="str">
        <x:v>PDF §9</x:v>
      </x:c>
      <x:c r="Q785" s="2" t="n">
        <x:f>IF(ISNUMBER(H785),1,0)</x:f>
        <x:v>0</x:v>
      </x:c>
    </x:row>
    <x:row r="786" ht="46" customHeight="1">
      <x:c r="A786" s="17" t="n">
        <x:v>46362</x:v>
      </x:c>
      <x:c r="B786" s="2" t="str">
        <x:v>Existing-account referral asks</x:v>
      </x:c>
      <x:c r="C786" s="2" t="n">
        <x:v>41</x:v>
      </x:c>
      <x:c r="D786" s="2" t="str">
        <x:v>Cumulative total</x:v>
      </x:c>
      <x:c r="E786" s="20"/>
      <x:c r="F786" s="20"/>
      <x:c r="G786" s="20"/>
      <x:c r="H786" s="2" t="str">
        <x:f>IF(D786="Rate",IF(COUNT(F786:G786)&lt;2,"",IF(G786=0,"n.a.",F786/G786)),IF(COUNT(E786)=0,"",E786))</x:f>
      </x:c>
      <x:c r="I786" s="2" t="str">
        <x:f>IF(AND(ISNUMBER(H786),ISNUMBER(C786)),H786-C786,"")</x:f>
      </x:c>
      <x:c r="J786" s="2" t="str">
        <x:v>accounts asked</x:v>
      </x:c>
      <x:c r="K786" s="2" t="str">
        <x:v>Maseeha</x:v>
      </x:c>
      <x:c r="L786" s="28" t="str"/>
      <x:c r="M786" s="20"/>
      <x:c r="N786" s="21"/>
      <x:c r="O786" s="26" t="str">
        <x:v>Ask 25 unique A/B accounts (5 A and 20 B) by November 13; proposed pace 35 total by November 20; complete the remaining C accounts to reach 41 total by November 25. One introduction is the ask; asks and received intros are separate counts.</x:v>
      </x:c>
      <x:c r="P786" s="26" t="str">
        <x:v>PDF §16 supplies 25 A/B byNov 14 and 16 C byNov 25; Friday deadline and 35-byNov 20 pace are proposed scheduling allocations.</x:v>
      </x:c>
      <x:c r="Q786" s="2" t="n">
        <x:f>IF(ISNUMBER(H786),1,0)</x:f>
        <x:v>0</x:v>
      </x:c>
    </x:row>
    <x:row r="787" ht="46" customHeight="1">
      <x:c r="A787" s="17" t="n">
        <x:v>46362</x:v>
      </x:c>
      <x:c r="B787" s="2" t="str">
        <x:v>Approved SOPs</x:v>
      </x:c>
      <x:c r="C787" s="2"/>
      <x:c r="D787" s="2" t="str">
        <x:v>Cumulative total</x:v>
      </x:c>
      <x:c r="E787" s="20"/>
      <x:c r="F787" s="20"/>
      <x:c r="G787" s="20"/>
      <x:c r="H787" s="2" t="str">
        <x:f>IF(D787="Rate",IF(COUNT(F787:G787)&lt;2,"",IF(G787=0,"n.a.",F787/G787)),IF(COUNT(E787)=0,"",E787))</x:f>
      </x:c>
      <x:c r="I787" s="2" t="str">
        <x:f>IF(AND(ISNUMBER(H787),ISNUMBER(C787)),H787-C787,"")</x:f>
      </x:c>
      <x:c r="J787" s="2" t="str">
        <x:v>SOPs</x:v>
      </x:c>
      <x:c r="K787" s="2" t="str">
        <x:v>Wyline</x:v>
      </x:c>
      <x:c r="L787" s="28" t="str"/>
      <x:c r="M787" s="20"/>
      <x:c r="N787" s="21"/>
      <x:c r="O787" s="26" t="str">
        <x:v>10 core SOPs plus ADS-01 and SOC-01 additions; approved version and independent-run evidence required.</x:v>
      </x:c>
      <x:c r="P787" s="26" t="str">
        <x:v>PDF §8 with §§17 b–d additions</x:v>
      </x:c>
      <x:c r="Q787" s="2" t="n">
        <x:f>IF(ISNUMBER(H787),1,0)</x:f>
        <x:v>0</x:v>
      </x:c>
    </x:row>
    <x:row r="788" ht="46" customHeight="1">
      <x:c r="A788" s="17" t="n">
        <x:v>46362</x:v>
      </x:c>
      <x:c r="B788" s="2" t="str">
        <x:v>Accepted AI agents</x:v>
      </x:c>
      <x:c r="C788" s="2"/>
      <x:c r="D788" s="2" t="str">
        <x:v>Cumulative total</x:v>
      </x:c>
      <x:c r="E788" s="20"/>
      <x:c r="F788" s="20"/>
      <x:c r="G788" s="20"/>
      <x:c r="H788" s="2" t="str">
        <x:f>IF(D788="Rate",IF(COUNT(F788:G788)&lt;2,"",IF(G788=0,"n.a.",F788/G788)),IF(COUNT(E788)=0,"",E788))</x:f>
      </x:c>
      <x:c r="I788" s="2" t="str">
        <x:f>IF(AND(ISNUMBER(H788),ISNUMBER(C788)),H788-C788,"")</x:f>
      </x:c>
      <x:c r="J788" s="2" t="str">
        <x:v>agents</x:v>
      </x:c>
      <x:c r="K788" s="2" t="str">
        <x:v>Emman</x:v>
      </x:c>
      <x:c r="L788" s="28" t="str"/>
      <x:c r="M788" s="20"/>
      <x:c r="N788" s="21"/>
      <x:c r="O788" s="26" t="str">
        <x:v>Scout, Writer, Inbox, Phone Assist, LinkedIn Assist, Follow-up, Scoreboard and Client Reporter; acceptance evidence required.</x:v>
      </x:c>
      <x:c r="P788" s="26" t="str">
        <x:v>PDF §7</x:v>
      </x:c>
      <x:c r="Q788" s="2" t="n">
        <x:f>IF(ISNUMBER(H788),1,0)</x:f>
        <x:v>0</x:v>
      </x:c>
    </x:row>
    <x:row r="789" ht="46" customHeight="1">
      <x:c r="A789" s="17" t="n">
        <x:v>46363</x:v>
      </x:c>
      <x:c r="B789" s="2" t="str">
        <x:v>Qualified inquiries</x:v>
      </x:c>
      <x:c r="C789" s="2" t="n">
        <x:v>30</x:v>
      </x:c>
      <x:c r="D789" s="2" t="str">
        <x:v>Cumulative total</x:v>
      </x:c>
      <x:c r="E789" s="20"/>
      <x:c r="F789" s="20"/>
      <x:c r="G789" s="20"/>
      <x:c r="H789" s="2" t="str">
        <x:f>IF(D789="Rate",IF(COUNT(F789:G789)&lt;2,"",IF(G789=0,"n.a.",F789/G789)),IF(COUNT(E789)=0,"",E789))</x:f>
      </x:c>
      <x:c r="I789" s="2" t="str">
        <x:f>IF(AND(ISNUMBER(H789),ISNUMBER(C789)),H789-C789,"")</x:f>
      </x:c>
      <x:c r="J789" s="2" t="str">
        <x:v>inquiries</x:v>
      </x:c>
      <x:c r="K789" s="2" t="str">
        <x:v>Nova</x:v>
      </x:c>
      <x:c r="L789" s="28" t="str"/>
      <x:c r="M789" s="20"/>
      <x:c r="N789" s="21"/>
      <x:c r="O789" s="26" t="str">
        <x:v>Unique ICP-matched practices that express relevant interest, need or timing; Nova records practice type, decision-maker access, case volume, service need and readiness within 30–60 days. Raw records, opens and connection accepts do not qualify.</x:v>
      </x:c>
      <x:c r="P789" s="26" t="str">
        <x:v>Original proposal pages 2 and 4 define qualification; 40 by Dec 16 and intermediate pace are newly proposed recovery targets.</x:v>
      </x:c>
      <x:c r="Q789" s="2" t="n">
        <x:f>IF(ISNUMBER(H789),1,0)</x:f>
        <x:v>0</x:v>
      </x:c>
    </x:row>
    <x:row r="790" ht="46" customHeight="1">
      <x:c r="A790" s="17" t="n">
        <x:v>46363</x:v>
      </x:c>
      <x:c r="B790" s="2" t="str">
        <x:v>Qualified conversations booked</x:v>
      </x:c>
      <x:c r="C790" s="2" t="n">
        <x:v>15</x:v>
      </x:c>
      <x:c r="D790" s="2" t="str">
        <x:v>Cumulative total</x:v>
      </x:c>
      <x:c r="E790" s="20"/>
      <x:c r="F790" s="20"/>
      <x:c r="G790" s="20"/>
      <x:c r="H790" s="2" t="str">
        <x:f>IF(D790="Rate",IF(COUNT(F790:G790)&lt;2,"",IF(G790=0,"n.a.",F790/G790)),IF(COUNT(E790)=0,"",E790))</x:f>
      </x:c>
      <x:c r="I790" s="2" t="str">
        <x:f>IF(AND(ISNUMBER(H790),ISNUMBER(C790)),H790-C790,"")</x:f>
      </x:c>
      <x:c r="J790" s="2" t="str">
        <x:v>bookings</x:v>
      </x:c>
      <x:c r="K790" s="2" t="str">
        <x:v>Nova</x:v>
      </x:c>
      <x:c r="L790" s="28" t="str"/>
      <x:c r="M790" s="20"/>
      <x:c r="N790" s="21"/>
      <x:c r="O790" s="26" t="str">
        <x:v>Unique qualified calls/visits booked with Nic; rebooking same opportunity is not a new booking.</x:v>
      </x:c>
      <x:c r="P790" s="26" t="str">
        <x:v>PDF §10; final deadline advanced to user Dec 16</x:v>
      </x:c>
      <x:c r="Q790" s="2" t="n">
        <x:f>IF(ISNUMBER(H790),1,0)</x:f>
        <x:v>0</x:v>
      </x:c>
    </x:row>
    <x:row r="791" ht="46" customHeight="1">
      <x:c r="A791" s="17" t="n">
        <x:v>46363</x:v>
      </x:c>
      <x:c r="B791" s="2" t="str">
        <x:v>Qualified conversations held</x:v>
      </x:c>
      <x:c r="C791" s="2" t="n">
        <x:v>11</x:v>
      </x:c>
      <x:c r="D791" s="2" t="str">
        <x:v>Cumulative total</x:v>
      </x:c>
      <x:c r="E791" s="20"/>
      <x:c r="F791" s="20"/>
      <x:c r="G791" s="20"/>
      <x:c r="H791" s="2" t="str">
        <x:f>IF(D791="Rate",IF(COUNT(F791:G791)&lt;2,"",IF(G791=0,"n.a.",F791/G791)),IF(COUNT(E791)=0,"",E791))</x:f>
      </x:c>
      <x:c r="I791" s="2" t="str">
        <x:f>IF(AND(ISNUMBER(H791),ISNUMBER(C791)),H791-C791,"")</x:f>
      </x:c>
      <x:c r="J791" s="2" t="str">
        <x:v>held</x:v>
      </x:c>
      <x:c r="K791" s="2" t="str">
        <x:v>Nova</x:v>
      </x:c>
      <x:c r="L791" s="28" t="str"/>
      <x:c r="M791" s="20"/>
      <x:c r="N791" s="21"/>
      <x:c r="O791" s="26" t="str">
        <x:v>Completed qualified calls/visits; 6 and 15 are integer planning proxies for 70% of 8 and 75% of 20.</x:v>
      </x:c>
      <x:c r="P791" s="26" t="str">
        <x:v>Derived from source held-rate targets</x:v>
      </x:c>
      <x:c r="Q791" s="2" t="n">
        <x:f>IF(ISNUMBER(H791),1,0)</x:f>
        <x:v>0</x:v>
      </x:c>
    </x:row>
    <x:row r="792" ht="46" customHeight="1">
      <x:c r="A792" s="17" t="n">
        <x:v>46363</x:v>
      </x:c>
      <x:c r="B792" s="2" t="str">
        <x:v>Trial cases received by DSI</x:v>
      </x:c>
      <x:c r="C792" s="2" t="n">
        <x:v>4</x:v>
      </x:c>
      <x:c r="D792" s="2" t="str">
        <x:v>Cumulative total</x:v>
      </x:c>
      <x:c r="E792" s="20"/>
      <x:c r="F792" s="20"/>
      <x:c r="G792" s="20"/>
      <x:c r="H792" s="2" t="str">
        <x:f>IF(D792="Rate",IF(COUNT(F792:G792)&lt;2,"",IF(G792=0,"n.a.",F792/G792)),IF(COUNT(E792)=0,"",E792))</x:f>
      </x:c>
      <x:c r="I792" s="2" t="str">
        <x:f>IF(AND(ISNUMBER(H792),ISNUMBER(C792)),H792-C792,"")</x:f>
      </x:c>
      <x:c r="J792" s="2" t="str">
        <x:v>trials</x:v>
      </x:c>
      <x:c r="K792" s="2" t="str">
        <x:v>Maseeha</x:v>
      </x:c>
      <x:c r="L792" s="28" t="str"/>
      <x:c r="M792" s="20"/>
      <x:c r="N792" s="21"/>
      <x:c r="O792" s="26" t="str">
        <x:v>Practice’s first trial case received by DSI, not merely promised or shipped; subject to Maseeha capacity.</x:v>
      </x:c>
      <x:c r="P792" s="26" t="str">
        <x:v>PDF §10; final deadline advanced to user Dec 16</x:v>
      </x:c>
      <x:c r="Q792" s="2" t="n">
        <x:f>IF(ISNUMBER(H792),1,0)</x:f>
        <x:v>0</x:v>
      </x:c>
    </x:row>
    <x:row r="793" ht="46" customHeight="1">
      <x:c r="A793" s="17" t="n">
        <x:v>46363</x:v>
      </x:c>
      <x:c r="B793" s="2" t="str">
        <x:v>Recurring accounts signed</x:v>
      </x:c>
      <x:c r="C793" s="2"/>
      <x:c r="D793" s="2" t="str">
        <x:v>Cumulative total</x:v>
      </x:c>
      <x:c r="E793" s="20"/>
      <x:c r="F793" s="20"/>
      <x:c r="G793" s="20"/>
      <x:c r="H793" s="2" t="str">
        <x:f>IF(D793="Rate",IF(COUNT(F793:G793)&lt;2,"",IF(G793=0,"n.a.",F793/G793)),IF(COUNT(E793)=0,"",E793))</x:f>
      </x:c>
      <x:c r="I793" s="2" t="str">
        <x:f>IF(AND(ISNUMBER(H793),ISNUMBER(C793)),H793-C793,"")</x:f>
      </x:c>
      <x:c r="J793" s="2" t="str">
        <x:v>accounts</x:v>
      </x:c>
      <x:c r="K793" s="2" t="str">
        <x:v>Nic</x:v>
      </x:c>
      <x:c r="L793" s="28" t="str"/>
      <x:c r="M793" s="20"/>
      <x:c r="N793" s="21"/>
      <x:c r="O793" s="26" t="str">
        <x:v>Plan signed following Day-30 review; only mature trial cohorts eligible. 1–3 is a conditional range.</x:v>
      </x:c>
      <x:c r="P793" s="26" t="str">
        <x:v>PDF §10</x:v>
      </x:c>
      <x:c r="Q793" s="2" t="n">
        <x:f>IF(ISNUMBER(H793),1,0)</x:f>
        <x:v>0</x:v>
      </x:c>
    </x:row>
    <x:row r="794" ht="46" customHeight="1">
      <x:c r="A794" s="17" t="n">
        <x:v>46363</x:v>
      </x:c>
      <x:c r="B794" s="2" t="str">
        <x:v>Referral-sourced bookings</x:v>
      </x:c>
      <x:c r="C794" s="2" t="n">
        <x:v>6</x:v>
      </x:c>
      <x:c r="D794" s="2" t="str">
        <x:v>Cumulative total</x:v>
      </x:c>
      <x:c r="E794" s="20"/>
      <x:c r="F794" s="20"/>
      <x:c r="G794" s="20"/>
      <x:c r="H794" s="2" t="str">
        <x:f>IF(D794="Rate",IF(COUNT(F794:G794)&lt;2,"",IF(G794=0,"n.a.",F794/G794)),IF(COUNT(E794)=0,"",E794))</x:f>
      </x:c>
      <x:c r="I794" s="2" t="str">
        <x:f>IF(AND(ISNUMBER(H794),ISNUMBER(C794)),H794-C794,"")</x:f>
      </x:c>
      <x:c r="J794" s="2" t="str">
        <x:v>bookings</x:v>
      </x:c>
      <x:c r="K794" s="2" t="str">
        <x:v>Nova</x:v>
      </x:c>
      <x:c r="L794" s="28" t="str"/>
      <x:c r="M794" s="20"/>
      <x:c r="N794" s="21"/>
      <x:c r="O794" s="26" t="str">
        <x:v>Subset of booked total with primary Source=Referral; never added on top of all-channel bookings.</x:v>
      </x:c>
      <x:c r="P794" s="26" t="str">
        <x:v>PDF §§10, 16</x:v>
      </x:c>
      <x:c r="Q794" s="2" t="n">
        <x:f>IF(ISNUMBER(H794),1,0)</x:f>
        <x:v>0</x:v>
      </x:c>
    </x:row>
    <x:row r="795" ht="46" customHeight="1">
      <x:c r="A795" s="17" t="n">
        <x:v>46363</x:v>
      </x:c>
      <x:c r="B795" s="2" t="str">
        <x:v>LinkedIn DM-sourced bookings</x:v>
      </x:c>
      <x:c r="C795" s="2" t="n">
        <x:v>5</x:v>
      </x:c>
      <x:c r="D795" s="2" t="str">
        <x:v>Cumulative total</x:v>
      </x:c>
      <x:c r="E795" s="20"/>
      <x:c r="F795" s="20"/>
      <x:c r="G795" s="20"/>
      <x:c r="H795" s="2" t="str">
        <x:f>IF(D795="Rate",IF(COUNT(F795:G795)&lt;2,"",IF(G795=0,"n.a.",F795/G795)),IF(COUNT(E795)=0,"",E795))</x:f>
      </x:c>
      <x:c r="I795" s="2" t="str">
        <x:f>IF(AND(ISNUMBER(H795),ISNUMBER(C795)),H795-C795,"")</x:f>
      </x:c>
      <x:c r="J795" s="2" t="str">
        <x:v>bookings</x:v>
      </x:c>
      <x:c r="K795" s="2" t="str">
        <x:v>Dexter</x:v>
      </x:c>
      <x:c r="L795" s="28" t="str"/>
      <x:c r="M795" s="20"/>
      <x:c r="N795" s="21"/>
      <x:c r="O795" s="26" t="str">
        <x:v>Subset of booked total with primary Source=LinkedIn DM; assists tracked separately.</x:v>
      </x:c>
      <x:c r="P795" s="26" t="str">
        <x:v>PDF §§10, 17 a</x:v>
      </x:c>
      <x:c r="Q795" s="2" t="n">
        <x:f>IF(ISNUMBER(H795),1,0)</x:f>
        <x:v>0</x:v>
      </x:c>
    </x:row>
    <x:row r="796" ht="46" customHeight="1">
      <x:c r="A796" s="17" t="n">
        <x:v>46363</x:v>
      </x:c>
      <x:c r="B796" s="2" t="str">
        <x:v>Verified contacts ready</x:v>
      </x:c>
      <x:c r="C796" s="2" t="n">
        <x:v>670</x:v>
      </x:c>
      <x:c r="D796" s="2" t="str">
        <x:v>Cumulative total</x:v>
      </x:c>
      <x:c r="E796" s="20"/>
      <x:c r="F796" s="20"/>
      <x:c r="G796" s="20"/>
      <x:c r="H796" s="2" t="str">
        <x:f>IF(D796="Rate",IF(COUNT(F796:G796)&lt;2,"",IF(G796=0,"n.a.",F796/G796)),IF(COUNT(E796)=0,"",E796))</x:f>
      </x:c>
      <x:c r="I796" s="2" t="str">
        <x:f>IF(AND(ISNUMBER(H796),ISNUMBER(C796)),H796-C796,"")</x:f>
      </x:c>
      <x:c r="J796" s="2" t="str">
        <x:v>contacts</x:v>
      </x:c>
      <x:c r="K796" s="2" t="str">
        <x:v>Joey</x:v>
      </x:c>
      <x:c r="L796" s="28" t="str"/>
      <x:c r="M796" s="20"/>
      <x:c r="N796" s="21"/>
      <x:c r="O796" s="26" t="str">
        <x:v>Unique contacts passing Scout and loaded in CQL; count once per contact.</x:v>
      </x:c>
      <x:c r="P796" s="26" t="str">
        <x:v>PDF §§10, 14; 750 due Dec 12 moved to Fri Dec 11</x:v>
      </x:c>
      <x:c r="Q796" s="2" t="n">
        <x:f>IF(ISNUMBER(H796),1,0)</x:f>
        <x:v>0</x:v>
      </x:c>
    </x:row>
    <x:row r="797" ht="46" customHeight="1">
      <x:c r="A797" s="17" t="n">
        <x:v>46363</x:v>
      </x:c>
      <x:c r="B797" s="2" t="str">
        <x:v>Permission-based referral introductions</x:v>
      </x:c>
      <x:c r="C797" s="2" t="n">
        <x:v>12</x:v>
      </x:c>
      <x:c r="D797" s="2" t="str">
        <x:v>Cumulative total</x:v>
      </x:c>
      <x:c r="E797" s="20"/>
      <x:c r="F797" s="20"/>
      <x:c r="G797" s="20"/>
      <x:c r="H797" s="2" t="str">
        <x:f>IF(D797="Rate",IF(COUNT(F797:G797)&lt;2,"",IF(G797=0,"n.a.",F797/G797)),IF(COUNT(E797)=0,"",E797))</x:f>
      </x:c>
      <x:c r="I797" s="2" t="str">
        <x:f>IF(AND(ISNUMBER(H797),ISNUMBER(C797)),H797-C797,"")</x:f>
      </x:c>
      <x:c r="J797" s="2" t="str">
        <x:v>introductions</x:v>
      </x:c>
      <x:c r="K797" s="2" t="str">
        <x:v>Maseeha</x:v>
      </x:c>
      <x:c r="L797" s="28" t="str"/>
      <x:c r="M797" s="20"/>
      <x:c r="N797" s="21"/>
      <x:c r="O797" s="26" t="str">
        <x:v>Unique introductions with consent and referrer recorded, verified by Maseeha within 2 business days.</x:v>
      </x:c>
      <x:c r="P797" s="26" t="str">
        <x:v>PDF §§10, 16</x:v>
      </x:c>
      <x:c r="Q797" s="2" t="n">
        <x:f>IF(ISNUMBER(H797),1,0)</x:f>
        <x:v>0</x:v>
      </x:c>
    </x:row>
    <x:row r="798" ht="46" customHeight="1">
      <x:c r="A798" s="17" t="n">
        <x:v>46363</x:v>
      </x:c>
      <x:c r="B798" s="2" t="str">
        <x:v>Human reply rate</x:v>
      </x:c>
      <x:c r="C798" s="40" t="n">
        <x:v>0.03</x:v>
      </x:c>
      <x:c r="D798" s="2" t="str">
        <x:v>Rate</x:v>
      </x:c>
      <x:c r="E798" s="20"/>
      <x:c r="F798" s="20"/>
      <x:c r="G798" s="20"/>
      <x:c r="H798" s="40" t="str">
        <x:f>IF(D798="Rate",IF(COUNT(F798:G798)&lt;2,"",IF(G798=0,"n.a.",F798/G798)),IF(COUNT(E798)=0,"",E798))</x:f>
      </x:c>
      <x:c r="I798" s="40" t="str">
        <x:f>IF(AND(ISNUMBER(H798),ISNUMBER(C798)),H798-C798,"")</x:f>
      </x:c>
      <x:c r="J798" s="2" t="str">
        <x:v>%</x:v>
      </x:c>
      <x:c r="K798" s="2" t="str">
        <x:v>Kenneth</x:v>
      </x:c>
      <x:c r="L798" s="28" t="str"/>
      <x:c r="M798" s="20"/>
      <x:c r="N798" s="21"/>
      <x:c r="O798" s="26" t="str">
        <x:v>Unique emailed contacts that give a qualifying human reply / unique contacts emailed in the same send cohort. Exclude OOO, auto-replies, bounces and unsubscribe-only replies. Deduplicate contacts across sequence steps; zero denominator is N/A.</x:v>
      </x:c>
      <x:c r="P798" s="26" t="str">
        <x:v>PDF §10</x:v>
      </x:c>
      <x:c r="Q798" s="2" t="n">
        <x:f>IF(ISNUMBER(H798),1,0)</x:f>
        <x:v>0</x:v>
      </x:c>
    </x:row>
    <x:row r="799" ht="46" customHeight="1">
      <x:c r="A799" s="17" t="n">
        <x:v>46363</x:v>
      </x:c>
      <x:c r="B799" s="2" t="str">
        <x:v>Positive reply rate</x:v>
      </x:c>
      <x:c r="C799" s="40" t="n">
        <x:v>0.015</x:v>
      </x:c>
      <x:c r="D799" s="2" t="str">
        <x:v>Rate</x:v>
      </x:c>
      <x:c r="E799" s="20"/>
      <x:c r="F799" s="20"/>
      <x:c r="G799" s="20"/>
      <x:c r="H799" s="40" t="str">
        <x:f>IF(D799="Rate",IF(COUNT(F799:G799)&lt;2,"",IF(G799=0,"n.a.",F799/G799)),IF(COUNT(E799)=0,"",E799))</x:f>
      </x:c>
      <x:c r="I799" s="40" t="str">
        <x:f>IF(AND(ISNUMBER(H799),ISNUMBER(C799)),H799-C799,"")</x:f>
      </x:c>
      <x:c r="J799" s="2" t="str">
        <x:v>%</x:v>
      </x:c>
      <x:c r="K799" s="2" t="str">
        <x:v>Kenneth</x:v>
      </x:c>
      <x:c r="L799" s="28" t="str"/>
      <x:c r="M799" s="20"/>
      <x:c r="N799" s="21"/>
      <x:c r="O799" s="26" t="str">
        <x:v>Unique emailed contacts classified interested or relevant question / unique contacts emailed in the same send cohort. Deduplicate across sequence steps; zero denominator is N/A. Keep this email rate separate from all-channel qualified inquiries.</x:v>
      </x:c>
      <x:c r="P799" s="26" t="str">
        <x:v>PDF §10</x:v>
      </x:c>
      <x:c r="Q799" s="2" t="n">
        <x:f>IF(ISNUMBER(H799),1,0)</x:f>
        <x:v>0</x:v>
      </x:c>
    </x:row>
    <x:row r="800" ht="46" customHeight="1">
      <x:c r="A800" s="17" t="n">
        <x:v>46363</x:v>
      </x:c>
      <x:c r="B800" s="2" t="str">
        <x:v>Replies answered within 15 minutes</x:v>
      </x:c>
      <x:c r="C800" s="40" t="n">
        <x:v>1</x:v>
      </x:c>
      <x:c r="D800" s="2" t="str">
        <x:v>Rate</x:v>
      </x:c>
      <x:c r="E800" s="20"/>
      <x:c r="F800" s="20"/>
      <x:c r="G800" s="20"/>
      <x:c r="H800" s="40" t="str">
        <x:f>IF(D800="Rate",IF(COUNT(F800:G800)&lt;2,"",IF(G800=0,"n.a.",F800/G800)),IF(COUNT(E800)=0,"",E800))</x:f>
      </x:c>
      <x:c r="I800" s="40" t="str">
        <x:f>IF(AND(ISNUMBER(H800),ISNUMBER(C800)),H800-C800,"")</x:f>
      </x:c>
      <x:c r="J800" s="2" t="str">
        <x:v>%</x:v>
      </x:c>
      <x:c r="K800" s="2" t="str">
        <x:v>Nova</x:v>
      </x:c>
      <x:c r="L800" s="28" t="str"/>
      <x:c r="M800" s="20"/>
      <x:c r="N800" s="21"/>
      <x:c r="O800"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00" s="26" t="str">
        <x:v>PDF §9; clock convention clarified for tracker</x:v>
      </x:c>
      <x:c r="Q800" s="2" t="n">
        <x:f>IF(ISNUMBER(H800),1,0)</x:f>
        <x:v>0</x:v>
      </x:c>
    </x:row>
    <x:row r="801" ht="46" customHeight="1">
      <x:c r="A801" s="17" t="n">
        <x:v>46363</x:v>
      </x:c>
      <x:c r="B801" s="2" t="str">
        <x:v>Held rate</x:v>
      </x:c>
      <x:c r="C801" s="40" t="n">
        <x:v>0.75</x:v>
      </x:c>
      <x:c r="D801" s="2" t="str">
        <x:v>Rate</x:v>
      </x:c>
      <x:c r="E801" s="20"/>
      <x:c r="F801" s="20"/>
      <x:c r="G801" s="20"/>
      <x:c r="H801" s="40" t="str">
        <x:f>IF(D801="Rate",IF(COUNT(F801:G801)&lt;2,"",IF(G801=0,"n.a.",F801/G801)),IF(COUNT(E801)=0,"",E801))</x:f>
      </x:c>
      <x:c r="I801" s="40" t="str">
        <x:f>IF(AND(ISNUMBER(H801),ISNUMBER(C801)),H801-C801,"")</x:f>
      </x:c>
      <x:c r="J801" s="2" t="str">
        <x:v>%</x:v>
      </x:c>
      <x:c r="K801" s="2" t="str">
        <x:v>Nova</x:v>
      </x:c>
      <x:c r="L801" s="28" t="str"/>
      <x:c r="M801" s="20"/>
      <x:c r="N801" s="21"/>
      <x:c r="O801" s="26" t="str">
        <x:v>Qualified conversations actually held / unique booked conversations whose scheduled time has passed. Exclude upcoming appointments. Rebooking the same opportunity is not a second booking. A zero denominator is N/A.</x:v>
      </x:c>
      <x:c r="P801" s="26" t="str">
        <x:v>PDF §10; due-cohort denominator clarified</x:v>
      </x:c>
      <x:c r="Q801" s="2" t="n">
        <x:f>IF(ISNUMBER(H801),1,0)</x:f>
        <x:v>0</x:v>
      </x:c>
    </x:row>
    <x:row r="802" ht="46" customHeight="1">
      <x:c r="A802" s="17" t="n">
        <x:v>46363</x:v>
      </x:c>
      <x:c r="B802" s="2" t="str">
        <x:v>Positive-to-booked conversion</x:v>
      </x:c>
      <x:c r="C802" s="40" t="n">
        <x:v>0.5</x:v>
      </x:c>
      <x:c r="D802" s="2" t="str">
        <x:v>Rate</x:v>
      </x:c>
      <x:c r="E802" s="20"/>
      <x:c r="F802" s="20"/>
      <x:c r="G802" s="20"/>
      <x:c r="H802" s="40" t="str">
        <x:f>IF(D802="Rate",IF(COUNT(F802:G802)&lt;2,"",IF(G802=0,"n.a.",F802/G802)),IF(COUNT(E802)=0,"",E802))</x:f>
      </x:c>
      <x:c r="I802" s="40" t="str">
        <x:f>IF(AND(ISNUMBER(H802),ISNUMBER(C802)),H802-C802,"")</x:f>
      </x:c>
      <x:c r="J802" s="2" t="str">
        <x:v>%</x:v>
      </x:c>
      <x:c r="K802" s="2" t="str">
        <x:v>Nova</x:v>
      </x:c>
      <x:c r="L802" s="28" t="str"/>
      <x:c r="M802" s="20"/>
      <x:c r="N802" s="21"/>
      <x:c r="O802" s="26" t="str">
        <x:v>Unique email-positive opportunities booked / unique email-positive opportunities in the same reviewed cohort. Use a documented follow-up window. This differs from the all-channel 40-inquiry/20-booking planning assumption. A zero denominator is N/A.</x:v>
      </x:c>
      <x:c r="P802" s="26" t="str">
        <x:v>PDF §9</x:v>
      </x:c>
      <x:c r="Q802" s="2" t="n">
        <x:f>IF(ISNUMBER(H802),1,0)</x:f>
        <x:v>0</x:v>
      </x:c>
    </x:row>
    <x:row r="803" ht="46" customHeight="1">
      <x:c r="A803" s="17" t="n">
        <x:v>46363</x:v>
      </x:c>
      <x:c r="B803" s="2" t="str">
        <x:v>Existing-account referral asks</x:v>
      </x:c>
      <x:c r="C803" s="2" t="n">
        <x:v>41</x:v>
      </x:c>
      <x:c r="D803" s="2" t="str">
        <x:v>Cumulative total</x:v>
      </x:c>
      <x:c r="E803" s="20"/>
      <x:c r="F803" s="20"/>
      <x:c r="G803" s="20"/>
      <x:c r="H803" s="2" t="str">
        <x:f>IF(D803="Rate",IF(COUNT(F803:G803)&lt;2,"",IF(G803=0,"n.a.",F803/G803)),IF(COUNT(E803)=0,"",E803))</x:f>
      </x:c>
      <x:c r="I803" s="2" t="str">
        <x:f>IF(AND(ISNUMBER(H803),ISNUMBER(C803)),H803-C803,"")</x:f>
      </x:c>
      <x:c r="J803" s="2" t="str">
        <x:v>accounts asked</x:v>
      </x:c>
      <x:c r="K803" s="2" t="str">
        <x:v>Maseeha</x:v>
      </x:c>
      <x:c r="L803" s="28" t="str"/>
      <x:c r="M803" s="20"/>
      <x:c r="N803" s="21"/>
      <x:c r="O803" s="26" t="str">
        <x:v>Ask 25 unique A/B accounts (5 A and 20 B) by November 13; proposed pace 35 total by November 20; complete the remaining C accounts to reach 41 total by November 25. One introduction is the ask; asks and received intros are separate counts.</x:v>
      </x:c>
      <x:c r="P803" s="26" t="str">
        <x:v>PDF §16 supplies 25 A/B byNov 14 and 16 C byNov 25; Friday deadline and 35-byNov 20 pace are proposed scheduling allocations.</x:v>
      </x:c>
      <x:c r="Q803" s="2" t="n">
        <x:f>IF(ISNUMBER(H803),1,0)</x:f>
        <x:v>0</x:v>
      </x:c>
    </x:row>
    <x:row r="804" ht="46" customHeight="1">
      <x:c r="A804" s="17" t="n">
        <x:v>46363</x:v>
      </x:c>
      <x:c r="B804" s="2" t="str">
        <x:v>Approved SOPs</x:v>
      </x:c>
      <x:c r="C804" s="2"/>
      <x:c r="D804" s="2" t="str">
        <x:v>Cumulative total</x:v>
      </x:c>
      <x:c r="E804" s="20"/>
      <x:c r="F804" s="20"/>
      <x:c r="G804" s="20"/>
      <x:c r="H804" s="2" t="str">
        <x:f>IF(D804="Rate",IF(COUNT(F804:G804)&lt;2,"",IF(G804=0,"n.a.",F804/G804)),IF(COUNT(E804)=0,"",E804))</x:f>
      </x:c>
      <x:c r="I804" s="2" t="str">
        <x:f>IF(AND(ISNUMBER(H804),ISNUMBER(C804)),H804-C804,"")</x:f>
      </x:c>
      <x:c r="J804" s="2" t="str">
        <x:v>SOPs</x:v>
      </x:c>
      <x:c r="K804" s="2" t="str">
        <x:v>Wyline</x:v>
      </x:c>
      <x:c r="L804" s="28" t="str"/>
      <x:c r="M804" s="20"/>
      <x:c r="N804" s="21"/>
      <x:c r="O804" s="26" t="str">
        <x:v>10 core SOPs plus ADS-01 and SOC-01 additions; approved version and independent-run evidence required.</x:v>
      </x:c>
      <x:c r="P804" s="26" t="str">
        <x:v>PDF §8 with §§17 b–d additions</x:v>
      </x:c>
      <x:c r="Q804" s="2" t="n">
        <x:f>IF(ISNUMBER(H804),1,0)</x:f>
        <x:v>0</x:v>
      </x:c>
    </x:row>
    <x:row r="805" ht="46" customHeight="1">
      <x:c r="A805" s="17" t="n">
        <x:v>46363</x:v>
      </x:c>
      <x:c r="B805" s="2" t="str">
        <x:v>Accepted AI agents</x:v>
      </x:c>
      <x:c r="C805" s="2"/>
      <x:c r="D805" s="2" t="str">
        <x:v>Cumulative total</x:v>
      </x:c>
      <x:c r="E805" s="20"/>
      <x:c r="F805" s="20"/>
      <x:c r="G805" s="20"/>
      <x:c r="H805" s="2" t="str">
        <x:f>IF(D805="Rate",IF(COUNT(F805:G805)&lt;2,"",IF(G805=0,"n.a.",F805/G805)),IF(COUNT(E805)=0,"",E805))</x:f>
      </x:c>
      <x:c r="I805" s="2" t="str">
        <x:f>IF(AND(ISNUMBER(H805),ISNUMBER(C805)),H805-C805,"")</x:f>
      </x:c>
      <x:c r="J805" s="2" t="str">
        <x:v>agents</x:v>
      </x:c>
      <x:c r="K805" s="2" t="str">
        <x:v>Emman</x:v>
      </x:c>
      <x:c r="L805" s="28" t="str"/>
      <x:c r="M805" s="20"/>
      <x:c r="N805" s="21"/>
      <x:c r="O805" s="26" t="str">
        <x:v>Scout, Writer, Inbox, Phone Assist, LinkedIn Assist, Follow-up, Scoreboard and Client Reporter; acceptance evidence required.</x:v>
      </x:c>
      <x:c r="P805" s="26" t="str">
        <x:v>PDF §7</x:v>
      </x:c>
      <x:c r="Q805" s="2" t="n">
        <x:f>IF(ISNUMBER(H805),1,0)</x:f>
        <x:v>0</x:v>
      </x:c>
    </x:row>
    <x:row r="806" ht="46" customHeight="1">
      <x:c r="A806" s="17" t="n">
        <x:v>46364</x:v>
      </x:c>
      <x:c r="B806" s="2" t="str">
        <x:v>Qualified inquiries</x:v>
      </x:c>
      <x:c r="C806" s="2" t="n">
        <x:v>32</x:v>
      </x:c>
      <x:c r="D806" s="2" t="str">
        <x:v>Cumulative total</x:v>
      </x:c>
      <x:c r="E806" s="20"/>
      <x:c r="F806" s="20"/>
      <x:c r="G806" s="20"/>
      <x:c r="H806" s="2" t="str">
        <x:f>IF(D806="Rate",IF(COUNT(F806:G806)&lt;2,"",IF(G806=0,"n.a.",F806/G806)),IF(COUNT(E806)=0,"",E806))</x:f>
      </x:c>
      <x:c r="I806" s="2" t="str">
        <x:f>IF(AND(ISNUMBER(H806),ISNUMBER(C806)),H806-C806,"")</x:f>
      </x:c>
      <x:c r="J806" s="2" t="str">
        <x:v>inquiries</x:v>
      </x:c>
      <x:c r="K806" s="2" t="str">
        <x:v>Nova</x:v>
      </x:c>
      <x:c r="L806" s="28" t="str"/>
      <x:c r="M806" s="20"/>
      <x:c r="N806" s="21"/>
      <x:c r="O806" s="26" t="str">
        <x:v>Unique ICP-matched practices that express relevant interest, need or timing; Nova records practice type, decision-maker access, case volume, service need and readiness within 30–60 days. Raw records, opens and connection accepts do not qualify.</x:v>
      </x:c>
      <x:c r="P806" s="26" t="str">
        <x:v>Original proposal pages 2 and 4 define qualification; 40 by Dec 16 and intermediate pace are newly proposed recovery targets.</x:v>
      </x:c>
      <x:c r="Q806" s="2" t="n">
        <x:f>IF(ISNUMBER(H806),1,0)</x:f>
        <x:v>0</x:v>
      </x:c>
    </x:row>
    <x:row r="807" ht="46" customHeight="1">
      <x:c r="A807" s="17" t="n">
        <x:v>46364</x:v>
      </x:c>
      <x:c r="B807" s="2" t="str">
        <x:v>Qualified conversations booked</x:v>
      </x:c>
      <x:c r="C807" s="2" t="n">
        <x:v>16</x:v>
      </x:c>
      <x:c r="D807" s="2" t="str">
        <x:v>Cumulative total</x:v>
      </x:c>
      <x:c r="E807" s="20"/>
      <x:c r="F807" s="20"/>
      <x:c r="G807" s="20"/>
      <x:c r="H807" s="2" t="str">
        <x:f>IF(D807="Rate",IF(COUNT(F807:G807)&lt;2,"",IF(G807=0,"n.a.",F807/G807)),IF(COUNT(E807)=0,"",E807))</x:f>
      </x:c>
      <x:c r="I807" s="2" t="str">
        <x:f>IF(AND(ISNUMBER(H807),ISNUMBER(C807)),H807-C807,"")</x:f>
      </x:c>
      <x:c r="J807" s="2" t="str">
        <x:v>bookings</x:v>
      </x:c>
      <x:c r="K807" s="2" t="str">
        <x:v>Nova</x:v>
      </x:c>
      <x:c r="L807" s="28" t="str"/>
      <x:c r="M807" s="20"/>
      <x:c r="N807" s="21"/>
      <x:c r="O807" s="26" t="str">
        <x:v>Unique qualified calls/visits booked with Nic; rebooking same opportunity is not a new booking.</x:v>
      </x:c>
      <x:c r="P807" s="26" t="str">
        <x:v>PDF §10; final deadline advanced to user Dec 16</x:v>
      </x:c>
      <x:c r="Q807" s="2" t="n">
        <x:f>IF(ISNUMBER(H807),1,0)</x:f>
        <x:v>0</x:v>
      </x:c>
    </x:row>
    <x:row r="808" ht="46" customHeight="1">
      <x:c r="A808" s="17" t="n">
        <x:v>46364</x:v>
      </x:c>
      <x:c r="B808" s="2" t="str">
        <x:v>Qualified conversations held</x:v>
      </x:c>
      <x:c r="C808" s="2" t="n">
        <x:v>12</x:v>
      </x:c>
      <x:c r="D808" s="2" t="str">
        <x:v>Cumulative total</x:v>
      </x:c>
      <x:c r="E808" s="20"/>
      <x:c r="F808" s="20"/>
      <x:c r="G808" s="20"/>
      <x:c r="H808" s="2" t="str">
        <x:f>IF(D808="Rate",IF(COUNT(F808:G808)&lt;2,"",IF(G808=0,"n.a.",F808/G808)),IF(COUNT(E808)=0,"",E808))</x:f>
      </x:c>
      <x:c r="I808" s="2" t="str">
        <x:f>IF(AND(ISNUMBER(H808),ISNUMBER(C808)),H808-C808,"")</x:f>
      </x:c>
      <x:c r="J808" s="2" t="str">
        <x:v>held</x:v>
      </x:c>
      <x:c r="K808" s="2" t="str">
        <x:v>Nova</x:v>
      </x:c>
      <x:c r="L808" s="28" t="str"/>
      <x:c r="M808" s="20"/>
      <x:c r="N808" s="21"/>
      <x:c r="O808" s="26" t="str">
        <x:v>Completed qualified calls/visits; 6 and 15 are integer planning proxies for 70% of 8 and 75% of 20.</x:v>
      </x:c>
      <x:c r="P808" s="26" t="str">
        <x:v>Derived from source held-rate targets</x:v>
      </x:c>
      <x:c r="Q808" s="2" t="n">
        <x:f>IF(ISNUMBER(H808),1,0)</x:f>
        <x:v>0</x:v>
      </x:c>
    </x:row>
    <x:row r="809" ht="46" customHeight="1">
      <x:c r="A809" s="17" t="n">
        <x:v>46364</x:v>
      </x:c>
      <x:c r="B809" s="2" t="str">
        <x:v>Trial cases received by DSI</x:v>
      </x:c>
      <x:c r="C809" s="2" t="n">
        <x:v>4</x:v>
      </x:c>
      <x:c r="D809" s="2" t="str">
        <x:v>Cumulative total</x:v>
      </x:c>
      <x:c r="E809" s="20"/>
      <x:c r="F809" s="20"/>
      <x:c r="G809" s="20"/>
      <x:c r="H809" s="2" t="str">
        <x:f>IF(D809="Rate",IF(COUNT(F809:G809)&lt;2,"",IF(G809=0,"n.a.",F809/G809)),IF(COUNT(E809)=0,"",E809))</x:f>
      </x:c>
      <x:c r="I809" s="2" t="str">
        <x:f>IF(AND(ISNUMBER(H809),ISNUMBER(C809)),H809-C809,"")</x:f>
      </x:c>
      <x:c r="J809" s="2" t="str">
        <x:v>trials</x:v>
      </x:c>
      <x:c r="K809" s="2" t="str">
        <x:v>Maseeha</x:v>
      </x:c>
      <x:c r="L809" s="28" t="str"/>
      <x:c r="M809" s="20"/>
      <x:c r="N809" s="21"/>
      <x:c r="O809" s="26" t="str">
        <x:v>Practice’s first trial case received by DSI, not merely promised or shipped; subject to Maseeha capacity.</x:v>
      </x:c>
      <x:c r="P809" s="26" t="str">
        <x:v>PDF §10; final deadline advanced to user Dec 16</x:v>
      </x:c>
      <x:c r="Q809" s="2" t="n">
        <x:f>IF(ISNUMBER(H809),1,0)</x:f>
        <x:v>0</x:v>
      </x:c>
    </x:row>
    <x:row r="810" ht="46" customHeight="1">
      <x:c r="A810" s="17" t="n">
        <x:v>46364</x:v>
      </x:c>
      <x:c r="B810" s="2" t="str">
        <x:v>Recurring accounts signed</x:v>
      </x:c>
      <x:c r="C810" s="2"/>
      <x:c r="D810" s="2" t="str">
        <x:v>Cumulative total</x:v>
      </x:c>
      <x:c r="E810" s="20"/>
      <x:c r="F810" s="20"/>
      <x:c r="G810" s="20"/>
      <x:c r="H810" s="2" t="str">
        <x:f>IF(D810="Rate",IF(COUNT(F810:G810)&lt;2,"",IF(G810=0,"n.a.",F810/G810)),IF(COUNT(E810)=0,"",E810))</x:f>
      </x:c>
      <x:c r="I810" s="2" t="str">
        <x:f>IF(AND(ISNUMBER(H810),ISNUMBER(C810)),H810-C810,"")</x:f>
      </x:c>
      <x:c r="J810" s="2" t="str">
        <x:v>accounts</x:v>
      </x:c>
      <x:c r="K810" s="2" t="str">
        <x:v>Nic</x:v>
      </x:c>
      <x:c r="L810" s="28" t="str"/>
      <x:c r="M810" s="20"/>
      <x:c r="N810" s="21"/>
      <x:c r="O810" s="26" t="str">
        <x:v>Plan signed following Day-30 review; only mature trial cohorts eligible. 1–3 is a conditional range.</x:v>
      </x:c>
      <x:c r="P810" s="26" t="str">
        <x:v>PDF §10</x:v>
      </x:c>
      <x:c r="Q810" s="2" t="n">
        <x:f>IF(ISNUMBER(H810),1,0)</x:f>
        <x:v>0</x:v>
      </x:c>
    </x:row>
    <x:row r="811" ht="46" customHeight="1">
      <x:c r="A811" s="17" t="n">
        <x:v>46364</x:v>
      </x:c>
      <x:c r="B811" s="2" t="str">
        <x:v>Referral-sourced bookings</x:v>
      </x:c>
      <x:c r="C811" s="2" t="n">
        <x:v>6</x:v>
      </x:c>
      <x:c r="D811" s="2" t="str">
        <x:v>Cumulative total</x:v>
      </x:c>
      <x:c r="E811" s="20"/>
      <x:c r="F811" s="20"/>
      <x:c r="G811" s="20"/>
      <x:c r="H811" s="2" t="str">
        <x:f>IF(D811="Rate",IF(COUNT(F811:G811)&lt;2,"",IF(G811=0,"n.a.",F811/G811)),IF(COUNT(E811)=0,"",E811))</x:f>
      </x:c>
      <x:c r="I811" s="2" t="str">
        <x:f>IF(AND(ISNUMBER(H811),ISNUMBER(C811)),H811-C811,"")</x:f>
      </x:c>
      <x:c r="J811" s="2" t="str">
        <x:v>bookings</x:v>
      </x:c>
      <x:c r="K811" s="2" t="str">
        <x:v>Nova</x:v>
      </x:c>
      <x:c r="L811" s="28" t="str"/>
      <x:c r="M811" s="20"/>
      <x:c r="N811" s="21"/>
      <x:c r="O811" s="26" t="str">
        <x:v>Subset of booked total with primary Source=Referral; never added on top of all-channel bookings.</x:v>
      </x:c>
      <x:c r="P811" s="26" t="str">
        <x:v>PDF §§10, 16</x:v>
      </x:c>
      <x:c r="Q811" s="2" t="n">
        <x:f>IF(ISNUMBER(H811),1,0)</x:f>
        <x:v>0</x:v>
      </x:c>
    </x:row>
    <x:row r="812" ht="46" customHeight="1">
      <x:c r="A812" s="17" t="n">
        <x:v>46364</x:v>
      </x:c>
      <x:c r="B812" s="2" t="str">
        <x:v>LinkedIn DM-sourced bookings</x:v>
      </x:c>
      <x:c r="C812" s="2" t="n">
        <x:v>6</x:v>
      </x:c>
      <x:c r="D812" s="2" t="str">
        <x:v>Cumulative total</x:v>
      </x:c>
      <x:c r="E812" s="20"/>
      <x:c r="F812" s="20"/>
      <x:c r="G812" s="20"/>
      <x:c r="H812" s="2" t="str">
        <x:f>IF(D812="Rate",IF(COUNT(F812:G812)&lt;2,"",IF(G812=0,"n.a.",F812/G812)),IF(COUNT(E812)=0,"",E812))</x:f>
      </x:c>
      <x:c r="I812" s="2" t="str">
        <x:f>IF(AND(ISNUMBER(H812),ISNUMBER(C812)),H812-C812,"")</x:f>
      </x:c>
      <x:c r="J812" s="2" t="str">
        <x:v>bookings</x:v>
      </x:c>
      <x:c r="K812" s="2" t="str">
        <x:v>Dexter</x:v>
      </x:c>
      <x:c r="L812" s="28" t="str"/>
      <x:c r="M812" s="20"/>
      <x:c r="N812" s="21"/>
      <x:c r="O812" s="26" t="str">
        <x:v>Subset of booked total with primary Source=LinkedIn DM; assists tracked separately.</x:v>
      </x:c>
      <x:c r="P812" s="26" t="str">
        <x:v>PDF §§10, 17 a</x:v>
      </x:c>
      <x:c r="Q812" s="2" t="n">
        <x:f>IF(ISNUMBER(H812),1,0)</x:f>
        <x:v>0</x:v>
      </x:c>
    </x:row>
    <x:row r="813" ht="46" customHeight="1">
      <x:c r="A813" s="17" t="n">
        <x:v>46364</x:v>
      </x:c>
      <x:c r="B813" s="2" t="str">
        <x:v>Verified contacts ready</x:v>
      </x:c>
      <x:c r="C813" s="2" t="n">
        <x:v>690</x:v>
      </x:c>
      <x:c r="D813" s="2" t="str">
        <x:v>Cumulative total</x:v>
      </x:c>
      <x:c r="E813" s="20"/>
      <x:c r="F813" s="20"/>
      <x:c r="G813" s="20"/>
      <x:c r="H813" s="2" t="str">
        <x:f>IF(D813="Rate",IF(COUNT(F813:G813)&lt;2,"",IF(G813=0,"n.a.",F813/G813)),IF(COUNT(E813)=0,"",E813))</x:f>
      </x:c>
      <x:c r="I813" s="2" t="str">
        <x:f>IF(AND(ISNUMBER(H813),ISNUMBER(C813)),H813-C813,"")</x:f>
      </x:c>
      <x:c r="J813" s="2" t="str">
        <x:v>contacts</x:v>
      </x:c>
      <x:c r="K813" s="2" t="str">
        <x:v>Joey</x:v>
      </x:c>
      <x:c r="L813" s="28" t="str"/>
      <x:c r="M813" s="20"/>
      <x:c r="N813" s="21"/>
      <x:c r="O813" s="26" t="str">
        <x:v>Unique contacts passing Scout and loaded in CQL; count once per contact.</x:v>
      </x:c>
      <x:c r="P813" s="26" t="str">
        <x:v>PDF §§10, 14; 750 due Dec 12 moved to Fri Dec 11</x:v>
      </x:c>
      <x:c r="Q813" s="2" t="n">
        <x:f>IF(ISNUMBER(H813),1,0)</x:f>
        <x:v>0</x:v>
      </x:c>
    </x:row>
    <x:row r="814" ht="46" customHeight="1">
      <x:c r="A814" s="17" t="n">
        <x:v>46364</x:v>
      </x:c>
      <x:c r="B814" s="2" t="str">
        <x:v>Permission-based referral introductions</x:v>
      </x:c>
      <x:c r="C814" s="2" t="n">
        <x:v>13</x:v>
      </x:c>
      <x:c r="D814" s="2" t="str">
        <x:v>Cumulative total</x:v>
      </x:c>
      <x:c r="E814" s="20"/>
      <x:c r="F814" s="20"/>
      <x:c r="G814" s="20"/>
      <x:c r="H814" s="2" t="str">
        <x:f>IF(D814="Rate",IF(COUNT(F814:G814)&lt;2,"",IF(G814=0,"n.a.",F814/G814)),IF(COUNT(E814)=0,"",E814))</x:f>
      </x:c>
      <x:c r="I814" s="2" t="str">
        <x:f>IF(AND(ISNUMBER(H814),ISNUMBER(C814)),H814-C814,"")</x:f>
      </x:c>
      <x:c r="J814" s="2" t="str">
        <x:v>introductions</x:v>
      </x:c>
      <x:c r="K814" s="2" t="str">
        <x:v>Maseeha</x:v>
      </x:c>
      <x:c r="L814" s="28" t="str"/>
      <x:c r="M814" s="20"/>
      <x:c r="N814" s="21"/>
      <x:c r="O814" s="26" t="str">
        <x:v>Unique introductions with consent and referrer recorded, verified by Maseeha within 2 business days.</x:v>
      </x:c>
      <x:c r="P814" s="26" t="str">
        <x:v>PDF §§10, 16</x:v>
      </x:c>
      <x:c r="Q814" s="2" t="n">
        <x:f>IF(ISNUMBER(H814),1,0)</x:f>
        <x:v>0</x:v>
      </x:c>
    </x:row>
    <x:row r="815" ht="46" customHeight="1">
      <x:c r="A815" s="17" t="n">
        <x:v>46364</x:v>
      </x:c>
      <x:c r="B815" s="2" t="str">
        <x:v>Human reply rate</x:v>
      </x:c>
      <x:c r="C815" s="40" t="n">
        <x:v>0.03</x:v>
      </x:c>
      <x:c r="D815" s="2" t="str">
        <x:v>Rate</x:v>
      </x:c>
      <x:c r="E815" s="20"/>
      <x:c r="F815" s="20"/>
      <x:c r="G815" s="20"/>
      <x:c r="H815" s="40" t="str">
        <x:f>IF(D815="Rate",IF(COUNT(F815:G815)&lt;2,"",IF(G815=0,"n.a.",F815/G815)),IF(COUNT(E815)=0,"",E815))</x:f>
      </x:c>
      <x:c r="I815" s="40" t="str">
        <x:f>IF(AND(ISNUMBER(H815),ISNUMBER(C815)),H815-C815,"")</x:f>
      </x:c>
      <x:c r="J815" s="2" t="str">
        <x:v>%</x:v>
      </x:c>
      <x:c r="K815" s="2" t="str">
        <x:v>Kenneth</x:v>
      </x:c>
      <x:c r="L815" s="28" t="str"/>
      <x:c r="M815" s="20"/>
      <x:c r="N815" s="21"/>
      <x:c r="O815" s="26" t="str">
        <x:v>Unique emailed contacts that give a qualifying human reply / unique contacts emailed in the same send cohort. Exclude OOO, auto-replies, bounces and unsubscribe-only replies. Deduplicate contacts across sequence steps; zero denominator is N/A.</x:v>
      </x:c>
      <x:c r="P815" s="26" t="str">
        <x:v>PDF §10</x:v>
      </x:c>
      <x:c r="Q815" s="2" t="n">
        <x:f>IF(ISNUMBER(H815),1,0)</x:f>
        <x:v>0</x:v>
      </x:c>
    </x:row>
    <x:row r="816" ht="46" customHeight="1">
      <x:c r="A816" s="17" t="n">
        <x:v>46364</x:v>
      </x:c>
      <x:c r="B816" s="2" t="str">
        <x:v>Positive reply rate</x:v>
      </x:c>
      <x:c r="C816" s="40" t="n">
        <x:v>0.015</x:v>
      </x:c>
      <x:c r="D816" s="2" t="str">
        <x:v>Rate</x:v>
      </x:c>
      <x:c r="E816" s="20"/>
      <x:c r="F816" s="20"/>
      <x:c r="G816" s="20"/>
      <x:c r="H816" s="40" t="str">
        <x:f>IF(D816="Rate",IF(COUNT(F816:G816)&lt;2,"",IF(G816=0,"n.a.",F816/G816)),IF(COUNT(E816)=0,"",E816))</x:f>
      </x:c>
      <x:c r="I816" s="40" t="str">
        <x:f>IF(AND(ISNUMBER(H816),ISNUMBER(C816)),H816-C816,"")</x:f>
      </x:c>
      <x:c r="J816" s="2" t="str">
        <x:v>%</x:v>
      </x:c>
      <x:c r="K816" s="2" t="str">
        <x:v>Kenneth</x:v>
      </x:c>
      <x:c r="L816" s="28" t="str"/>
      <x:c r="M816" s="20"/>
      <x:c r="N816" s="21"/>
      <x:c r="O816" s="26" t="str">
        <x:v>Unique emailed contacts classified interested or relevant question / unique contacts emailed in the same send cohort. Deduplicate across sequence steps; zero denominator is N/A. Keep this email rate separate from all-channel qualified inquiries.</x:v>
      </x:c>
      <x:c r="P816" s="26" t="str">
        <x:v>PDF §10</x:v>
      </x:c>
      <x:c r="Q816" s="2" t="n">
        <x:f>IF(ISNUMBER(H816),1,0)</x:f>
        <x:v>0</x:v>
      </x:c>
    </x:row>
    <x:row r="817" ht="46" customHeight="1">
      <x:c r="A817" s="17" t="n">
        <x:v>46364</x:v>
      </x:c>
      <x:c r="B817" s="2" t="str">
        <x:v>Replies answered within 15 minutes</x:v>
      </x:c>
      <x:c r="C817" s="40" t="n">
        <x:v>1</x:v>
      </x:c>
      <x:c r="D817" s="2" t="str">
        <x:v>Rate</x:v>
      </x:c>
      <x:c r="E817" s="20"/>
      <x:c r="F817" s="20"/>
      <x:c r="G817" s="20"/>
      <x:c r="H817" s="40" t="str">
        <x:f>IF(D817="Rate",IF(COUNT(F817:G817)&lt;2,"",IF(G817=0,"n.a.",F817/G817)),IF(COUNT(E817)=0,"",E817))</x:f>
      </x:c>
      <x:c r="I817" s="40" t="str">
        <x:f>IF(AND(ISNUMBER(H817),ISNUMBER(C817)),H817-C817,"")</x:f>
      </x:c>
      <x:c r="J817" s="2" t="str">
        <x:v>%</x:v>
      </x:c>
      <x:c r="K817" s="2" t="str">
        <x:v>Nova</x:v>
      </x:c>
      <x:c r="L817" s="28" t="str"/>
      <x:c r="M817" s="20"/>
      <x:c r="N817" s="21"/>
      <x:c r="O817"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17" s="26" t="str">
        <x:v>PDF §9; clock convention clarified for tracker</x:v>
      </x:c>
      <x:c r="Q817" s="2" t="n">
        <x:f>IF(ISNUMBER(H817),1,0)</x:f>
        <x:v>0</x:v>
      </x:c>
    </x:row>
    <x:row r="818" ht="46" customHeight="1">
      <x:c r="A818" s="17" t="n">
        <x:v>46364</x:v>
      </x:c>
      <x:c r="B818" s="2" t="str">
        <x:v>Held rate</x:v>
      </x:c>
      <x:c r="C818" s="40" t="n">
        <x:v>0.75</x:v>
      </x:c>
      <x:c r="D818" s="2" t="str">
        <x:v>Rate</x:v>
      </x:c>
      <x:c r="E818" s="20"/>
      <x:c r="F818" s="20"/>
      <x:c r="G818" s="20"/>
      <x:c r="H818" s="40" t="str">
        <x:f>IF(D818="Rate",IF(COUNT(F818:G818)&lt;2,"",IF(G818=0,"n.a.",F818/G818)),IF(COUNT(E818)=0,"",E818))</x:f>
      </x:c>
      <x:c r="I818" s="40" t="str">
        <x:f>IF(AND(ISNUMBER(H818),ISNUMBER(C818)),H818-C818,"")</x:f>
      </x:c>
      <x:c r="J818" s="2" t="str">
        <x:v>%</x:v>
      </x:c>
      <x:c r="K818" s="2" t="str">
        <x:v>Nova</x:v>
      </x:c>
      <x:c r="L818" s="28" t="str"/>
      <x:c r="M818" s="20"/>
      <x:c r="N818" s="21"/>
      <x:c r="O818" s="26" t="str">
        <x:v>Qualified conversations actually held / unique booked conversations whose scheduled time has passed. Exclude upcoming appointments. Rebooking the same opportunity is not a second booking. A zero denominator is N/A.</x:v>
      </x:c>
      <x:c r="P818" s="26" t="str">
        <x:v>PDF §10; due-cohort denominator clarified</x:v>
      </x:c>
      <x:c r="Q818" s="2" t="n">
        <x:f>IF(ISNUMBER(H818),1,0)</x:f>
        <x:v>0</x:v>
      </x:c>
    </x:row>
    <x:row r="819" ht="46" customHeight="1">
      <x:c r="A819" s="17" t="n">
        <x:v>46364</x:v>
      </x:c>
      <x:c r="B819" s="2" t="str">
        <x:v>Positive-to-booked conversion</x:v>
      </x:c>
      <x:c r="C819" s="40" t="n">
        <x:v>0.5</x:v>
      </x:c>
      <x:c r="D819" s="2" t="str">
        <x:v>Rate</x:v>
      </x:c>
      <x:c r="E819" s="20"/>
      <x:c r="F819" s="20"/>
      <x:c r="G819" s="20"/>
      <x:c r="H819" s="40" t="str">
        <x:f>IF(D819="Rate",IF(COUNT(F819:G819)&lt;2,"",IF(G819=0,"n.a.",F819/G819)),IF(COUNT(E819)=0,"",E819))</x:f>
      </x:c>
      <x:c r="I819" s="40" t="str">
        <x:f>IF(AND(ISNUMBER(H819),ISNUMBER(C819)),H819-C819,"")</x:f>
      </x:c>
      <x:c r="J819" s="2" t="str">
        <x:v>%</x:v>
      </x:c>
      <x:c r="K819" s="2" t="str">
        <x:v>Nova</x:v>
      </x:c>
      <x:c r="L819" s="28" t="str"/>
      <x:c r="M819" s="20"/>
      <x:c r="N819" s="21"/>
      <x:c r="O819" s="26" t="str">
        <x:v>Unique email-positive opportunities booked / unique email-positive opportunities in the same reviewed cohort. Use a documented follow-up window. This differs from the all-channel 40-inquiry/20-booking planning assumption. A zero denominator is N/A.</x:v>
      </x:c>
      <x:c r="P819" s="26" t="str">
        <x:v>PDF §9</x:v>
      </x:c>
      <x:c r="Q819" s="2" t="n">
        <x:f>IF(ISNUMBER(H819),1,0)</x:f>
        <x:v>0</x:v>
      </x:c>
    </x:row>
    <x:row r="820" ht="46" customHeight="1">
      <x:c r="A820" s="17" t="n">
        <x:v>46364</x:v>
      </x:c>
      <x:c r="B820" s="2" t="str">
        <x:v>Existing-account referral asks</x:v>
      </x:c>
      <x:c r="C820" s="2" t="n">
        <x:v>41</x:v>
      </x:c>
      <x:c r="D820" s="2" t="str">
        <x:v>Cumulative total</x:v>
      </x:c>
      <x:c r="E820" s="20"/>
      <x:c r="F820" s="20"/>
      <x:c r="G820" s="20"/>
      <x:c r="H820" s="2" t="str">
        <x:f>IF(D820="Rate",IF(COUNT(F820:G820)&lt;2,"",IF(G820=0,"n.a.",F820/G820)),IF(COUNT(E820)=0,"",E820))</x:f>
      </x:c>
      <x:c r="I820" s="2" t="str">
        <x:f>IF(AND(ISNUMBER(H820),ISNUMBER(C820)),H820-C820,"")</x:f>
      </x:c>
      <x:c r="J820" s="2" t="str">
        <x:v>accounts asked</x:v>
      </x:c>
      <x:c r="K820" s="2" t="str">
        <x:v>Maseeha</x:v>
      </x:c>
      <x:c r="L820" s="28" t="str"/>
      <x:c r="M820" s="20"/>
      <x:c r="N820" s="21"/>
      <x:c r="O820" s="26" t="str">
        <x:v>Ask 25 unique A/B accounts (5 A and 20 B) by November 13; proposed pace 35 total by November 20; complete the remaining C accounts to reach 41 total by November 25. One introduction is the ask; asks and received intros are separate counts.</x:v>
      </x:c>
      <x:c r="P820" s="26" t="str">
        <x:v>PDF §16 supplies 25 A/B byNov 14 and 16 C byNov 25; Friday deadline and 35-byNov 20 pace are proposed scheduling allocations.</x:v>
      </x:c>
      <x:c r="Q820" s="2" t="n">
        <x:f>IF(ISNUMBER(H820),1,0)</x:f>
        <x:v>0</x:v>
      </x:c>
    </x:row>
    <x:row r="821" ht="46" customHeight="1">
      <x:c r="A821" s="17" t="n">
        <x:v>46364</x:v>
      </x:c>
      <x:c r="B821" s="2" t="str">
        <x:v>Approved SOPs</x:v>
      </x:c>
      <x:c r="C821" s="2"/>
      <x:c r="D821" s="2" t="str">
        <x:v>Cumulative total</x:v>
      </x:c>
      <x:c r="E821" s="20"/>
      <x:c r="F821" s="20"/>
      <x:c r="G821" s="20"/>
      <x:c r="H821" s="2" t="str">
        <x:f>IF(D821="Rate",IF(COUNT(F821:G821)&lt;2,"",IF(G821=0,"n.a.",F821/G821)),IF(COUNT(E821)=0,"",E821))</x:f>
      </x:c>
      <x:c r="I821" s="2" t="str">
        <x:f>IF(AND(ISNUMBER(H821),ISNUMBER(C821)),H821-C821,"")</x:f>
      </x:c>
      <x:c r="J821" s="2" t="str">
        <x:v>SOPs</x:v>
      </x:c>
      <x:c r="K821" s="2" t="str">
        <x:v>Wyline</x:v>
      </x:c>
      <x:c r="L821" s="28" t="str"/>
      <x:c r="M821" s="20"/>
      <x:c r="N821" s="21"/>
      <x:c r="O821" s="26" t="str">
        <x:v>10 core SOPs plus ADS-01 and SOC-01 additions; approved version and independent-run evidence required.</x:v>
      </x:c>
      <x:c r="P821" s="26" t="str">
        <x:v>PDF §8 with §§17 b–d additions</x:v>
      </x:c>
      <x:c r="Q821" s="2" t="n">
        <x:f>IF(ISNUMBER(H821),1,0)</x:f>
        <x:v>0</x:v>
      </x:c>
    </x:row>
    <x:row r="822" ht="46" customHeight="1">
      <x:c r="A822" s="17" t="n">
        <x:v>46364</x:v>
      </x:c>
      <x:c r="B822" s="2" t="str">
        <x:v>Accepted AI agents</x:v>
      </x:c>
      <x:c r="C822" s="2"/>
      <x:c r="D822" s="2" t="str">
        <x:v>Cumulative total</x:v>
      </x:c>
      <x:c r="E822" s="20"/>
      <x:c r="F822" s="20"/>
      <x:c r="G822" s="20"/>
      <x:c r="H822" s="2" t="str">
        <x:f>IF(D822="Rate",IF(COUNT(F822:G822)&lt;2,"",IF(G822=0,"n.a.",F822/G822)),IF(COUNT(E822)=0,"",E822))</x:f>
      </x:c>
      <x:c r="I822" s="2" t="str">
        <x:f>IF(AND(ISNUMBER(H822),ISNUMBER(C822)),H822-C822,"")</x:f>
      </x:c>
      <x:c r="J822" s="2" t="str">
        <x:v>agents</x:v>
      </x:c>
      <x:c r="K822" s="2" t="str">
        <x:v>Emman</x:v>
      </x:c>
      <x:c r="L822" s="28" t="str"/>
      <x:c r="M822" s="20"/>
      <x:c r="N822" s="21"/>
      <x:c r="O822" s="26" t="str">
        <x:v>Scout, Writer, Inbox, Phone Assist, LinkedIn Assist, Follow-up, Scoreboard and Client Reporter; acceptance evidence required.</x:v>
      </x:c>
      <x:c r="P822" s="26" t="str">
        <x:v>PDF §7</x:v>
      </x:c>
      <x:c r="Q822" s="2" t="n">
        <x:f>IF(ISNUMBER(H822),1,0)</x:f>
        <x:v>0</x:v>
      </x:c>
    </x:row>
    <x:row r="823" ht="46" customHeight="1">
      <x:c r="A823" s="17" t="n">
        <x:v>46365</x:v>
      </x:c>
      <x:c r="B823" s="2" t="str">
        <x:v>Qualified inquiries</x:v>
      </x:c>
      <x:c r="C823" s="2" t="n">
        <x:v>35</x:v>
      </x:c>
      <x:c r="D823" s="2" t="str">
        <x:v>Cumulative total</x:v>
      </x:c>
      <x:c r="E823" s="20"/>
      <x:c r="F823" s="20"/>
      <x:c r="G823" s="20"/>
      <x:c r="H823" s="2" t="str">
        <x:f>IF(D823="Rate",IF(COUNT(F823:G823)&lt;2,"",IF(G823=0,"n.a.",F823/G823)),IF(COUNT(E823)=0,"",E823))</x:f>
      </x:c>
      <x:c r="I823" s="2" t="str">
        <x:f>IF(AND(ISNUMBER(H823),ISNUMBER(C823)),H823-C823,"")</x:f>
      </x:c>
      <x:c r="J823" s="2" t="str">
        <x:v>inquiries</x:v>
      </x:c>
      <x:c r="K823" s="2" t="str">
        <x:v>Nova</x:v>
      </x:c>
      <x:c r="L823" s="28" t="str"/>
      <x:c r="M823" s="20"/>
      <x:c r="N823" s="21"/>
      <x:c r="O823" s="26" t="str">
        <x:v>Unique ICP-matched practices that express relevant interest, need or timing; Nova records practice type, decision-maker access, case volume, service need and readiness within 30–60 days. Raw records, opens and connection accepts do not qualify.</x:v>
      </x:c>
      <x:c r="P823" s="26" t="str">
        <x:v>Original proposal pages 2 and 4 define qualification; 40 by Dec 16 and intermediate pace are newly proposed recovery targets.</x:v>
      </x:c>
      <x:c r="Q823" s="2" t="n">
        <x:f>IF(ISNUMBER(H823),1,0)</x:f>
        <x:v>0</x:v>
      </x:c>
    </x:row>
    <x:row r="824" ht="46" customHeight="1">
      <x:c r="A824" s="17" t="n">
        <x:v>46365</x:v>
      </x:c>
      <x:c r="B824" s="2" t="str">
        <x:v>Qualified conversations booked</x:v>
      </x:c>
      <x:c r="C824" s="2" t="n">
        <x:v>17</x:v>
      </x:c>
      <x:c r="D824" s="2" t="str">
        <x:v>Cumulative total</x:v>
      </x:c>
      <x:c r="E824" s="20"/>
      <x:c r="F824" s="20"/>
      <x:c r="G824" s="20"/>
      <x:c r="H824" s="2" t="str">
        <x:f>IF(D824="Rate",IF(COUNT(F824:G824)&lt;2,"",IF(G824=0,"n.a.",F824/G824)),IF(COUNT(E824)=0,"",E824))</x:f>
      </x:c>
      <x:c r="I824" s="2" t="str">
        <x:f>IF(AND(ISNUMBER(H824),ISNUMBER(C824)),H824-C824,"")</x:f>
      </x:c>
      <x:c r="J824" s="2" t="str">
        <x:v>bookings</x:v>
      </x:c>
      <x:c r="K824" s="2" t="str">
        <x:v>Nova</x:v>
      </x:c>
      <x:c r="L824" s="28" t="str"/>
      <x:c r="M824" s="20"/>
      <x:c r="N824" s="21"/>
      <x:c r="O824" s="26" t="str">
        <x:v>Unique qualified calls/visits booked with Nic; rebooking same opportunity is not a new booking.</x:v>
      </x:c>
      <x:c r="P824" s="26" t="str">
        <x:v>PDF §10; final deadline advanced to user Dec 16</x:v>
      </x:c>
      <x:c r="Q824" s="2" t="n">
        <x:f>IF(ISNUMBER(H824),1,0)</x:f>
        <x:v>0</x:v>
      </x:c>
    </x:row>
    <x:row r="825" ht="46" customHeight="1">
      <x:c r="A825" s="17" t="n">
        <x:v>46365</x:v>
      </x:c>
      <x:c r="B825" s="2" t="str">
        <x:v>Qualified conversations held</x:v>
      </x:c>
      <x:c r="C825" s="2" t="n">
        <x:v>13</x:v>
      </x:c>
      <x:c r="D825" s="2" t="str">
        <x:v>Cumulative total</x:v>
      </x:c>
      <x:c r="E825" s="20"/>
      <x:c r="F825" s="20"/>
      <x:c r="G825" s="20"/>
      <x:c r="H825" s="2" t="str">
        <x:f>IF(D825="Rate",IF(COUNT(F825:G825)&lt;2,"",IF(G825=0,"n.a.",F825/G825)),IF(COUNT(E825)=0,"",E825))</x:f>
      </x:c>
      <x:c r="I825" s="2" t="str">
        <x:f>IF(AND(ISNUMBER(H825),ISNUMBER(C825)),H825-C825,"")</x:f>
      </x:c>
      <x:c r="J825" s="2" t="str">
        <x:v>held</x:v>
      </x:c>
      <x:c r="K825" s="2" t="str">
        <x:v>Nova</x:v>
      </x:c>
      <x:c r="L825" s="28" t="str"/>
      <x:c r="M825" s="20"/>
      <x:c r="N825" s="21"/>
      <x:c r="O825" s="26" t="str">
        <x:v>Completed qualified calls/visits; 6 and 15 are integer planning proxies for 70% of 8 and 75% of 20.</x:v>
      </x:c>
      <x:c r="P825" s="26" t="str">
        <x:v>Derived from source held-rate targets</x:v>
      </x:c>
      <x:c r="Q825" s="2" t="n">
        <x:f>IF(ISNUMBER(H825),1,0)</x:f>
        <x:v>0</x:v>
      </x:c>
    </x:row>
    <x:row r="826" ht="46" customHeight="1">
      <x:c r="A826" s="17" t="n">
        <x:v>46365</x:v>
      </x:c>
      <x:c r="B826" s="2" t="str">
        <x:v>Trial cases received by DSI</x:v>
      </x:c>
      <x:c r="C826" s="2" t="n">
        <x:v>5</x:v>
      </x:c>
      <x:c r="D826" s="2" t="str">
        <x:v>Cumulative total</x:v>
      </x:c>
      <x:c r="E826" s="20"/>
      <x:c r="F826" s="20"/>
      <x:c r="G826" s="20"/>
      <x:c r="H826" s="2" t="str">
        <x:f>IF(D826="Rate",IF(COUNT(F826:G826)&lt;2,"",IF(G826=0,"n.a.",F826/G826)),IF(COUNT(E826)=0,"",E826))</x:f>
      </x:c>
      <x:c r="I826" s="2" t="str">
        <x:f>IF(AND(ISNUMBER(H826),ISNUMBER(C826)),H826-C826,"")</x:f>
      </x:c>
      <x:c r="J826" s="2" t="str">
        <x:v>trials</x:v>
      </x:c>
      <x:c r="K826" s="2" t="str">
        <x:v>Maseeha</x:v>
      </x:c>
      <x:c r="L826" s="28" t="str"/>
      <x:c r="M826" s="20"/>
      <x:c r="N826" s="21"/>
      <x:c r="O826" s="26" t="str">
        <x:v>Practice’s first trial case received by DSI, not merely promised or shipped; subject to Maseeha capacity.</x:v>
      </x:c>
      <x:c r="P826" s="26" t="str">
        <x:v>PDF §10; final deadline advanced to user Dec 16</x:v>
      </x:c>
      <x:c r="Q826" s="2" t="n">
        <x:f>IF(ISNUMBER(H826),1,0)</x:f>
        <x:v>0</x:v>
      </x:c>
    </x:row>
    <x:row r="827" ht="46" customHeight="1">
      <x:c r="A827" s="17" t="n">
        <x:v>46365</x:v>
      </x:c>
      <x:c r="B827" s="2" t="str">
        <x:v>Recurring accounts signed</x:v>
      </x:c>
      <x:c r="C827" s="2"/>
      <x:c r="D827" s="2" t="str">
        <x:v>Cumulative total</x:v>
      </x:c>
      <x:c r="E827" s="20"/>
      <x:c r="F827" s="20"/>
      <x:c r="G827" s="20"/>
      <x:c r="H827" s="2" t="str">
        <x:f>IF(D827="Rate",IF(COUNT(F827:G827)&lt;2,"",IF(G827=0,"n.a.",F827/G827)),IF(COUNT(E827)=0,"",E827))</x:f>
      </x:c>
      <x:c r="I827" s="2" t="str">
        <x:f>IF(AND(ISNUMBER(H827),ISNUMBER(C827)),H827-C827,"")</x:f>
      </x:c>
      <x:c r="J827" s="2" t="str">
        <x:v>accounts</x:v>
      </x:c>
      <x:c r="K827" s="2" t="str">
        <x:v>Nic</x:v>
      </x:c>
      <x:c r="L827" s="28" t="str"/>
      <x:c r="M827" s="20"/>
      <x:c r="N827" s="21"/>
      <x:c r="O827" s="26" t="str">
        <x:v>Plan signed following Day-30 review; only mature trial cohorts eligible. 1–3 is a conditional range.</x:v>
      </x:c>
      <x:c r="P827" s="26" t="str">
        <x:v>PDF §10</x:v>
      </x:c>
      <x:c r="Q827" s="2" t="n">
        <x:f>IF(ISNUMBER(H827),1,0)</x:f>
        <x:v>0</x:v>
      </x:c>
    </x:row>
    <x:row r="828" ht="46" customHeight="1">
      <x:c r="A828" s="17" t="n">
        <x:v>46365</x:v>
      </x:c>
      <x:c r="B828" s="2" t="str">
        <x:v>Referral-sourced bookings</x:v>
      </x:c>
      <x:c r="C828" s="2" t="n">
        <x:v>7</x:v>
      </x:c>
      <x:c r="D828" s="2" t="str">
        <x:v>Cumulative total</x:v>
      </x:c>
      <x:c r="E828" s="20"/>
      <x:c r="F828" s="20"/>
      <x:c r="G828" s="20"/>
      <x:c r="H828" s="2" t="str">
        <x:f>IF(D828="Rate",IF(COUNT(F828:G828)&lt;2,"",IF(G828=0,"n.a.",F828/G828)),IF(COUNT(E828)=0,"",E828))</x:f>
      </x:c>
      <x:c r="I828" s="2" t="str">
        <x:f>IF(AND(ISNUMBER(H828),ISNUMBER(C828)),H828-C828,"")</x:f>
      </x:c>
      <x:c r="J828" s="2" t="str">
        <x:v>bookings</x:v>
      </x:c>
      <x:c r="K828" s="2" t="str">
        <x:v>Nova</x:v>
      </x:c>
      <x:c r="L828" s="28" t="str"/>
      <x:c r="M828" s="20"/>
      <x:c r="N828" s="21"/>
      <x:c r="O828" s="26" t="str">
        <x:v>Subset of booked total with primary Source=Referral; never added on top of all-channel bookings.</x:v>
      </x:c>
      <x:c r="P828" s="26" t="str">
        <x:v>PDF §§10, 16</x:v>
      </x:c>
      <x:c r="Q828" s="2" t="n">
        <x:f>IF(ISNUMBER(H828),1,0)</x:f>
        <x:v>0</x:v>
      </x:c>
    </x:row>
    <x:row r="829" ht="46" customHeight="1">
      <x:c r="A829" s="17" t="n">
        <x:v>46365</x:v>
      </x:c>
      <x:c r="B829" s="2" t="str">
        <x:v>LinkedIn DM-sourced bookings</x:v>
      </x:c>
      <x:c r="C829" s="2" t="n">
        <x:v>6</x:v>
      </x:c>
      <x:c r="D829" s="2" t="str">
        <x:v>Cumulative total</x:v>
      </x:c>
      <x:c r="E829" s="20"/>
      <x:c r="F829" s="20"/>
      <x:c r="G829" s="20"/>
      <x:c r="H829" s="2" t="str">
        <x:f>IF(D829="Rate",IF(COUNT(F829:G829)&lt;2,"",IF(G829=0,"n.a.",F829/G829)),IF(COUNT(E829)=0,"",E829))</x:f>
      </x:c>
      <x:c r="I829" s="2" t="str">
        <x:f>IF(AND(ISNUMBER(H829),ISNUMBER(C829)),H829-C829,"")</x:f>
      </x:c>
      <x:c r="J829" s="2" t="str">
        <x:v>bookings</x:v>
      </x:c>
      <x:c r="K829" s="2" t="str">
        <x:v>Dexter</x:v>
      </x:c>
      <x:c r="L829" s="28" t="str"/>
      <x:c r="M829" s="20"/>
      <x:c r="N829" s="21"/>
      <x:c r="O829" s="26" t="str">
        <x:v>Subset of booked total with primary Source=LinkedIn DM; assists tracked separately.</x:v>
      </x:c>
      <x:c r="P829" s="26" t="str">
        <x:v>PDF §§10, 17 a</x:v>
      </x:c>
      <x:c r="Q829" s="2" t="n">
        <x:f>IF(ISNUMBER(H829),1,0)</x:f>
        <x:v>0</x:v>
      </x:c>
    </x:row>
    <x:row r="830" ht="46" customHeight="1">
      <x:c r="A830" s="17" t="n">
        <x:v>46365</x:v>
      </x:c>
      <x:c r="B830" s="2" t="str">
        <x:v>Verified contacts ready</x:v>
      </x:c>
      <x:c r="C830" s="2" t="n">
        <x:v>710</x:v>
      </x:c>
      <x:c r="D830" s="2" t="str">
        <x:v>Cumulative total</x:v>
      </x:c>
      <x:c r="E830" s="20"/>
      <x:c r="F830" s="20"/>
      <x:c r="G830" s="20"/>
      <x:c r="H830" s="2" t="str">
        <x:f>IF(D830="Rate",IF(COUNT(F830:G830)&lt;2,"",IF(G830=0,"n.a.",F830/G830)),IF(COUNT(E830)=0,"",E830))</x:f>
      </x:c>
      <x:c r="I830" s="2" t="str">
        <x:f>IF(AND(ISNUMBER(H830),ISNUMBER(C830)),H830-C830,"")</x:f>
      </x:c>
      <x:c r="J830" s="2" t="str">
        <x:v>contacts</x:v>
      </x:c>
      <x:c r="K830" s="2" t="str">
        <x:v>Joey</x:v>
      </x:c>
      <x:c r="L830" s="28" t="str"/>
      <x:c r="M830" s="20"/>
      <x:c r="N830" s="21"/>
      <x:c r="O830" s="26" t="str">
        <x:v>Unique contacts passing Scout and loaded in CQL; count once per contact.</x:v>
      </x:c>
      <x:c r="P830" s="26" t="str">
        <x:v>PDF §§10, 14; 750 due Dec 12 moved to Fri Dec 11</x:v>
      </x:c>
      <x:c r="Q830" s="2" t="n">
        <x:f>IF(ISNUMBER(H830),1,0)</x:f>
        <x:v>0</x:v>
      </x:c>
    </x:row>
    <x:row r="831" ht="46" customHeight="1">
      <x:c r="A831" s="17" t="n">
        <x:v>46365</x:v>
      </x:c>
      <x:c r="B831" s="2" t="str">
        <x:v>Permission-based referral introductions</x:v>
      </x:c>
      <x:c r="C831" s="2" t="n">
        <x:v>13</x:v>
      </x:c>
      <x:c r="D831" s="2" t="str">
        <x:v>Cumulative total</x:v>
      </x:c>
      <x:c r="E831" s="20"/>
      <x:c r="F831" s="20"/>
      <x:c r="G831" s="20"/>
      <x:c r="H831" s="2" t="str">
        <x:f>IF(D831="Rate",IF(COUNT(F831:G831)&lt;2,"",IF(G831=0,"n.a.",F831/G831)),IF(COUNT(E831)=0,"",E831))</x:f>
      </x:c>
      <x:c r="I831" s="2" t="str">
        <x:f>IF(AND(ISNUMBER(H831),ISNUMBER(C831)),H831-C831,"")</x:f>
      </x:c>
      <x:c r="J831" s="2" t="str">
        <x:v>introductions</x:v>
      </x:c>
      <x:c r="K831" s="2" t="str">
        <x:v>Maseeha</x:v>
      </x:c>
      <x:c r="L831" s="28" t="str"/>
      <x:c r="M831" s="20"/>
      <x:c r="N831" s="21"/>
      <x:c r="O831" s="26" t="str">
        <x:v>Unique introductions with consent and referrer recorded, verified by Maseeha within 2 business days.</x:v>
      </x:c>
      <x:c r="P831" s="26" t="str">
        <x:v>PDF §§10, 16</x:v>
      </x:c>
      <x:c r="Q831" s="2" t="n">
        <x:f>IF(ISNUMBER(H831),1,0)</x:f>
        <x:v>0</x:v>
      </x:c>
    </x:row>
    <x:row r="832" ht="46" customHeight="1">
      <x:c r="A832" s="17" t="n">
        <x:v>46365</x:v>
      </x:c>
      <x:c r="B832" s="2" t="str">
        <x:v>Human reply rate</x:v>
      </x:c>
      <x:c r="C832" s="40" t="n">
        <x:v>0.03</x:v>
      </x:c>
      <x:c r="D832" s="2" t="str">
        <x:v>Rate</x:v>
      </x:c>
      <x:c r="E832" s="20"/>
      <x:c r="F832" s="20"/>
      <x:c r="G832" s="20"/>
      <x:c r="H832" s="40" t="str">
        <x:f>IF(D832="Rate",IF(COUNT(F832:G832)&lt;2,"",IF(G832=0,"n.a.",F832/G832)),IF(COUNT(E832)=0,"",E832))</x:f>
      </x:c>
      <x:c r="I832" s="40" t="str">
        <x:f>IF(AND(ISNUMBER(H832),ISNUMBER(C832)),H832-C832,"")</x:f>
      </x:c>
      <x:c r="J832" s="2" t="str">
        <x:v>%</x:v>
      </x:c>
      <x:c r="K832" s="2" t="str">
        <x:v>Kenneth</x:v>
      </x:c>
      <x:c r="L832" s="28" t="str"/>
      <x:c r="M832" s="20"/>
      <x:c r="N832" s="21"/>
      <x:c r="O832" s="26" t="str">
        <x:v>Unique emailed contacts that give a qualifying human reply / unique contacts emailed in the same send cohort. Exclude OOO, auto-replies, bounces and unsubscribe-only replies. Deduplicate contacts across sequence steps; zero denominator is N/A.</x:v>
      </x:c>
      <x:c r="P832" s="26" t="str">
        <x:v>PDF §10</x:v>
      </x:c>
      <x:c r="Q832" s="2" t="n">
        <x:f>IF(ISNUMBER(H832),1,0)</x:f>
        <x:v>0</x:v>
      </x:c>
    </x:row>
    <x:row r="833" ht="46" customHeight="1">
      <x:c r="A833" s="17" t="n">
        <x:v>46365</x:v>
      </x:c>
      <x:c r="B833" s="2" t="str">
        <x:v>Positive reply rate</x:v>
      </x:c>
      <x:c r="C833" s="40" t="n">
        <x:v>0.015</x:v>
      </x:c>
      <x:c r="D833" s="2" t="str">
        <x:v>Rate</x:v>
      </x:c>
      <x:c r="E833" s="20"/>
      <x:c r="F833" s="20"/>
      <x:c r="G833" s="20"/>
      <x:c r="H833" s="40" t="str">
        <x:f>IF(D833="Rate",IF(COUNT(F833:G833)&lt;2,"",IF(G833=0,"n.a.",F833/G833)),IF(COUNT(E833)=0,"",E833))</x:f>
      </x:c>
      <x:c r="I833" s="40" t="str">
        <x:f>IF(AND(ISNUMBER(H833),ISNUMBER(C833)),H833-C833,"")</x:f>
      </x:c>
      <x:c r="J833" s="2" t="str">
        <x:v>%</x:v>
      </x:c>
      <x:c r="K833" s="2" t="str">
        <x:v>Kenneth</x:v>
      </x:c>
      <x:c r="L833" s="28" t="str"/>
      <x:c r="M833" s="20"/>
      <x:c r="N833" s="21"/>
      <x:c r="O833" s="26" t="str">
        <x:v>Unique emailed contacts classified interested or relevant question / unique contacts emailed in the same send cohort. Deduplicate across sequence steps; zero denominator is N/A. Keep this email rate separate from all-channel qualified inquiries.</x:v>
      </x:c>
      <x:c r="P833" s="26" t="str">
        <x:v>PDF §10</x:v>
      </x:c>
      <x:c r="Q833" s="2" t="n">
        <x:f>IF(ISNUMBER(H833),1,0)</x:f>
        <x:v>0</x:v>
      </x:c>
    </x:row>
    <x:row r="834" ht="46" customHeight="1">
      <x:c r="A834" s="17" t="n">
        <x:v>46365</x:v>
      </x:c>
      <x:c r="B834" s="2" t="str">
        <x:v>Replies answered within 15 minutes</x:v>
      </x:c>
      <x:c r="C834" s="40" t="n">
        <x:v>1</x:v>
      </x:c>
      <x:c r="D834" s="2" t="str">
        <x:v>Rate</x:v>
      </x:c>
      <x:c r="E834" s="20"/>
      <x:c r="F834" s="20"/>
      <x:c r="G834" s="20"/>
      <x:c r="H834" s="40" t="str">
        <x:f>IF(D834="Rate",IF(COUNT(F834:G834)&lt;2,"",IF(G834=0,"n.a.",F834/G834)),IF(COUNT(E834)=0,"",E834))</x:f>
      </x:c>
      <x:c r="I834" s="40" t="str">
        <x:f>IF(AND(ISNUMBER(H834),ISNUMBER(C834)),H834-C834,"")</x:f>
      </x:c>
      <x:c r="J834" s="2" t="str">
        <x:v>%</x:v>
      </x:c>
      <x:c r="K834" s="2" t="str">
        <x:v>Nova</x:v>
      </x:c>
      <x:c r="L834" s="28" t="str"/>
      <x:c r="M834" s="20"/>
      <x:c r="N834" s="21"/>
      <x:c r="O834"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34" s="26" t="str">
        <x:v>PDF §9; clock convention clarified for tracker</x:v>
      </x:c>
      <x:c r="Q834" s="2" t="n">
        <x:f>IF(ISNUMBER(H834),1,0)</x:f>
        <x:v>0</x:v>
      </x:c>
    </x:row>
    <x:row r="835" ht="46" customHeight="1">
      <x:c r="A835" s="17" t="n">
        <x:v>46365</x:v>
      </x:c>
      <x:c r="B835" s="2" t="str">
        <x:v>Held rate</x:v>
      </x:c>
      <x:c r="C835" s="40" t="n">
        <x:v>0.75</x:v>
      </x:c>
      <x:c r="D835" s="2" t="str">
        <x:v>Rate</x:v>
      </x:c>
      <x:c r="E835" s="20"/>
      <x:c r="F835" s="20"/>
      <x:c r="G835" s="20"/>
      <x:c r="H835" s="40" t="str">
        <x:f>IF(D835="Rate",IF(COUNT(F835:G835)&lt;2,"",IF(G835=0,"n.a.",F835/G835)),IF(COUNT(E835)=0,"",E835))</x:f>
      </x:c>
      <x:c r="I835" s="40" t="str">
        <x:f>IF(AND(ISNUMBER(H835),ISNUMBER(C835)),H835-C835,"")</x:f>
      </x:c>
      <x:c r="J835" s="2" t="str">
        <x:v>%</x:v>
      </x:c>
      <x:c r="K835" s="2" t="str">
        <x:v>Nova</x:v>
      </x:c>
      <x:c r="L835" s="28" t="str"/>
      <x:c r="M835" s="20"/>
      <x:c r="N835" s="21"/>
      <x:c r="O835" s="26" t="str">
        <x:v>Qualified conversations actually held / unique booked conversations whose scheduled time has passed. Exclude upcoming appointments. Rebooking the same opportunity is not a second booking. A zero denominator is N/A.</x:v>
      </x:c>
      <x:c r="P835" s="26" t="str">
        <x:v>PDF §10; due-cohort denominator clarified</x:v>
      </x:c>
      <x:c r="Q835" s="2" t="n">
        <x:f>IF(ISNUMBER(H835),1,0)</x:f>
        <x:v>0</x:v>
      </x:c>
    </x:row>
    <x:row r="836" ht="46" customHeight="1">
      <x:c r="A836" s="17" t="n">
        <x:v>46365</x:v>
      </x:c>
      <x:c r="B836" s="2" t="str">
        <x:v>Positive-to-booked conversion</x:v>
      </x:c>
      <x:c r="C836" s="40" t="n">
        <x:v>0.5</x:v>
      </x:c>
      <x:c r="D836" s="2" t="str">
        <x:v>Rate</x:v>
      </x:c>
      <x:c r="E836" s="20"/>
      <x:c r="F836" s="20"/>
      <x:c r="G836" s="20"/>
      <x:c r="H836" s="40" t="str">
        <x:f>IF(D836="Rate",IF(COUNT(F836:G836)&lt;2,"",IF(G836=0,"n.a.",F836/G836)),IF(COUNT(E836)=0,"",E836))</x:f>
      </x:c>
      <x:c r="I836" s="40" t="str">
        <x:f>IF(AND(ISNUMBER(H836),ISNUMBER(C836)),H836-C836,"")</x:f>
      </x:c>
      <x:c r="J836" s="2" t="str">
        <x:v>%</x:v>
      </x:c>
      <x:c r="K836" s="2" t="str">
        <x:v>Nova</x:v>
      </x:c>
      <x:c r="L836" s="28" t="str"/>
      <x:c r="M836" s="20"/>
      <x:c r="N836" s="21"/>
      <x:c r="O836" s="26" t="str">
        <x:v>Unique email-positive opportunities booked / unique email-positive opportunities in the same reviewed cohort. Use a documented follow-up window. This differs from the all-channel 40-inquiry/20-booking planning assumption. A zero denominator is N/A.</x:v>
      </x:c>
      <x:c r="P836" s="26" t="str">
        <x:v>PDF §9</x:v>
      </x:c>
      <x:c r="Q836" s="2" t="n">
        <x:f>IF(ISNUMBER(H836),1,0)</x:f>
        <x:v>0</x:v>
      </x:c>
    </x:row>
    <x:row r="837" ht="46" customHeight="1">
      <x:c r="A837" s="17" t="n">
        <x:v>46365</x:v>
      </x:c>
      <x:c r="B837" s="2" t="str">
        <x:v>Existing-account referral asks</x:v>
      </x:c>
      <x:c r="C837" s="2" t="n">
        <x:v>41</x:v>
      </x:c>
      <x:c r="D837" s="2" t="str">
        <x:v>Cumulative total</x:v>
      </x:c>
      <x:c r="E837" s="20"/>
      <x:c r="F837" s="20"/>
      <x:c r="G837" s="20"/>
      <x:c r="H837" s="2" t="str">
        <x:f>IF(D837="Rate",IF(COUNT(F837:G837)&lt;2,"",IF(G837=0,"n.a.",F837/G837)),IF(COUNT(E837)=0,"",E837))</x:f>
      </x:c>
      <x:c r="I837" s="2" t="str">
        <x:f>IF(AND(ISNUMBER(H837),ISNUMBER(C837)),H837-C837,"")</x:f>
      </x:c>
      <x:c r="J837" s="2" t="str">
        <x:v>accounts asked</x:v>
      </x:c>
      <x:c r="K837" s="2" t="str">
        <x:v>Maseeha</x:v>
      </x:c>
      <x:c r="L837" s="28" t="str"/>
      <x:c r="M837" s="20"/>
      <x:c r="N837" s="21"/>
      <x:c r="O837" s="26" t="str">
        <x:v>Ask 25 unique A/B accounts (5 A and 20 B) by November 13; proposed pace 35 total by November 20; complete the remaining C accounts to reach 41 total by November 25. One introduction is the ask; asks and received intros are separate counts.</x:v>
      </x:c>
      <x:c r="P837" s="26" t="str">
        <x:v>PDF §16 supplies 25 A/B byNov 14 and 16 C byNov 25; Friday deadline and 35-byNov 20 pace are proposed scheduling allocations.</x:v>
      </x:c>
      <x:c r="Q837" s="2" t="n">
        <x:f>IF(ISNUMBER(H837),1,0)</x:f>
        <x:v>0</x:v>
      </x:c>
    </x:row>
    <x:row r="838" ht="46" customHeight="1">
      <x:c r="A838" s="17" t="n">
        <x:v>46365</x:v>
      </x:c>
      <x:c r="B838" s="2" t="str">
        <x:v>Approved SOPs</x:v>
      </x:c>
      <x:c r="C838" s="2"/>
      <x:c r="D838" s="2" t="str">
        <x:v>Cumulative total</x:v>
      </x:c>
      <x:c r="E838" s="20"/>
      <x:c r="F838" s="20"/>
      <x:c r="G838" s="20"/>
      <x:c r="H838" s="2" t="str">
        <x:f>IF(D838="Rate",IF(COUNT(F838:G838)&lt;2,"",IF(G838=0,"n.a.",F838/G838)),IF(COUNT(E838)=0,"",E838))</x:f>
      </x:c>
      <x:c r="I838" s="2" t="str">
        <x:f>IF(AND(ISNUMBER(H838),ISNUMBER(C838)),H838-C838,"")</x:f>
      </x:c>
      <x:c r="J838" s="2" t="str">
        <x:v>SOPs</x:v>
      </x:c>
      <x:c r="K838" s="2" t="str">
        <x:v>Wyline</x:v>
      </x:c>
      <x:c r="L838" s="28" t="str"/>
      <x:c r="M838" s="20"/>
      <x:c r="N838" s="21"/>
      <x:c r="O838" s="26" t="str">
        <x:v>10 core SOPs plus ADS-01 and SOC-01 additions; approved version and independent-run evidence required.</x:v>
      </x:c>
      <x:c r="P838" s="26" t="str">
        <x:v>PDF §8 with §§17 b–d additions</x:v>
      </x:c>
      <x:c r="Q838" s="2" t="n">
        <x:f>IF(ISNUMBER(H838),1,0)</x:f>
        <x:v>0</x:v>
      </x:c>
    </x:row>
    <x:row r="839" ht="46" customHeight="1">
      <x:c r="A839" s="17" t="n">
        <x:v>46365</x:v>
      </x:c>
      <x:c r="B839" s="2" t="str">
        <x:v>Accepted AI agents</x:v>
      </x:c>
      <x:c r="C839" s="2"/>
      <x:c r="D839" s="2" t="str">
        <x:v>Cumulative total</x:v>
      </x:c>
      <x:c r="E839" s="20"/>
      <x:c r="F839" s="20"/>
      <x:c r="G839" s="20"/>
      <x:c r="H839" s="2" t="str">
        <x:f>IF(D839="Rate",IF(COUNT(F839:G839)&lt;2,"",IF(G839=0,"n.a.",F839/G839)),IF(COUNT(E839)=0,"",E839))</x:f>
      </x:c>
      <x:c r="I839" s="2" t="str">
        <x:f>IF(AND(ISNUMBER(H839),ISNUMBER(C839)),H839-C839,"")</x:f>
      </x:c>
      <x:c r="J839" s="2" t="str">
        <x:v>agents</x:v>
      </x:c>
      <x:c r="K839" s="2" t="str">
        <x:v>Emman</x:v>
      </x:c>
      <x:c r="L839" s="28" t="str"/>
      <x:c r="M839" s="20"/>
      <x:c r="N839" s="21"/>
      <x:c r="O839" s="26" t="str">
        <x:v>Scout, Writer, Inbox, Phone Assist, LinkedIn Assist, Follow-up, Scoreboard and Client Reporter; acceptance evidence required.</x:v>
      </x:c>
      <x:c r="P839" s="26" t="str">
        <x:v>PDF §7</x:v>
      </x:c>
      <x:c r="Q839" s="2" t="n">
        <x:f>IF(ISNUMBER(H839),1,0)</x:f>
        <x:v>0</x:v>
      </x:c>
    </x:row>
    <x:row r="840" ht="46" customHeight="1">
      <x:c r="A840" s="17" t="n">
        <x:v>46366</x:v>
      </x:c>
      <x:c r="B840" s="2" t="str">
        <x:v>Qualified inquiries</x:v>
      </x:c>
      <x:c r="C840" s="2" t="n">
        <x:v>37</x:v>
      </x:c>
      <x:c r="D840" s="2" t="str">
        <x:v>Cumulative total</x:v>
      </x:c>
      <x:c r="E840" s="20"/>
      <x:c r="F840" s="20"/>
      <x:c r="G840" s="20"/>
      <x:c r="H840" s="2" t="str">
        <x:f>IF(D840="Rate",IF(COUNT(F840:G840)&lt;2,"",IF(G840=0,"n.a.",F840/G840)),IF(COUNT(E840)=0,"",E840))</x:f>
      </x:c>
      <x:c r="I840" s="2" t="str">
        <x:f>IF(AND(ISNUMBER(H840),ISNUMBER(C840)),H840-C840,"")</x:f>
      </x:c>
      <x:c r="J840" s="2" t="str">
        <x:v>inquiries</x:v>
      </x:c>
      <x:c r="K840" s="2" t="str">
        <x:v>Nova</x:v>
      </x:c>
      <x:c r="L840" s="28" t="str"/>
      <x:c r="M840" s="20"/>
      <x:c r="N840" s="21"/>
      <x:c r="O840" s="26" t="str">
        <x:v>Unique ICP-matched practices that express relevant interest, need or timing; Nova records practice type, decision-maker access, case volume, service need and readiness within 30–60 days. Raw records, opens and connection accepts do not qualify.</x:v>
      </x:c>
      <x:c r="P840" s="26" t="str">
        <x:v>Original proposal pages 2 and 4 define qualification; 40 by Dec 16 and intermediate pace are newly proposed recovery targets.</x:v>
      </x:c>
      <x:c r="Q840" s="2" t="n">
        <x:f>IF(ISNUMBER(H840),1,0)</x:f>
        <x:v>0</x:v>
      </x:c>
    </x:row>
    <x:row r="841" ht="46" customHeight="1">
      <x:c r="A841" s="17" t="n">
        <x:v>46366</x:v>
      </x:c>
      <x:c r="B841" s="2" t="str">
        <x:v>Qualified conversations booked</x:v>
      </x:c>
      <x:c r="C841" s="2" t="n">
        <x:v>18</x:v>
      </x:c>
      <x:c r="D841" s="2" t="str">
        <x:v>Cumulative total</x:v>
      </x:c>
      <x:c r="E841" s="20"/>
      <x:c r="F841" s="20"/>
      <x:c r="G841" s="20"/>
      <x:c r="H841" s="2" t="str">
        <x:f>IF(D841="Rate",IF(COUNT(F841:G841)&lt;2,"",IF(G841=0,"n.a.",F841/G841)),IF(COUNT(E841)=0,"",E841))</x:f>
      </x:c>
      <x:c r="I841" s="2" t="str">
        <x:f>IF(AND(ISNUMBER(H841),ISNUMBER(C841)),H841-C841,"")</x:f>
      </x:c>
      <x:c r="J841" s="2" t="str">
        <x:v>bookings</x:v>
      </x:c>
      <x:c r="K841" s="2" t="str">
        <x:v>Nova</x:v>
      </x:c>
      <x:c r="L841" s="28" t="str"/>
      <x:c r="M841" s="20"/>
      <x:c r="N841" s="21"/>
      <x:c r="O841" s="26" t="str">
        <x:v>Unique qualified calls/visits booked with Nic; rebooking same opportunity is not a new booking.</x:v>
      </x:c>
      <x:c r="P841" s="26" t="str">
        <x:v>PDF §10; final deadline advanced to user Dec 16</x:v>
      </x:c>
      <x:c r="Q841" s="2" t="n">
        <x:f>IF(ISNUMBER(H841),1,0)</x:f>
        <x:v>0</x:v>
      </x:c>
    </x:row>
    <x:row r="842" ht="46" customHeight="1">
      <x:c r="A842" s="17" t="n">
        <x:v>46366</x:v>
      </x:c>
      <x:c r="B842" s="2" t="str">
        <x:v>Qualified conversations held</x:v>
      </x:c>
      <x:c r="C842" s="2" t="n">
        <x:v>14</x:v>
      </x:c>
      <x:c r="D842" s="2" t="str">
        <x:v>Cumulative total</x:v>
      </x:c>
      <x:c r="E842" s="20"/>
      <x:c r="F842" s="20"/>
      <x:c r="G842" s="20"/>
      <x:c r="H842" s="2" t="str">
        <x:f>IF(D842="Rate",IF(COUNT(F842:G842)&lt;2,"",IF(G842=0,"n.a.",F842/G842)),IF(COUNT(E842)=0,"",E842))</x:f>
      </x:c>
      <x:c r="I842" s="2" t="str">
        <x:f>IF(AND(ISNUMBER(H842),ISNUMBER(C842)),H842-C842,"")</x:f>
      </x:c>
      <x:c r="J842" s="2" t="str">
        <x:v>held</x:v>
      </x:c>
      <x:c r="K842" s="2" t="str">
        <x:v>Nova</x:v>
      </x:c>
      <x:c r="L842" s="28" t="str"/>
      <x:c r="M842" s="20"/>
      <x:c r="N842" s="21"/>
      <x:c r="O842" s="26" t="str">
        <x:v>Completed qualified calls/visits; 6 and 15 are integer planning proxies for 70% of 8 and 75% of 20.</x:v>
      </x:c>
      <x:c r="P842" s="26" t="str">
        <x:v>Derived from source held-rate targets</x:v>
      </x:c>
      <x:c r="Q842" s="2" t="n">
        <x:f>IF(ISNUMBER(H842),1,0)</x:f>
        <x:v>0</x:v>
      </x:c>
    </x:row>
    <x:row r="843" ht="46" customHeight="1">
      <x:c r="A843" s="17" t="n">
        <x:v>46366</x:v>
      </x:c>
      <x:c r="B843" s="2" t="str">
        <x:v>Trial cases received by DSI</x:v>
      </x:c>
      <x:c r="C843" s="2" t="n">
        <x:v>5</x:v>
      </x:c>
      <x:c r="D843" s="2" t="str">
        <x:v>Cumulative total</x:v>
      </x:c>
      <x:c r="E843" s="20"/>
      <x:c r="F843" s="20"/>
      <x:c r="G843" s="20"/>
      <x:c r="H843" s="2" t="str">
        <x:f>IF(D843="Rate",IF(COUNT(F843:G843)&lt;2,"",IF(G843=0,"n.a.",F843/G843)),IF(COUNT(E843)=0,"",E843))</x:f>
      </x:c>
      <x:c r="I843" s="2" t="str">
        <x:f>IF(AND(ISNUMBER(H843),ISNUMBER(C843)),H843-C843,"")</x:f>
      </x:c>
      <x:c r="J843" s="2" t="str">
        <x:v>trials</x:v>
      </x:c>
      <x:c r="K843" s="2" t="str">
        <x:v>Maseeha</x:v>
      </x:c>
      <x:c r="L843" s="28" t="str"/>
      <x:c r="M843" s="20"/>
      <x:c r="N843" s="21"/>
      <x:c r="O843" s="26" t="str">
        <x:v>Practice’s first trial case received by DSI, not merely promised or shipped; subject to Maseeha capacity.</x:v>
      </x:c>
      <x:c r="P843" s="26" t="str">
        <x:v>PDF §10; final deadline advanced to user Dec 16</x:v>
      </x:c>
      <x:c r="Q843" s="2" t="n">
        <x:f>IF(ISNUMBER(H843),1,0)</x:f>
        <x:v>0</x:v>
      </x:c>
    </x:row>
    <x:row r="844" ht="46" customHeight="1">
      <x:c r="A844" s="17" t="n">
        <x:v>46366</x:v>
      </x:c>
      <x:c r="B844" s="2" t="str">
        <x:v>Recurring accounts signed</x:v>
      </x:c>
      <x:c r="C844" s="2"/>
      <x:c r="D844" s="2" t="str">
        <x:v>Cumulative total</x:v>
      </x:c>
      <x:c r="E844" s="20"/>
      <x:c r="F844" s="20"/>
      <x:c r="G844" s="20"/>
      <x:c r="H844" s="2" t="str">
        <x:f>IF(D844="Rate",IF(COUNT(F844:G844)&lt;2,"",IF(G844=0,"n.a.",F844/G844)),IF(COUNT(E844)=0,"",E844))</x:f>
      </x:c>
      <x:c r="I844" s="2" t="str">
        <x:f>IF(AND(ISNUMBER(H844),ISNUMBER(C844)),H844-C844,"")</x:f>
      </x:c>
      <x:c r="J844" s="2" t="str">
        <x:v>accounts</x:v>
      </x:c>
      <x:c r="K844" s="2" t="str">
        <x:v>Nic</x:v>
      </x:c>
      <x:c r="L844" s="28" t="str"/>
      <x:c r="M844" s="20"/>
      <x:c r="N844" s="21"/>
      <x:c r="O844" s="26" t="str">
        <x:v>Plan signed following Day-30 review; only mature trial cohorts eligible. 1–3 is a conditional range.</x:v>
      </x:c>
      <x:c r="P844" s="26" t="str">
        <x:v>PDF §10</x:v>
      </x:c>
      <x:c r="Q844" s="2" t="n">
        <x:f>IF(ISNUMBER(H844),1,0)</x:f>
        <x:v>0</x:v>
      </x:c>
    </x:row>
    <x:row r="845" ht="46" customHeight="1">
      <x:c r="A845" s="17" t="n">
        <x:v>46366</x:v>
      </x:c>
      <x:c r="B845" s="2" t="str">
        <x:v>Referral-sourced bookings</x:v>
      </x:c>
      <x:c r="C845" s="2" t="n">
        <x:v>7</x:v>
      </x:c>
      <x:c r="D845" s="2" t="str">
        <x:v>Cumulative total</x:v>
      </x:c>
      <x:c r="E845" s="20"/>
      <x:c r="F845" s="20"/>
      <x:c r="G845" s="20"/>
      <x:c r="H845" s="2" t="str">
        <x:f>IF(D845="Rate",IF(COUNT(F845:G845)&lt;2,"",IF(G845=0,"n.a.",F845/G845)),IF(COUNT(E845)=0,"",E845))</x:f>
      </x:c>
      <x:c r="I845" s="2" t="str">
        <x:f>IF(AND(ISNUMBER(H845),ISNUMBER(C845)),H845-C845,"")</x:f>
      </x:c>
      <x:c r="J845" s="2" t="str">
        <x:v>bookings</x:v>
      </x:c>
      <x:c r="K845" s="2" t="str">
        <x:v>Nova</x:v>
      </x:c>
      <x:c r="L845" s="28" t="str"/>
      <x:c r="M845" s="20"/>
      <x:c r="N845" s="21"/>
      <x:c r="O845" s="26" t="str">
        <x:v>Subset of booked total with primary Source=Referral; never added on top of all-channel bookings.</x:v>
      </x:c>
      <x:c r="P845" s="26" t="str">
        <x:v>PDF §§10, 16</x:v>
      </x:c>
      <x:c r="Q845" s="2" t="n">
        <x:f>IF(ISNUMBER(H845),1,0)</x:f>
        <x:v>0</x:v>
      </x:c>
    </x:row>
    <x:row r="846" ht="46" customHeight="1">
      <x:c r="A846" s="17" t="n">
        <x:v>46366</x:v>
      </x:c>
      <x:c r="B846" s="2" t="str">
        <x:v>LinkedIn DM-sourced bookings</x:v>
      </x:c>
      <x:c r="C846" s="2" t="n">
        <x:v>7</x:v>
      </x:c>
      <x:c r="D846" s="2" t="str">
        <x:v>Cumulative total</x:v>
      </x:c>
      <x:c r="E846" s="20"/>
      <x:c r="F846" s="20"/>
      <x:c r="G846" s="20"/>
      <x:c r="H846" s="2" t="str">
        <x:f>IF(D846="Rate",IF(COUNT(F846:G846)&lt;2,"",IF(G846=0,"n.a.",F846/G846)),IF(COUNT(E846)=0,"",E846))</x:f>
      </x:c>
      <x:c r="I846" s="2" t="str">
        <x:f>IF(AND(ISNUMBER(H846),ISNUMBER(C846)),H846-C846,"")</x:f>
      </x:c>
      <x:c r="J846" s="2" t="str">
        <x:v>bookings</x:v>
      </x:c>
      <x:c r="K846" s="2" t="str">
        <x:v>Dexter</x:v>
      </x:c>
      <x:c r="L846" s="28" t="str"/>
      <x:c r="M846" s="20"/>
      <x:c r="N846" s="21"/>
      <x:c r="O846" s="26" t="str">
        <x:v>Subset of booked total with primary Source=LinkedIn DM; assists tracked separately.</x:v>
      </x:c>
      <x:c r="P846" s="26" t="str">
        <x:v>PDF §§10, 17 a</x:v>
      </x:c>
      <x:c r="Q846" s="2" t="n">
        <x:f>IF(ISNUMBER(H846),1,0)</x:f>
        <x:v>0</x:v>
      </x:c>
    </x:row>
    <x:row r="847" ht="46" customHeight="1">
      <x:c r="A847" s="17" t="n">
        <x:v>46366</x:v>
      </x:c>
      <x:c r="B847" s="2" t="str">
        <x:v>Verified contacts ready</x:v>
      </x:c>
      <x:c r="C847" s="2" t="n">
        <x:v>730</x:v>
      </x:c>
      <x:c r="D847" s="2" t="str">
        <x:v>Cumulative total</x:v>
      </x:c>
      <x:c r="E847" s="20"/>
      <x:c r="F847" s="20"/>
      <x:c r="G847" s="20"/>
      <x:c r="H847" s="2" t="str">
        <x:f>IF(D847="Rate",IF(COUNT(F847:G847)&lt;2,"",IF(G847=0,"n.a.",F847/G847)),IF(COUNT(E847)=0,"",E847))</x:f>
      </x:c>
      <x:c r="I847" s="2" t="str">
        <x:f>IF(AND(ISNUMBER(H847),ISNUMBER(C847)),H847-C847,"")</x:f>
      </x:c>
      <x:c r="J847" s="2" t="str">
        <x:v>contacts</x:v>
      </x:c>
      <x:c r="K847" s="2" t="str">
        <x:v>Joey</x:v>
      </x:c>
      <x:c r="L847" s="28" t="str"/>
      <x:c r="M847" s="20"/>
      <x:c r="N847" s="21"/>
      <x:c r="O847" s="26" t="str">
        <x:v>Unique contacts passing Scout and loaded in CQL; count once per contact.</x:v>
      </x:c>
      <x:c r="P847" s="26" t="str">
        <x:v>PDF §§10, 14; 750 due Dec 12 moved to Fri Dec 11</x:v>
      </x:c>
      <x:c r="Q847" s="2" t="n">
        <x:f>IF(ISNUMBER(H847),1,0)</x:f>
        <x:v>0</x:v>
      </x:c>
    </x:row>
    <x:row r="848" ht="46" customHeight="1">
      <x:c r="A848" s="17" t="n">
        <x:v>46366</x:v>
      </x:c>
      <x:c r="B848" s="2" t="str">
        <x:v>Permission-based referral introductions</x:v>
      </x:c>
      <x:c r="C848" s="2" t="n">
        <x:v>14</x:v>
      </x:c>
      <x:c r="D848" s="2" t="str">
        <x:v>Cumulative total</x:v>
      </x:c>
      <x:c r="E848" s="20"/>
      <x:c r="F848" s="20"/>
      <x:c r="G848" s="20"/>
      <x:c r="H848" s="2" t="str">
        <x:f>IF(D848="Rate",IF(COUNT(F848:G848)&lt;2,"",IF(G848=0,"n.a.",F848/G848)),IF(COUNT(E848)=0,"",E848))</x:f>
      </x:c>
      <x:c r="I848" s="2" t="str">
        <x:f>IF(AND(ISNUMBER(H848),ISNUMBER(C848)),H848-C848,"")</x:f>
      </x:c>
      <x:c r="J848" s="2" t="str">
        <x:v>introductions</x:v>
      </x:c>
      <x:c r="K848" s="2" t="str">
        <x:v>Maseeha</x:v>
      </x:c>
      <x:c r="L848" s="28" t="str"/>
      <x:c r="M848" s="20"/>
      <x:c r="N848" s="21"/>
      <x:c r="O848" s="26" t="str">
        <x:v>Unique introductions with consent and referrer recorded, verified by Maseeha within 2 business days.</x:v>
      </x:c>
      <x:c r="P848" s="26" t="str">
        <x:v>PDF §§10, 16</x:v>
      </x:c>
      <x:c r="Q848" s="2" t="n">
        <x:f>IF(ISNUMBER(H848),1,0)</x:f>
        <x:v>0</x:v>
      </x:c>
    </x:row>
    <x:row r="849" ht="46" customHeight="1">
      <x:c r="A849" s="17" t="n">
        <x:v>46366</x:v>
      </x:c>
      <x:c r="B849" s="2" t="str">
        <x:v>Human reply rate</x:v>
      </x:c>
      <x:c r="C849" s="40" t="n">
        <x:v>0.03</x:v>
      </x:c>
      <x:c r="D849" s="2" t="str">
        <x:v>Rate</x:v>
      </x:c>
      <x:c r="E849" s="20"/>
      <x:c r="F849" s="20"/>
      <x:c r="G849" s="20"/>
      <x:c r="H849" s="40" t="str">
        <x:f>IF(D849="Rate",IF(COUNT(F849:G849)&lt;2,"",IF(G849=0,"n.a.",F849/G849)),IF(COUNT(E849)=0,"",E849))</x:f>
      </x:c>
      <x:c r="I849" s="40" t="str">
        <x:f>IF(AND(ISNUMBER(H849),ISNUMBER(C849)),H849-C849,"")</x:f>
      </x:c>
      <x:c r="J849" s="2" t="str">
        <x:v>%</x:v>
      </x:c>
      <x:c r="K849" s="2" t="str">
        <x:v>Kenneth</x:v>
      </x:c>
      <x:c r="L849" s="28" t="str"/>
      <x:c r="M849" s="20"/>
      <x:c r="N849" s="21"/>
      <x:c r="O849" s="26" t="str">
        <x:v>Unique emailed contacts that give a qualifying human reply / unique contacts emailed in the same send cohort. Exclude OOO, auto-replies, bounces and unsubscribe-only replies. Deduplicate contacts across sequence steps; zero denominator is N/A.</x:v>
      </x:c>
      <x:c r="P849" s="26" t="str">
        <x:v>PDF §10</x:v>
      </x:c>
      <x:c r="Q849" s="2" t="n">
        <x:f>IF(ISNUMBER(H849),1,0)</x:f>
        <x:v>0</x:v>
      </x:c>
    </x:row>
    <x:row r="850" ht="46" customHeight="1">
      <x:c r="A850" s="17" t="n">
        <x:v>46366</x:v>
      </x:c>
      <x:c r="B850" s="2" t="str">
        <x:v>Positive reply rate</x:v>
      </x:c>
      <x:c r="C850" s="40" t="n">
        <x:v>0.015</x:v>
      </x:c>
      <x:c r="D850" s="2" t="str">
        <x:v>Rate</x:v>
      </x:c>
      <x:c r="E850" s="20"/>
      <x:c r="F850" s="20"/>
      <x:c r="G850" s="20"/>
      <x:c r="H850" s="40" t="str">
        <x:f>IF(D850="Rate",IF(COUNT(F850:G850)&lt;2,"",IF(G850=0,"n.a.",F850/G850)),IF(COUNT(E850)=0,"",E850))</x:f>
      </x:c>
      <x:c r="I850" s="40" t="str">
        <x:f>IF(AND(ISNUMBER(H850),ISNUMBER(C850)),H850-C850,"")</x:f>
      </x:c>
      <x:c r="J850" s="2" t="str">
        <x:v>%</x:v>
      </x:c>
      <x:c r="K850" s="2" t="str">
        <x:v>Kenneth</x:v>
      </x:c>
      <x:c r="L850" s="28" t="str"/>
      <x:c r="M850" s="20"/>
      <x:c r="N850" s="21"/>
      <x:c r="O850" s="26" t="str">
        <x:v>Unique emailed contacts classified interested or relevant question / unique contacts emailed in the same send cohort. Deduplicate across sequence steps; zero denominator is N/A. Keep this email rate separate from all-channel qualified inquiries.</x:v>
      </x:c>
      <x:c r="P850" s="26" t="str">
        <x:v>PDF §10</x:v>
      </x:c>
      <x:c r="Q850" s="2" t="n">
        <x:f>IF(ISNUMBER(H850),1,0)</x:f>
        <x:v>0</x:v>
      </x:c>
    </x:row>
    <x:row r="851" ht="46" customHeight="1">
      <x:c r="A851" s="17" t="n">
        <x:v>46366</x:v>
      </x:c>
      <x:c r="B851" s="2" t="str">
        <x:v>Replies answered within 15 minutes</x:v>
      </x:c>
      <x:c r="C851" s="40" t="n">
        <x:v>1</x:v>
      </x:c>
      <x:c r="D851" s="2" t="str">
        <x:v>Rate</x:v>
      </x:c>
      <x:c r="E851" s="20"/>
      <x:c r="F851" s="20"/>
      <x:c r="G851" s="20"/>
      <x:c r="H851" s="40" t="str">
        <x:f>IF(D851="Rate",IF(COUNT(F851:G851)&lt;2,"",IF(G851=0,"n.a.",F851/G851)),IF(COUNT(E851)=0,"",E851))</x:f>
      </x:c>
      <x:c r="I851" s="40" t="str">
        <x:f>IF(AND(ISNUMBER(H851),ISNUMBER(C851)),H851-C851,"")</x:f>
      </x:c>
      <x:c r="J851" s="2" t="str">
        <x:v>%</x:v>
      </x:c>
      <x:c r="K851" s="2" t="str">
        <x:v>Nova</x:v>
      </x:c>
      <x:c r="L851" s="28" t="str"/>
      <x:c r="M851" s="20"/>
      <x:c r="N851" s="21"/>
      <x:c r="O851"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51" s="26" t="str">
        <x:v>PDF §9; clock convention clarified for tracker</x:v>
      </x:c>
      <x:c r="Q851" s="2" t="n">
        <x:f>IF(ISNUMBER(H851),1,0)</x:f>
        <x:v>0</x:v>
      </x:c>
    </x:row>
    <x:row r="852" ht="46" customHeight="1">
      <x:c r="A852" s="17" t="n">
        <x:v>46366</x:v>
      </x:c>
      <x:c r="B852" s="2" t="str">
        <x:v>Held rate</x:v>
      </x:c>
      <x:c r="C852" s="40" t="n">
        <x:v>0.75</x:v>
      </x:c>
      <x:c r="D852" s="2" t="str">
        <x:v>Rate</x:v>
      </x:c>
      <x:c r="E852" s="20"/>
      <x:c r="F852" s="20"/>
      <x:c r="G852" s="20"/>
      <x:c r="H852" s="40" t="str">
        <x:f>IF(D852="Rate",IF(COUNT(F852:G852)&lt;2,"",IF(G852=0,"n.a.",F852/G852)),IF(COUNT(E852)=0,"",E852))</x:f>
      </x:c>
      <x:c r="I852" s="40" t="str">
        <x:f>IF(AND(ISNUMBER(H852),ISNUMBER(C852)),H852-C852,"")</x:f>
      </x:c>
      <x:c r="J852" s="2" t="str">
        <x:v>%</x:v>
      </x:c>
      <x:c r="K852" s="2" t="str">
        <x:v>Nova</x:v>
      </x:c>
      <x:c r="L852" s="28" t="str"/>
      <x:c r="M852" s="20"/>
      <x:c r="N852" s="21"/>
      <x:c r="O852" s="26" t="str">
        <x:v>Qualified conversations actually held / unique booked conversations whose scheduled time has passed. Exclude upcoming appointments. Rebooking the same opportunity is not a second booking. A zero denominator is N/A.</x:v>
      </x:c>
      <x:c r="P852" s="26" t="str">
        <x:v>PDF §10; due-cohort denominator clarified</x:v>
      </x:c>
      <x:c r="Q852" s="2" t="n">
        <x:f>IF(ISNUMBER(H852),1,0)</x:f>
        <x:v>0</x:v>
      </x:c>
    </x:row>
    <x:row r="853" ht="46" customHeight="1">
      <x:c r="A853" s="17" t="n">
        <x:v>46366</x:v>
      </x:c>
      <x:c r="B853" s="2" t="str">
        <x:v>Positive-to-booked conversion</x:v>
      </x:c>
      <x:c r="C853" s="40" t="n">
        <x:v>0.5</x:v>
      </x:c>
      <x:c r="D853" s="2" t="str">
        <x:v>Rate</x:v>
      </x:c>
      <x:c r="E853" s="20"/>
      <x:c r="F853" s="20"/>
      <x:c r="G853" s="20"/>
      <x:c r="H853" s="40" t="str">
        <x:f>IF(D853="Rate",IF(COUNT(F853:G853)&lt;2,"",IF(G853=0,"n.a.",F853/G853)),IF(COUNT(E853)=0,"",E853))</x:f>
      </x:c>
      <x:c r="I853" s="40" t="str">
        <x:f>IF(AND(ISNUMBER(H853),ISNUMBER(C853)),H853-C853,"")</x:f>
      </x:c>
      <x:c r="J853" s="2" t="str">
        <x:v>%</x:v>
      </x:c>
      <x:c r="K853" s="2" t="str">
        <x:v>Nova</x:v>
      </x:c>
      <x:c r="L853" s="28" t="str"/>
      <x:c r="M853" s="20"/>
      <x:c r="N853" s="21"/>
      <x:c r="O853" s="26" t="str">
        <x:v>Unique email-positive opportunities booked / unique email-positive opportunities in the same reviewed cohort. Use a documented follow-up window. This differs from the all-channel 40-inquiry/20-booking planning assumption. A zero denominator is N/A.</x:v>
      </x:c>
      <x:c r="P853" s="26" t="str">
        <x:v>PDF §9</x:v>
      </x:c>
      <x:c r="Q853" s="2" t="n">
        <x:f>IF(ISNUMBER(H853),1,0)</x:f>
        <x:v>0</x:v>
      </x:c>
    </x:row>
    <x:row r="854" ht="46" customHeight="1">
      <x:c r="A854" s="17" t="n">
        <x:v>46366</x:v>
      </x:c>
      <x:c r="B854" s="2" t="str">
        <x:v>Existing-account referral asks</x:v>
      </x:c>
      <x:c r="C854" s="2" t="n">
        <x:v>41</x:v>
      </x:c>
      <x:c r="D854" s="2" t="str">
        <x:v>Cumulative total</x:v>
      </x:c>
      <x:c r="E854" s="20"/>
      <x:c r="F854" s="20"/>
      <x:c r="G854" s="20"/>
      <x:c r="H854" s="2" t="str">
        <x:f>IF(D854="Rate",IF(COUNT(F854:G854)&lt;2,"",IF(G854=0,"n.a.",F854/G854)),IF(COUNT(E854)=0,"",E854))</x:f>
      </x:c>
      <x:c r="I854" s="2" t="str">
        <x:f>IF(AND(ISNUMBER(H854),ISNUMBER(C854)),H854-C854,"")</x:f>
      </x:c>
      <x:c r="J854" s="2" t="str">
        <x:v>accounts asked</x:v>
      </x:c>
      <x:c r="K854" s="2" t="str">
        <x:v>Maseeha</x:v>
      </x:c>
      <x:c r="L854" s="28" t="str"/>
      <x:c r="M854" s="20"/>
      <x:c r="N854" s="21"/>
      <x:c r="O854" s="26" t="str">
        <x:v>Ask 25 unique A/B accounts (5 A and 20 B) by November 13; proposed pace 35 total by November 20; complete the remaining C accounts to reach 41 total by November 25. One introduction is the ask; asks and received intros are separate counts.</x:v>
      </x:c>
      <x:c r="P854" s="26" t="str">
        <x:v>PDF §16 supplies 25 A/B byNov 14 and 16 C byNov 25; Friday deadline and 35-byNov 20 pace are proposed scheduling allocations.</x:v>
      </x:c>
      <x:c r="Q854" s="2" t="n">
        <x:f>IF(ISNUMBER(H854),1,0)</x:f>
        <x:v>0</x:v>
      </x:c>
    </x:row>
    <x:row r="855" ht="46" customHeight="1">
      <x:c r="A855" s="17" t="n">
        <x:v>46366</x:v>
      </x:c>
      <x:c r="B855" s="2" t="str">
        <x:v>Approved SOPs</x:v>
      </x:c>
      <x:c r="C855" s="2"/>
      <x:c r="D855" s="2" t="str">
        <x:v>Cumulative total</x:v>
      </x:c>
      <x:c r="E855" s="20"/>
      <x:c r="F855" s="20"/>
      <x:c r="G855" s="20"/>
      <x:c r="H855" s="2" t="str">
        <x:f>IF(D855="Rate",IF(COUNT(F855:G855)&lt;2,"",IF(G855=0,"n.a.",F855/G855)),IF(COUNT(E855)=0,"",E855))</x:f>
      </x:c>
      <x:c r="I855" s="2" t="str">
        <x:f>IF(AND(ISNUMBER(H855),ISNUMBER(C855)),H855-C855,"")</x:f>
      </x:c>
      <x:c r="J855" s="2" t="str">
        <x:v>SOPs</x:v>
      </x:c>
      <x:c r="K855" s="2" t="str">
        <x:v>Wyline</x:v>
      </x:c>
      <x:c r="L855" s="28" t="str"/>
      <x:c r="M855" s="20"/>
      <x:c r="N855" s="21"/>
      <x:c r="O855" s="26" t="str">
        <x:v>10 core SOPs plus ADS-01 and SOC-01 additions; approved version and independent-run evidence required.</x:v>
      </x:c>
      <x:c r="P855" s="26" t="str">
        <x:v>PDF §8 with §§17 b–d additions</x:v>
      </x:c>
      <x:c r="Q855" s="2" t="n">
        <x:f>IF(ISNUMBER(H855),1,0)</x:f>
        <x:v>0</x:v>
      </x:c>
    </x:row>
    <x:row r="856" ht="46" customHeight="1">
      <x:c r="A856" s="17" t="n">
        <x:v>46366</x:v>
      </x:c>
      <x:c r="B856" s="2" t="str">
        <x:v>Accepted AI agents</x:v>
      </x:c>
      <x:c r="C856" s="2"/>
      <x:c r="D856" s="2" t="str">
        <x:v>Cumulative total</x:v>
      </x:c>
      <x:c r="E856" s="20"/>
      <x:c r="F856" s="20"/>
      <x:c r="G856" s="20"/>
      <x:c r="H856" s="2" t="str">
        <x:f>IF(D856="Rate",IF(COUNT(F856:G856)&lt;2,"",IF(G856=0,"n.a.",F856/G856)),IF(COUNT(E856)=0,"",E856))</x:f>
      </x:c>
      <x:c r="I856" s="2" t="str">
        <x:f>IF(AND(ISNUMBER(H856),ISNUMBER(C856)),H856-C856,"")</x:f>
      </x:c>
      <x:c r="J856" s="2" t="str">
        <x:v>agents</x:v>
      </x:c>
      <x:c r="K856" s="2" t="str">
        <x:v>Emman</x:v>
      </x:c>
      <x:c r="L856" s="28" t="str"/>
      <x:c r="M856" s="20"/>
      <x:c r="N856" s="21"/>
      <x:c r="O856" s="26" t="str">
        <x:v>Scout, Writer, Inbox, Phone Assist, LinkedIn Assist, Follow-up, Scoreboard and Client Reporter; acceptance evidence required.</x:v>
      </x:c>
      <x:c r="P856" s="26" t="str">
        <x:v>PDF §7</x:v>
      </x:c>
      <x:c r="Q856" s="2" t="n">
        <x:f>IF(ISNUMBER(H856),1,0)</x:f>
        <x:v>0</x:v>
      </x:c>
    </x:row>
    <x:row r="857" ht="46" customHeight="1">
      <x:c r="A857" s="17" t="n">
        <x:v>46367</x:v>
      </x:c>
      <x:c r="B857" s="2" t="str">
        <x:v>Qualified inquiries</x:v>
      </x:c>
      <x:c r="C857" s="2" t="n">
        <x:v>40</x:v>
      </x:c>
      <x:c r="D857" s="2" t="str">
        <x:v>Cumulative total</x:v>
      </x:c>
      <x:c r="E857" s="20"/>
      <x:c r="F857" s="20"/>
      <x:c r="G857" s="20"/>
      <x:c r="H857" s="2" t="str">
        <x:f>IF(D857="Rate",IF(COUNT(F857:G857)&lt;2,"",IF(G857=0,"n.a.",F857/G857)),IF(COUNT(E857)=0,"",E857))</x:f>
      </x:c>
      <x:c r="I857" s="2" t="str">
        <x:f>IF(AND(ISNUMBER(H857),ISNUMBER(C857)),H857-C857,"")</x:f>
      </x:c>
      <x:c r="J857" s="2" t="str">
        <x:v>inquiries</x:v>
      </x:c>
      <x:c r="K857" s="2" t="str">
        <x:v>Nova</x:v>
      </x:c>
      <x:c r="L857" s="28" t="str"/>
      <x:c r="M857" s="20"/>
      <x:c r="N857" s="21"/>
      <x:c r="O857" s="26" t="str">
        <x:v>Unique ICP-matched practices that express relevant interest, need or timing; Nova records practice type, decision-maker access, case volume, service need and readiness within 30–60 days. Raw records, opens and connection accepts do not qualify.</x:v>
      </x:c>
      <x:c r="P857" s="26" t="str">
        <x:v>Original proposal pages 2 and 4 define qualification; 40 by Dec 16 and intermediate pace are newly proposed recovery targets.</x:v>
      </x:c>
      <x:c r="Q857" s="2" t="n">
        <x:f>IF(ISNUMBER(H857),1,0)</x:f>
        <x:v>0</x:v>
      </x:c>
    </x:row>
    <x:row r="858" ht="46" customHeight="1">
      <x:c r="A858" s="17" t="n">
        <x:v>46367</x:v>
      </x:c>
      <x:c r="B858" s="2" t="str">
        <x:v>Qualified conversations booked</x:v>
      </x:c>
      <x:c r="C858" s="2" t="n">
        <x:v>20</x:v>
      </x:c>
      <x:c r="D858" s="2" t="str">
        <x:v>Cumulative total</x:v>
      </x:c>
      <x:c r="E858" s="20"/>
      <x:c r="F858" s="20"/>
      <x:c r="G858" s="20"/>
      <x:c r="H858" s="2" t="str">
        <x:f>IF(D858="Rate",IF(COUNT(F858:G858)&lt;2,"",IF(G858=0,"n.a.",F858/G858)),IF(COUNT(E858)=0,"",E858))</x:f>
      </x:c>
      <x:c r="I858" s="2" t="str">
        <x:f>IF(AND(ISNUMBER(H858),ISNUMBER(C858)),H858-C858,"")</x:f>
      </x:c>
      <x:c r="J858" s="2" t="str">
        <x:v>bookings</x:v>
      </x:c>
      <x:c r="K858" s="2" t="str">
        <x:v>Nova</x:v>
      </x:c>
      <x:c r="L858" s="28" t="str"/>
      <x:c r="M858" s="20"/>
      <x:c r="N858" s="21"/>
      <x:c r="O858" s="26" t="str">
        <x:v>Unique qualified calls/visits booked with Nic; rebooking same opportunity is not a new booking.</x:v>
      </x:c>
      <x:c r="P858" s="26" t="str">
        <x:v>PDF §10; final deadline advanced to user Dec 16</x:v>
      </x:c>
      <x:c r="Q858" s="2" t="n">
        <x:f>IF(ISNUMBER(H858),1,0)</x:f>
        <x:v>0</x:v>
      </x:c>
    </x:row>
    <x:row r="859" ht="46" customHeight="1">
      <x:c r="A859" s="17" t="n">
        <x:v>46367</x:v>
      </x:c>
      <x:c r="B859" s="2" t="str">
        <x:v>Qualified conversations held</x:v>
      </x:c>
      <x:c r="C859" s="2" t="n">
        <x:v>15</x:v>
      </x:c>
      <x:c r="D859" s="2" t="str">
        <x:v>Cumulative total</x:v>
      </x:c>
      <x:c r="E859" s="20"/>
      <x:c r="F859" s="20"/>
      <x:c r="G859" s="20"/>
      <x:c r="H859" s="2" t="str">
        <x:f>IF(D859="Rate",IF(COUNT(F859:G859)&lt;2,"",IF(G859=0,"n.a.",F859/G859)),IF(COUNT(E859)=0,"",E859))</x:f>
      </x:c>
      <x:c r="I859" s="2" t="str">
        <x:f>IF(AND(ISNUMBER(H859),ISNUMBER(C859)),H859-C859,"")</x:f>
      </x:c>
      <x:c r="J859" s="2" t="str">
        <x:v>held</x:v>
      </x:c>
      <x:c r="K859" s="2" t="str">
        <x:v>Nova</x:v>
      </x:c>
      <x:c r="L859" s="28" t="str"/>
      <x:c r="M859" s="20"/>
      <x:c r="N859" s="21"/>
      <x:c r="O859" s="26" t="str">
        <x:v>Completed qualified calls/visits; 6 and 15 are integer planning proxies for 70% of 8 and 75% of 20.</x:v>
      </x:c>
      <x:c r="P859" s="26" t="str">
        <x:v>Derived from source held-rate targets</x:v>
      </x:c>
      <x:c r="Q859" s="2" t="n">
        <x:f>IF(ISNUMBER(H859),1,0)</x:f>
        <x:v>0</x:v>
      </x:c>
    </x:row>
    <x:row r="860" ht="46" customHeight="1">
      <x:c r="A860" s="17" t="n">
        <x:v>46367</x:v>
      </x:c>
      <x:c r="B860" s="2" t="str">
        <x:v>Trial cases received by DSI</x:v>
      </x:c>
      <x:c r="C860" s="2" t="n">
        <x:v>6</x:v>
      </x:c>
      <x:c r="D860" s="2" t="str">
        <x:v>Cumulative total</x:v>
      </x:c>
      <x:c r="E860" s="20"/>
      <x:c r="F860" s="20"/>
      <x:c r="G860" s="20"/>
      <x:c r="H860" s="2" t="str">
        <x:f>IF(D860="Rate",IF(COUNT(F860:G860)&lt;2,"",IF(G860=0,"n.a.",F860/G860)),IF(COUNT(E860)=0,"",E860))</x:f>
      </x:c>
      <x:c r="I860" s="2" t="str">
        <x:f>IF(AND(ISNUMBER(H860),ISNUMBER(C860)),H860-C860,"")</x:f>
      </x:c>
      <x:c r="J860" s="2" t="str">
        <x:v>trials</x:v>
      </x:c>
      <x:c r="K860" s="2" t="str">
        <x:v>Maseeha</x:v>
      </x:c>
      <x:c r="L860" s="28" t="str"/>
      <x:c r="M860" s="20"/>
      <x:c r="N860" s="21"/>
      <x:c r="O860" s="26" t="str">
        <x:v>Practice’s first trial case received by DSI, not merely promised or shipped; subject to Maseeha capacity.</x:v>
      </x:c>
      <x:c r="P860" s="26" t="str">
        <x:v>PDF §10; final deadline advanced to user Dec 16</x:v>
      </x:c>
      <x:c r="Q860" s="2" t="n">
        <x:f>IF(ISNUMBER(H860),1,0)</x:f>
        <x:v>0</x:v>
      </x:c>
    </x:row>
    <x:row r="861" ht="46" customHeight="1">
      <x:c r="A861" s="17" t="n">
        <x:v>46367</x:v>
      </x:c>
      <x:c r="B861" s="2" t="str">
        <x:v>Recurring accounts signed</x:v>
      </x:c>
      <x:c r="C861" s="2"/>
      <x:c r="D861" s="2" t="str">
        <x:v>Cumulative total</x:v>
      </x:c>
      <x:c r="E861" s="20"/>
      <x:c r="F861" s="20"/>
      <x:c r="G861" s="20"/>
      <x:c r="H861" s="2" t="str">
        <x:f>IF(D861="Rate",IF(COUNT(F861:G861)&lt;2,"",IF(G861=0,"n.a.",F861/G861)),IF(COUNT(E861)=0,"",E861))</x:f>
      </x:c>
      <x:c r="I861" s="2" t="str">
        <x:f>IF(AND(ISNUMBER(H861),ISNUMBER(C861)),H861-C861,"")</x:f>
      </x:c>
      <x:c r="J861" s="2" t="str">
        <x:v>accounts</x:v>
      </x:c>
      <x:c r="K861" s="2" t="str">
        <x:v>Nic</x:v>
      </x:c>
      <x:c r="L861" s="28" t="str"/>
      <x:c r="M861" s="20"/>
      <x:c r="N861" s="21"/>
      <x:c r="O861" s="26" t="str">
        <x:v>Plan signed following Day-30 review; only mature trial cohorts eligible. 1–3 is a conditional range.</x:v>
      </x:c>
      <x:c r="P861" s="26" t="str">
        <x:v>PDF §10</x:v>
      </x:c>
      <x:c r="Q861" s="2" t="n">
        <x:f>IF(ISNUMBER(H861),1,0)</x:f>
        <x:v>0</x:v>
      </x:c>
    </x:row>
    <x:row r="862" ht="46" customHeight="1">
      <x:c r="A862" s="17" t="n">
        <x:v>46367</x:v>
      </x:c>
      <x:c r="B862" s="2" t="str">
        <x:v>Referral-sourced bookings</x:v>
      </x:c>
      <x:c r="C862" s="2" t="n">
        <x:v>8</x:v>
      </x:c>
      <x:c r="D862" s="2" t="str">
        <x:v>Cumulative total</x:v>
      </x:c>
      <x:c r="E862" s="20"/>
      <x:c r="F862" s="20"/>
      <x:c r="G862" s="20"/>
      <x:c r="H862" s="2" t="str">
        <x:f>IF(D862="Rate",IF(COUNT(F862:G862)&lt;2,"",IF(G862=0,"n.a.",F862/G862)),IF(COUNT(E862)=0,"",E862))</x:f>
      </x:c>
      <x:c r="I862" s="2" t="str">
        <x:f>IF(AND(ISNUMBER(H862),ISNUMBER(C862)),H862-C862,"")</x:f>
      </x:c>
      <x:c r="J862" s="2" t="str">
        <x:v>bookings</x:v>
      </x:c>
      <x:c r="K862" s="2" t="str">
        <x:v>Nova</x:v>
      </x:c>
      <x:c r="L862" s="28" t="str"/>
      <x:c r="M862" s="20"/>
      <x:c r="N862" s="21"/>
      <x:c r="O862" s="26" t="str">
        <x:v>Subset of booked total with primary Source=Referral; never added on top of all-channel bookings.</x:v>
      </x:c>
      <x:c r="P862" s="26" t="str">
        <x:v>PDF §§10, 16</x:v>
      </x:c>
      <x:c r="Q862" s="2" t="n">
        <x:f>IF(ISNUMBER(H862),1,0)</x:f>
        <x:v>0</x:v>
      </x:c>
    </x:row>
    <x:row r="863" ht="46" customHeight="1">
      <x:c r="A863" s="17" t="n">
        <x:v>46367</x:v>
      </x:c>
      <x:c r="B863" s="2" t="str">
        <x:v>LinkedIn DM-sourced bookings</x:v>
      </x:c>
      <x:c r="C863" s="2" t="n">
        <x:v>8</x:v>
      </x:c>
      <x:c r="D863" s="2" t="str">
        <x:v>Cumulative total</x:v>
      </x:c>
      <x:c r="E863" s="20"/>
      <x:c r="F863" s="20"/>
      <x:c r="G863" s="20"/>
      <x:c r="H863" s="2" t="str">
        <x:f>IF(D863="Rate",IF(COUNT(F863:G863)&lt;2,"",IF(G863=0,"n.a.",F863/G863)),IF(COUNT(E863)=0,"",E863))</x:f>
      </x:c>
      <x:c r="I863" s="2" t="str">
        <x:f>IF(AND(ISNUMBER(H863),ISNUMBER(C863)),H863-C863,"")</x:f>
      </x:c>
      <x:c r="J863" s="2" t="str">
        <x:v>bookings</x:v>
      </x:c>
      <x:c r="K863" s="2" t="str">
        <x:v>Dexter</x:v>
      </x:c>
      <x:c r="L863" s="28" t="str"/>
      <x:c r="M863" s="20"/>
      <x:c r="N863" s="21"/>
      <x:c r="O863" s="26" t="str">
        <x:v>Subset of booked total with primary Source=LinkedIn DM; assists tracked separately.</x:v>
      </x:c>
      <x:c r="P863" s="26" t="str">
        <x:v>PDF §§10, 17 a</x:v>
      </x:c>
      <x:c r="Q863" s="2" t="n">
        <x:f>IF(ISNUMBER(H863),1,0)</x:f>
        <x:v>0</x:v>
      </x:c>
    </x:row>
    <x:row r="864" ht="46" customHeight="1">
      <x:c r="A864" s="17" t="n">
        <x:v>46367</x:v>
      </x:c>
      <x:c r="B864" s="2" t="str">
        <x:v>Verified contacts ready</x:v>
      </x:c>
      <x:c r="C864" s="2" t="n">
        <x:v>750</x:v>
      </x:c>
      <x:c r="D864" s="2" t="str">
        <x:v>Cumulative total</x:v>
      </x:c>
      <x:c r="E864" s="20"/>
      <x:c r="F864" s="20"/>
      <x:c r="G864" s="20"/>
      <x:c r="H864" s="2" t="str">
        <x:f>IF(D864="Rate",IF(COUNT(F864:G864)&lt;2,"",IF(G864=0,"n.a.",F864/G864)),IF(COUNT(E864)=0,"",E864))</x:f>
      </x:c>
      <x:c r="I864" s="2" t="str">
        <x:f>IF(AND(ISNUMBER(H864),ISNUMBER(C864)),H864-C864,"")</x:f>
      </x:c>
      <x:c r="J864" s="2" t="str">
        <x:v>contacts</x:v>
      </x:c>
      <x:c r="K864" s="2" t="str">
        <x:v>Joey</x:v>
      </x:c>
      <x:c r="L864" s="28" t="str"/>
      <x:c r="M864" s="20"/>
      <x:c r="N864" s="21"/>
      <x:c r="O864" s="26" t="str">
        <x:v>Unique contacts passing Scout and loaded in CQL; count once per contact.</x:v>
      </x:c>
      <x:c r="P864" s="26" t="str">
        <x:v>PDF §§10, 14; 750 due Dec 12 moved to Fri Dec 11</x:v>
      </x:c>
      <x:c r="Q864" s="2" t="n">
        <x:f>IF(ISNUMBER(H864),1,0)</x:f>
        <x:v>0</x:v>
      </x:c>
    </x:row>
    <x:row r="865" ht="46" customHeight="1">
      <x:c r="A865" s="17" t="n">
        <x:v>46367</x:v>
      </x:c>
      <x:c r="B865" s="2" t="str">
        <x:v>Permission-based referral introductions</x:v>
      </x:c>
      <x:c r="C865" s="2" t="n">
        <x:v>15</x:v>
      </x:c>
      <x:c r="D865" s="2" t="str">
        <x:v>Cumulative total</x:v>
      </x:c>
      <x:c r="E865" s="20"/>
      <x:c r="F865" s="20"/>
      <x:c r="G865" s="20"/>
      <x:c r="H865" s="2" t="str">
        <x:f>IF(D865="Rate",IF(COUNT(F865:G865)&lt;2,"",IF(G865=0,"n.a.",F865/G865)),IF(COUNT(E865)=0,"",E865))</x:f>
      </x:c>
      <x:c r="I865" s="2" t="str">
        <x:f>IF(AND(ISNUMBER(H865),ISNUMBER(C865)),H865-C865,"")</x:f>
      </x:c>
      <x:c r="J865" s="2" t="str">
        <x:v>introductions</x:v>
      </x:c>
      <x:c r="K865" s="2" t="str">
        <x:v>Maseeha</x:v>
      </x:c>
      <x:c r="L865" s="28" t="str"/>
      <x:c r="M865" s="20"/>
      <x:c r="N865" s="21"/>
      <x:c r="O865" s="26" t="str">
        <x:v>Unique introductions with consent and referrer recorded, verified by Maseeha within 2 business days.</x:v>
      </x:c>
      <x:c r="P865" s="26" t="str">
        <x:v>PDF §§10, 16</x:v>
      </x:c>
      <x:c r="Q865" s="2" t="n">
        <x:f>IF(ISNUMBER(H865),1,0)</x:f>
        <x:v>0</x:v>
      </x:c>
    </x:row>
    <x:row r="866" ht="46" customHeight="1">
      <x:c r="A866" s="17" t="n">
        <x:v>46367</x:v>
      </x:c>
      <x:c r="B866" s="2" t="str">
        <x:v>Human reply rate</x:v>
      </x:c>
      <x:c r="C866" s="40" t="n">
        <x:v>0.03</x:v>
      </x:c>
      <x:c r="D866" s="2" t="str">
        <x:v>Rate</x:v>
      </x:c>
      <x:c r="E866" s="20"/>
      <x:c r="F866" s="20"/>
      <x:c r="G866" s="20"/>
      <x:c r="H866" s="40" t="str">
        <x:f>IF(D866="Rate",IF(COUNT(F866:G866)&lt;2,"",IF(G866=0,"n.a.",F866/G866)),IF(COUNT(E866)=0,"",E866))</x:f>
      </x:c>
      <x:c r="I866" s="40" t="str">
        <x:f>IF(AND(ISNUMBER(H866),ISNUMBER(C866)),H866-C866,"")</x:f>
      </x:c>
      <x:c r="J866" s="2" t="str">
        <x:v>%</x:v>
      </x:c>
      <x:c r="K866" s="2" t="str">
        <x:v>Kenneth</x:v>
      </x:c>
      <x:c r="L866" s="28" t="str"/>
      <x:c r="M866" s="20"/>
      <x:c r="N866" s="21"/>
      <x:c r="O866" s="26" t="str">
        <x:v>Unique emailed contacts that give a qualifying human reply / unique contacts emailed in the same send cohort. Exclude OOO, auto-replies, bounces and unsubscribe-only replies. Deduplicate contacts across sequence steps; zero denominator is N/A.</x:v>
      </x:c>
      <x:c r="P866" s="26" t="str">
        <x:v>PDF §10</x:v>
      </x:c>
      <x:c r="Q866" s="2" t="n">
        <x:f>IF(ISNUMBER(H866),1,0)</x:f>
        <x:v>0</x:v>
      </x:c>
    </x:row>
    <x:row r="867" ht="46" customHeight="1">
      <x:c r="A867" s="17" t="n">
        <x:v>46367</x:v>
      </x:c>
      <x:c r="B867" s="2" t="str">
        <x:v>Positive reply rate</x:v>
      </x:c>
      <x:c r="C867" s="40" t="n">
        <x:v>0.015</x:v>
      </x:c>
      <x:c r="D867" s="2" t="str">
        <x:v>Rate</x:v>
      </x:c>
      <x:c r="E867" s="20"/>
      <x:c r="F867" s="20"/>
      <x:c r="G867" s="20"/>
      <x:c r="H867" s="40" t="str">
        <x:f>IF(D867="Rate",IF(COUNT(F867:G867)&lt;2,"",IF(G867=0,"n.a.",F867/G867)),IF(COUNT(E867)=0,"",E867))</x:f>
      </x:c>
      <x:c r="I867" s="40" t="str">
        <x:f>IF(AND(ISNUMBER(H867),ISNUMBER(C867)),H867-C867,"")</x:f>
      </x:c>
      <x:c r="J867" s="2" t="str">
        <x:v>%</x:v>
      </x:c>
      <x:c r="K867" s="2" t="str">
        <x:v>Kenneth</x:v>
      </x:c>
      <x:c r="L867" s="28" t="str"/>
      <x:c r="M867" s="20"/>
      <x:c r="N867" s="21"/>
      <x:c r="O867" s="26" t="str">
        <x:v>Unique emailed contacts classified interested or relevant question / unique contacts emailed in the same send cohort. Deduplicate across sequence steps; zero denominator is N/A. Keep this email rate separate from all-channel qualified inquiries.</x:v>
      </x:c>
      <x:c r="P867" s="26" t="str">
        <x:v>PDF §10</x:v>
      </x:c>
      <x:c r="Q867" s="2" t="n">
        <x:f>IF(ISNUMBER(H867),1,0)</x:f>
        <x:v>0</x:v>
      </x:c>
    </x:row>
    <x:row r="868" ht="46" customHeight="1">
      <x:c r="A868" s="17" t="n">
        <x:v>46367</x:v>
      </x:c>
      <x:c r="B868" s="2" t="str">
        <x:v>Replies answered within 15 minutes</x:v>
      </x:c>
      <x:c r="C868" s="40" t="n">
        <x:v>1</x:v>
      </x:c>
      <x:c r="D868" s="2" t="str">
        <x:v>Rate</x:v>
      </x:c>
      <x:c r="E868" s="20"/>
      <x:c r="F868" s="20"/>
      <x:c r="G868" s="20"/>
      <x:c r="H868" s="40" t="str">
        <x:f>IF(D868="Rate",IF(COUNT(F868:G868)&lt;2,"",IF(G868=0,"n.a.",F868/G868)),IF(COUNT(E868)=0,"",E868))</x:f>
      </x:c>
      <x:c r="I868" s="40" t="str">
        <x:f>IF(AND(ISNUMBER(H868),ISNUMBER(C868)),H868-C868,"")</x:f>
      </x:c>
      <x:c r="J868" s="2" t="str">
        <x:v>%</x:v>
      </x:c>
      <x:c r="K868" s="2" t="str">
        <x:v>Nova</x:v>
      </x:c>
      <x:c r="L868" s="28" t="str"/>
      <x:c r="M868" s="20"/>
      <x:c r="N868" s="21"/>
      <x:c r="O868"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68" s="26" t="str">
        <x:v>PDF §9; clock convention clarified for tracker</x:v>
      </x:c>
      <x:c r="Q868" s="2" t="n">
        <x:f>IF(ISNUMBER(H868),1,0)</x:f>
        <x:v>0</x:v>
      </x:c>
    </x:row>
    <x:row r="869" ht="46" customHeight="1">
      <x:c r="A869" s="17" t="n">
        <x:v>46367</x:v>
      </x:c>
      <x:c r="B869" s="2" t="str">
        <x:v>Held rate</x:v>
      </x:c>
      <x:c r="C869" s="40" t="n">
        <x:v>0.75</x:v>
      </x:c>
      <x:c r="D869" s="2" t="str">
        <x:v>Rate</x:v>
      </x:c>
      <x:c r="E869" s="20"/>
      <x:c r="F869" s="20"/>
      <x:c r="G869" s="20"/>
      <x:c r="H869" s="40" t="str">
        <x:f>IF(D869="Rate",IF(COUNT(F869:G869)&lt;2,"",IF(G869=0,"n.a.",F869/G869)),IF(COUNT(E869)=0,"",E869))</x:f>
      </x:c>
      <x:c r="I869" s="40" t="str">
        <x:f>IF(AND(ISNUMBER(H869),ISNUMBER(C869)),H869-C869,"")</x:f>
      </x:c>
      <x:c r="J869" s="2" t="str">
        <x:v>%</x:v>
      </x:c>
      <x:c r="K869" s="2" t="str">
        <x:v>Nova</x:v>
      </x:c>
      <x:c r="L869" s="28" t="str"/>
      <x:c r="M869" s="20"/>
      <x:c r="N869" s="21"/>
      <x:c r="O869" s="26" t="str">
        <x:v>Qualified conversations actually held / unique booked conversations whose scheduled time has passed. Exclude upcoming appointments. Rebooking the same opportunity is not a second booking. A zero denominator is N/A.</x:v>
      </x:c>
      <x:c r="P869" s="26" t="str">
        <x:v>PDF §10; due-cohort denominator clarified</x:v>
      </x:c>
      <x:c r="Q869" s="2" t="n">
        <x:f>IF(ISNUMBER(H869),1,0)</x:f>
        <x:v>0</x:v>
      </x:c>
    </x:row>
    <x:row r="870" ht="46" customHeight="1">
      <x:c r="A870" s="17" t="n">
        <x:v>46367</x:v>
      </x:c>
      <x:c r="B870" s="2" t="str">
        <x:v>Positive-to-booked conversion</x:v>
      </x:c>
      <x:c r="C870" s="40" t="n">
        <x:v>0.5</x:v>
      </x:c>
      <x:c r="D870" s="2" t="str">
        <x:v>Rate</x:v>
      </x:c>
      <x:c r="E870" s="20"/>
      <x:c r="F870" s="20"/>
      <x:c r="G870" s="20"/>
      <x:c r="H870" s="40" t="str">
        <x:f>IF(D870="Rate",IF(COUNT(F870:G870)&lt;2,"",IF(G870=0,"n.a.",F870/G870)),IF(COUNT(E870)=0,"",E870))</x:f>
      </x:c>
      <x:c r="I870" s="40" t="str">
        <x:f>IF(AND(ISNUMBER(H870),ISNUMBER(C870)),H870-C870,"")</x:f>
      </x:c>
      <x:c r="J870" s="2" t="str">
        <x:v>%</x:v>
      </x:c>
      <x:c r="K870" s="2" t="str">
        <x:v>Nova</x:v>
      </x:c>
      <x:c r="L870" s="28" t="str"/>
      <x:c r="M870" s="20"/>
      <x:c r="N870" s="21"/>
      <x:c r="O870" s="26" t="str">
        <x:v>Unique email-positive opportunities booked / unique email-positive opportunities in the same reviewed cohort. Use a documented follow-up window. This differs from the all-channel 40-inquiry/20-booking planning assumption. A zero denominator is N/A.</x:v>
      </x:c>
      <x:c r="P870" s="26" t="str">
        <x:v>PDF §9</x:v>
      </x:c>
      <x:c r="Q870" s="2" t="n">
        <x:f>IF(ISNUMBER(H870),1,0)</x:f>
        <x:v>0</x:v>
      </x:c>
    </x:row>
    <x:row r="871" ht="46" customHeight="1">
      <x:c r="A871" s="17" t="n">
        <x:v>46367</x:v>
      </x:c>
      <x:c r="B871" s="2" t="str">
        <x:v>Existing-account referral asks</x:v>
      </x:c>
      <x:c r="C871" s="2" t="n">
        <x:v>41</x:v>
      </x:c>
      <x:c r="D871" s="2" t="str">
        <x:v>Cumulative total</x:v>
      </x:c>
      <x:c r="E871" s="20"/>
      <x:c r="F871" s="20"/>
      <x:c r="G871" s="20"/>
      <x:c r="H871" s="2" t="str">
        <x:f>IF(D871="Rate",IF(COUNT(F871:G871)&lt;2,"",IF(G871=0,"n.a.",F871/G871)),IF(COUNT(E871)=0,"",E871))</x:f>
      </x:c>
      <x:c r="I871" s="2" t="str">
        <x:f>IF(AND(ISNUMBER(H871),ISNUMBER(C871)),H871-C871,"")</x:f>
      </x:c>
      <x:c r="J871" s="2" t="str">
        <x:v>accounts asked</x:v>
      </x:c>
      <x:c r="K871" s="2" t="str">
        <x:v>Maseeha</x:v>
      </x:c>
      <x:c r="L871" s="28" t="str"/>
      <x:c r="M871" s="20"/>
      <x:c r="N871" s="21"/>
      <x:c r="O871" s="26" t="str">
        <x:v>Ask 25 unique A/B accounts (5 A and 20 B) by November 13; proposed pace 35 total by November 20; complete the remaining C accounts to reach 41 total by November 25. One introduction is the ask; asks and received intros are separate counts.</x:v>
      </x:c>
      <x:c r="P871" s="26" t="str">
        <x:v>PDF §16 supplies 25 A/B byNov 14 and 16 C byNov 25; Friday deadline and 35-byNov 20 pace are proposed scheduling allocations.</x:v>
      </x:c>
      <x:c r="Q871" s="2" t="n">
        <x:f>IF(ISNUMBER(H871),1,0)</x:f>
        <x:v>0</x:v>
      </x:c>
    </x:row>
    <x:row r="872" ht="46" customHeight="1">
      <x:c r="A872" s="17" t="n">
        <x:v>46367</x:v>
      </x:c>
      <x:c r="B872" s="2" t="str">
        <x:v>Approved SOPs</x:v>
      </x:c>
      <x:c r="C872" s="2"/>
      <x:c r="D872" s="2" t="str">
        <x:v>Cumulative total</x:v>
      </x:c>
      <x:c r="E872" s="20"/>
      <x:c r="F872" s="20"/>
      <x:c r="G872" s="20"/>
      <x:c r="H872" s="2" t="str">
        <x:f>IF(D872="Rate",IF(COUNT(F872:G872)&lt;2,"",IF(G872=0,"n.a.",F872/G872)),IF(COUNT(E872)=0,"",E872))</x:f>
      </x:c>
      <x:c r="I872" s="2" t="str">
        <x:f>IF(AND(ISNUMBER(H872),ISNUMBER(C872)),H872-C872,"")</x:f>
      </x:c>
      <x:c r="J872" s="2" t="str">
        <x:v>SOPs</x:v>
      </x:c>
      <x:c r="K872" s="2" t="str">
        <x:v>Wyline</x:v>
      </x:c>
      <x:c r="L872" s="28" t="str"/>
      <x:c r="M872" s="20"/>
      <x:c r="N872" s="21"/>
      <x:c r="O872" s="26" t="str">
        <x:v>10 core SOPs plus ADS-01 and SOC-01 additions; approved version and independent-run evidence required.</x:v>
      </x:c>
      <x:c r="P872" s="26" t="str">
        <x:v>PDF §8 with §§17 b–d additions</x:v>
      </x:c>
      <x:c r="Q872" s="2" t="n">
        <x:f>IF(ISNUMBER(H872),1,0)</x:f>
        <x:v>0</x:v>
      </x:c>
    </x:row>
    <x:row r="873" ht="46" customHeight="1">
      <x:c r="A873" s="17" t="n">
        <x:v>46367</x:v>
      </x:c>
      <x:c r="B873" s="2" t="str">
        <x:v>Accepted AI agents</x:v>
      </x:c>
      <x:c r="C873" s="2"/>
      <x:c r="D873" s="2" t="str">
        <x:v>Cumulative total</x:v>
      </x:c>
      <x:c r="E873" s="20"/>
      <x:c r="F873" s="20"/>
      <x:c r="G873" s="20"/>
      <x:c r="H873" s="2" t="str">
        <x:f>IF(D873="Rate",IF(COUNT(F873:G873)&lt;2,"",IF(G873=0,"n.a.",F873/G873)),IF(COUNT(E873)=0,"",E873))</x:f>
      </x:c>
      <x:c r="I873" s="2" t="str">
        <x:f>IF(AND(ISNUMBER(H873),ISNUMBER(C873)),H873-C873,"")</x:f>
      </x:c>
      <x:c r="J873" s="2" t="str">
        <x:v>agents</x:v>
      </x:c>
      <x:c r="K873" s="2" t="str">
        <x:v>Emman</x:v>
      </x:c>
      <x:c r="L873" s="28" t="str"/>
      <x:c r="M873" s="20"/>
      <x:c r="N873" s="21"/>
      <x:c r="O873" s="26" t="str">
        <x:v>Scout, Writer, Inbox, Phone Assist, LinkedIn Assist, Follow-up, Scoreboard and Client Reporter; acceptance evidence required.</x:v>
      </x:c>
      <x:c r="P873" s="26" t="str">
        <x:v>PDF §7</x:v>
      </x:c>
      <x:c r="Q873" s="2" t="n">
        <x:f>IF(ISNUMBER(H873),1,0)</x:f>
        <x:v>0</x:v>
      </x:c>
    </x:row>
    <x:row r="874" ht="46" customHeight="1">
      <x:c r="A874" s="17" t="n">
        <x:v>46368</x:v>
      </x:c>
      <x:c r="B874" s="2" t="str">
        <x:v>Qualified inquiries</x:v>
      </x:c>
      <x:c r="C874" s="2" t="n">
        <x:v>40</x:v>
      </x:c>
      <x:c r="D874" s="2" t="str">
        <x:v>Cumulative total</x:v>
      </x:c>
      <x:c r="E874" s="20"/>
      <x:c r="F874" s="20"/>
      <x:c r="G874" s="20"/>
      <x:c r="H874" s="2" t="str">
        <x:f>IF(D874="Rate",IF(COUNT(F874:G874)&lt;2,"",IF(G874=0,"n.a.",F874/G874)),IF(COUNT(E874)=0,"",E874))</x:f>
      </x:c>
      <x:c r="I874" s="2" t="str">
        <x:f>IF(AND(ISNUMBER(H874),ISNUMBER(C874)),H874-C874,"")</x:f>
      </x:c>
      <x:c r="J874" s="2" t="str">
        <x:v>inquiries</x:v>
      </x:c>
      <x:c r="K874" s="2" t="str">
        <x:v>Nova</x:v>
      </x:c>
      <x:c r="L874" s="28" t="str"/>
      <x:c r="M874" s="20"/>
      <x:c r="N874" s="21"/>
      <x:c r="O874" s="26" t="str">
        <x:v>Unique ICP-matched practices that express relevant interest, need or timing; Nova records practice type, decision-maker access, case volume, service need and readiness within 30–60 days. Raw records, opens and connection accepts do not qualify.</x:v>
      </x:c>
      <x:c r="P874" s="26" t="str">
        <x:v>Original proposal pages 2 and 4 define qualification; 40 by Dec 16 and intermediate pace are newly proposed recovery targets.</x:v>
      </x:c>
      <x:c r="Q874" s="2" t="n">
        <x:f>IF(ISNUMBER(H874),1,0)</x:f>
        <x:v>0</x:v>
      </x:c>
    </x:row>
    <x:row r="875" ht="46" customHeight="1">
      <x:c r="A875" s="17" t="n">
        <x:v>46368</x:v>
      </x:c>
      <x:c r="B875" s="2" t="str">
        <x:v>Qualified conversations booked</x:v>
      </x:c>
      <x:c r="C875" s="2" t="n">
        <x:v>20</x:v>
      </x:c>
      <x:c r="D875" s="2" t="str">
        <x:v>Cumulative total</x:v>
      </x:c>
      <x:c r="E875" s="20"/>
      <x:c r="F875" s="20"/>
      <x:c r="G875" s="20"/>
      <x:c r="H875" s="2" t="str">
        <x:f>IF(D875="Rate",IF(COUNT(F875:G875)&lt;2,"",IF(G875=0,"n.a.",F875/G875)),IF(COUNT(E875)=0,"",E875))</x:f>
      </x:c>
      <x:c r="I875" s="2" t="str">
        <x:f>IF(AND(ISNUMBER(H875),ISNUMBER(C875)),H875-C875,"")</x:f>
      </x:c>
      <x:c r="J875" s="2" t="str">
        <x:v>bookings</x:v>
      </x:c>
      <x:c r="K875" s="2" t="str">
        <x:v>Nova</x:v>
      </x:c>
      <x:c r="L875" s="28" t="str"/>
      <x:c r="M875" s="20"/>
      <x:c r="N875" s="21"/>
      <x:c r="O875" s="26" t="str">
        <x:v>Unique qualified calls/visits booked with Nic; rebooking same opportunity is not a new booking.</x:v>
      </x:c>
      <x:c r="P875" s="26" t="str">
        <x:v>PDF §10; final deadline advanced to user Dec 16</x:v>
      </x:c>
      <x:c r="Q875" s="2" t="n">
        <x:f>IF(ISNUMBER(H875),1,0)</x:f>
        <x:v>0</x:v>
      </x:c>
    </x:row>
    <x:row r="876" ht="46" customHeight="1">
      <x:c r="A876" s="17" t="n">
        <x:v>46368</x:v>
      </x:c>
      <x:c r="B876" s="2" t="str">
        <x:v>Qualified conversations held</x:v>
      </x:c>
      <x:c r="C876" s="2" t="n">
        <x:v>15</x:v>
      </x:c>
      <x:c r="D876" s="2" t="str">
        <x:v>Cumulative total</x:v>
      </x:c>
      <x:c r="E876" s="20"/>
      <x:c r="F876" s="20"/>
      <x:c r="G876" s="20"/>
      <x:c r="H876" s="2" t="str">
        <x:f>IF(D876="Rate",IF(COUNT(F876:G876)&lt;2,"",IF(G876=0,"n.a.",F876/G876)),IF(COUNT(E876)=0,"",E876))</x:f>
      </x:c>
      <x:c r="I876" s="2" t="str">
        <x:f>IF(AND(ISNUMBER(H876),ISNUMBER(C876)),H876-C876,"")</x:f>
      </x:c>
      <x:c r="J876" s="2" t="str">
        <x:v>held</x:v>
      </x:c>
      <x:c r="K876" s="2" t="str">
        <x:v>Nova</x:v>
      </x:c>
      <x:c r="L876" s="28" t="str"/>
      <x:c r="M876" s="20"/>
      <x:c r="N876" s="21"/>
      <x:c r="O876" s="26" t="str">
        <x:v>Completed qualified calls/visits; 6 and 15 are integer planning proxies for 70% of 8 and 75% of 20.</x:v>
      </x:c>
      <x:c r="P876" s="26" t="str">
        <x:v>Derived from source held-rate targets</x:v>
      </x:c>
      <x:c r="Q876" s="2" t="n">
        <x:f>IF(ISNUMBER(H876),1,0)</x:f>
        <x:v>0</x:v>
      </x:c>
    </x:row>
    <x:row r="877" ht="46" customHeight="1">
      <x:c r="A877" s="17" t="n">
        <x:v>46368</x:v>
      </x:c>
      <x:c r="B877" s="2" t="str">
        <x:v>Trial cases received by DSI</x:v>
      </x:c>
      <x:c r="C877" s="2" t="n">
        <x:v>6</x:v>
      </x:c>
      <x:c r="D877" s="2" t="str">
        <x:v>Cumulative total</x:v>
      </x:c>
      <x:c r="E877" s="20"/>
      <x:c r="F877" s="20"/>
      <x:c r="G877" s="20"/>
      <x:c r="H877" s="2" t="str">
        <x:f>IF(D877="Rate",IF(COUNT(F877:G877)&lt;2,"",IF(G877=0,"n.a.",F877/G877)),IF(COUNT(E877)=0,"",E877))</x:f>
      </x:c>
      <x:c r="I877" s="2" t="str">
        <x:f>IF(AND(ISNUMBER(H877),ISNUMBER(C877)),H877-C877,"")</x:f>
      </x:c>
      <x:c r="J877" s="2" t="str">
        <x:v>trials</x:v>
      </x:c>
      <x:c r="K877" s="2" t="str">
        <x:v>Maseeha</x:v>
      </x:c>
      <x:c r="L877" s="28" t="str"/>
      <x:c r="M877" s="20"/>
      <x:c r="N877" s="21"/>
      <x:c r="O877" s="26" t="str">
        <x:v>Practice’s first trial case received by DSI, not merely promised or shipped; subject to Maseeha capacity.</x:v>
      </x:c>
      <x:c r="P877" s="26" t="str">
        <x:v>PDF §10; final deadline advanced to user Dec 16</x:v>
      </x:c>
      <x:c r="Q877" s="2" t="n">
        <x:f>IF(ISNUMBER(H877),1,0)</x:f>
        <x:v>0</x:v>
      </x:c>
    </x:row>
    <x:row r="878" ht="46" customHeight="1">
      <x:c r="A878" s="17" t="n">
        <x:v>46368</x:v>
      </x:c>
      <x:c r="B878" s="2" t="str">
        <x:v>Recurring accounts signed</x:v>
      </x:c>
      <x:c r="C878" s="2"/>
      <x:c r="D878" s="2" t="str">
        <x:v>Cumulative total</x:v>
      </x:c>
      <x:c r="E878" s="20"/>
      <x:c r="F878" s="20"/>
      <x:c r="G878" s="20"/>
      <x:c r="H878" s="2" t="str">
        <x:f>IF(D878="Rate",IF(COUNT(F878:G878)&lt;2,"",IF(G878=0,"n.a.",F878/G878)),IF(COUNT(E878)=0,"",E878))</x:f>
      </x:c>
      <x:c r="I878" s="2" t="str">
        <x:f>IF(AND(ISNUMBER(H878),ISNUMBER(C878)),H878-C878,"")</x:f>
      </x:c>
      <x:c r="J878" s="2" t="str">
        <x:v>accounts</x:v>
      </x:c>
      <x:c r="K878" s="2" t="str">
        <x:v>Nic</x:v>
      </x:c>
      <x:c r="L878" s="28" t="str"/>
      <x:c r="M878" s="20"/>
      <x:c r="N878" s="21"/>
      <x:c r="O878" s="26" t="str">
        <x:v>Plan signed following Day-30 review; only mature trial cohorts eligible. 1–3 is a conditional range.</x:v>
      </x:c>
      <x:c r="P878" s="26" t="str">
        <x:v>PDF §10</x:v>
      </x:c>
      <x:c r="Q878" s="2" t="n">
        <x:f>IF(ISNUMBER(H878),1,0)</x:f>
        <x:v>0</x:v>
      </x:c>
    </x:row>
    <x:row r="879" ht="46" customHeight="1">
      <x:c r="A879" s="17" t="n">
        <x:v>46368</x:v>
      </x:c>
      <x:c r="B879" s="2" t="str">
        <x:v>Referral-sourced bookings</x:v>
      </x:c>
      <x:c r="C879" s="2" t="n">
        <x:v>8</x:v>
      </x:c>
      <x:c r="D879" s="2" t="str">
        <x:v>Cumulative total</x:v>
      </x:c>
      <x:c r="E879" s="20"/>
      <x:c r="F879" s="20"/>
      <x:c r="G879" s="20"/>
      <x:c r="H879" s="2" t="str">
        <x:f>IF(D879="Rate",IF(COUNT(F879:G879)&lt;2,"",IF(G879=0,"n.a.",F879/G879)),IF(COUNT(E879)=0,"",E879))</x:f>
      </x:c>
      <x:c r="I879" s="2" t="str">
        <x:f>IF(AND(ISNUMBER(H879),ISNUMBER(C879)),H879-C879,"")</x:f>
      </x:c>
      <x:c r="J879" s="2" t="str">
        <x:v>bookings</x:v>
      </x:c>
      <x:c r="K879" s="2" t="str">
        <x:v>Nova</x:v>
      </x:c>
      <x:c r="L879" s="28" t="str"/>
      <x:c r="M879" s="20"/>
      <x:c r="N879" s="21"/>
      <x:c r="O879" s="26" t="str">
        <x:v>Subset of booked total with primary Source=Referral; never added on top of all-channel bookings.</x:v>
      </x:c>
      <x:c r="P879" s="26" t="str">
        <x:v>PDF §§10, 16</x:v>
      </x:c>
      <x:c r="Q879" s="2" t="n">
        <x:f>IF(ISNUMBER(H879),1,0)</x:f>
        <x:v>0</x:v>
      </x:c>
    </x:row>
    <x:row r="880" ht="46" customHeight="1">
      <x:c r="A880" s="17" t="n">
        <x:v>46368</x:v>
      </x:c>
      <x:c r="B880" s="2" t="str">
        <x:v>LinkedIn DM-sourced bookings</x:v>
      </x:c>
      <x:c r="C880" s="2" t="n">
        <x:v>8</x:v>
      </x:c>
      <x:c r="D880" s="2" t="str">
        <x:v>Cumulative total</x:v>
      </x:c>
      <x:c r="E880" s="20"/>
      <x:c r="F880" s="20"/>
      <x:c r="G880" s="20"/>
      <x:c r="H880" s="2" t="str">
        <x:f>IF(D880="Rate",IF(COUNT(F880:G880)&lt;2,"",IF(G880=0,"n.a.",F880/G880)),IF(COUNT(E880)=0,"",E880))</x:f>
      </x:c>
      <x:c r="I880" s="2" t="str">
        <x:f>IF(AND(ISNUMBER(H880),ISNUMBER(C880)),H880-C880,"")</x:f>
      </x:c>
      <x:c r="J880" s="2" t="str">
        <x:v>bookings</x:v>
      </x:c>
      <x:c r="K880" s="2" t="str">
        <x:v>Dexter</x:v>
      </x:c>
      <x:c r="L880" s="28" t="str"/>
      <x:c r="M880" s="20"/>
      <x:c r="N880" s="21"/>
      <x:c r="O880" s="26" t="str">
        <x:v>Subset of booked total with primary Source=LinkedIn DM; assists tracked separately.</x:v>
      </x:c>
      <x:c r="P880" s="26" t="str">
        <x:v>PDF §§10, 17 a</x:v>
      </x:c>
      <x:c r="Q880" s="2" t="n">
        <x:f>IF(ISNUMBER(H880),1,0)</x:f>
        <x:v>0</x:v>
      </x:c>
    </x:row>
    <x:row r="881" ht="46" customHeight="1">
      <x:c r="A881" s="17" t="n">
        <x:v>46368</x:v>
      </x:c>
      <x:c r="B881" s="2" t="str">
        <x:v>Verified contacts ready</x:v>
      </x:c>
      <x:c r="C881" s="2" t="n">
        <x:v>750</x:v>
      </x:c>
      <x:c r="D881" s="2" t="str">
        <x:v>Cumulative total</x:v>
      </x:c>
      <x:c r="E881" s="20"/>
      <x:c r="F881" s="20"/>
      <x:c r="G881" s="20"/>
      <x:c r="H881" s="2" t="str">
        <x:f>IF(D881="Rate",IF(COUNT(F881:G881)&lt;2,"",IF(G881=0,"n.a.",F881/G881)),IF(COUNT(E881)=0,"",E881))</x:f>
      </x:c>
      <x:c r="I881" s="2" t="str">
        <x:f>IF(AND(ISNUMBER(H881),ISNUMBER(C881)),H881-C881,"")</x:f>
      </x:c>
      <x:c r="J881" s="2" t="str">
        <x:v>contacts</x:v>
      </x:c>
      <x:c r="K881" s="2" t="str">
        <x:v>Joey</x:v>
      </x:c>
      <x:c r="L881" s="28" t="str"/>
      <x:c r="M881" s="20"/>
      <x:c r="N881" s="21"/>
      <x:c r="O881" s="26" t="str">
        <x:v>Unique contacts passing Scout and loaded in CQL; count once per contact.</x:v>
      </x:c>
      <x:c r="P881" s="26" t="str">
        <x:v>PDF §§10, 14; 750 due Dec 12 moved to Fri Dec 11</x:v>
      </x:c>
      <x:c r="Q881" s="2" t="n">
        <x:f>IF(ISNUMBER(H881),1,0)</x:f>
        <x:v>0</x:v>
      </x:c>
    </x:row>
    <x:row r="882" ht="46" customHeight="1">
      <x:c r="A882" s="17" t="n">
        <x:v>46368</x:v>
      </x:c>
      <x:c r="B882" s="2" t="str">
        <x:v>Permission-based referral introductions</x:v>
      </x:c>
      <x:c r="C882" s="2" t="n">
        <x:v>15</x:v>
      </x:c>
      <x:c r="D882" s="2" t="str">
        <x:v>Cumulative total</x:v>
      </x:c>
      <x:c r="E882" s="20"/>
      <x:c r="F882" s="20"/>
      <x:c r="G882" s="20"/>
      <x:c r="H882" s="2" t="str">
        <x:f>IF(D882="Rate",IF(COUNT(F882:G882)&lt;2,"",IF(G882=0,"n.a.",F882/G882)),IF(COUNT(E882)=0,"",E882))</x:f>
      </x:c>
      <x:c r="I882" s="2" t="str">
        <x:f>IF(AND(ISNUMBER(H882),ISNUMBER(C882)),H882-C882,"")</x:f>
      </x:c>
      <x:c r="J882" s="2" t="str">
        <x:v>introductions</x:v>
      </x:c>
      <x:c r="K882" s="2" t="str">
        <x:v>Maseeha</x:v>
      </x:c>
      <x:c r="L882" s="28" t="str"/>
      <x:c r="M882" s="20"/>
      <x:c r="N882" s="21"/>
      <x:c r="O882" s="26" t="str">
        <x:v>Unique introductions with consent and referrer recorded, verified by Maseeha within 2 business days.</x:v>
      </x:c>
      <x:c r="P882" s="26" t="str">
        <x:v>PDF §§10, 16</x:v>
      </x:c>
      <x:c r="Q882" s="2" t="n">
        <x:f>IF(ISNUMBER(H882),1,0)</x:f>
        <x:v>0</x:v>
      </x:c>
    </x:row>
    <x:row r="883" ht="46" customHeight="1">
      <x:c r="A883" s="17" t="n">
        <x:v>46368</x:v>
      </x:c>
      <x:c r="B883" s="2" t="str">
        <x:v>Human reply rate</x:v>
      </x:c>
      <x:c r="C883" s="40" t="n">
        <x:v>0.03</x:v>
      </x:c>
      <x:c r="D883" s="2" t="str">
        <x:v>Rate</x:v>
      </x:c>
      <x:c r="E883" s="20"/>
      <x:c r="F883" s="20"/>
      <x:c r="G883" s="20"/>
      <x:c r="H883" s="40" t="str">
        <x:f>IF(D883="Rate",IF(COUNT(F883:G883)&lt;2,"",IF(G883=0,"n.a.",F883/G883)),IF(COUNT(E883)=0,"",E883))</x:f>
      </x:c>
      <x:c r="I883" s="40" t="str">
        <x:f>IF(AND(ISNUMBER(H883),ISNUMBER(C883)),H883-C883,"")</x:f>
      </x:c>
      <x:c r="J883" s="2" t="str">
        <x:v>%</x:v>
      </x:c>
      <x:c r="K883" s="2" t="str">
        <x:v>Kenneth</x:v>
      </x:c>
      <x:c r="L883" s="28" t="str"/>
      <x:c r="M883" s="20"/>
      <x:c r="N883" s="21"/>
      <x:c r="O883" s="26" t="str">
        <x:v>Unique emailed contacts that give a qualifying human reply / unique contacts emailed in the same send cohort. Exclude OOO, auto-replies, bounces and unsubscribe-only replies. Deduplicate contacts across sequence steps; zero denominator is N/A.</x:v>
      </x:c>
      <x:c r="P883" s="26" t="str">
        <x:v>PDF §10</x:v>
      </x:c>
      <x:c r="Q883" s="2" t="n">
        <x:f>IF(ISNUMBER(H883),1,0)</x:f>
        <x:v>0</x:v>
      </x:c>
    </x:row>
    <x:row r="884" ht="46" customHeight="1">
      <x:c r="A884" s="17" t="n">
        <x:v>46368</x:v>
      </x:c>
      <x:c r="B884" s="2" t="str">
        <x:v>Positive reply rate</x:v>
      </x:c>
      <x:c r="C884" s="40" t="n">
        <x:v>0.015</x:v>
      </x:c>
      <x:c r="D884" s="2" t="str">
        <x:v>Rate</x:v>
      </x:c>
      <x:c r="E884" s="20"/>
      <x:c r="F884" s="20"/>
      <x:c r="G884" s="20"/>
      <x:c r="H884" s="40" t="str">
        <x:f>IF(D884="Rate",IF(COUNT(F884:G884)&lt;2,"",IF(G884=0,"n.a.",F884/G884)),IF(COUNT(E884)=0,"",E884))</x:f>
      </x:c>
      <x:c r="I884" s="40" t="str">
        <x:f>IF(AND(ISNUMBER(H884),ISNUMBER(C884)),H884-C884,"")</x:f>
      </x:c>
      <x:c r="J884" s="2" t="str">
        <x:v>%</x:v>
      </x:c>
      <x:c r="K884" s="2" t="str">
        <x:v>Kenneth</x:v>
      </x:c>
      <x:c r="L884" s="28" t="str"/>
      <x:c r="M884" s="20"/>
      <x:c r="N884" s="21"/>
      <x:c r="O884" s="26" t="str">
        <x:v>Unique emailed contacts classified interested or relevant question / unique contacts emailed in the same send cohort. Deduplicate across sequence steps; zero denominator is N/A. Keep this email rate separate from all-channel qualified inquiries.</x:v>
      </x:c>
      <x:c r="P884" s="26" t="str">
        <x:v>PDF §10</x:v>
      </x:c>
      <x:c r="Q884" s="2" t="n">
        <x:f>IF(ISNUMBER(H884),1,0)</x:f>
        <x:v>0</x:v>
      </x:c>
    </x:row>
    <x:row r="885" ht="46" customHeight="1">
      <x:c r="A885" s="17" t="n">
        <x:v>46368</x:v>
      </x:c>
      <x:c r="B885" s="2" t="str">
        <x:v>Replies answered within 15 minutes</x:v>
      </x:c>
      <x:c r="C885" s="40" t="n">
        <x:v>1</x:v>
      </x:c>
      <x:c r="D885" s="2" t="str">
        <x:v>Rate</x:v>
      </x:c>
      <x:c r="E885" s="20"/>
      <x:c r="F885" s="20"/>
      <x:c r="G885" s="20"/>
      <x:c r="H885" s="40" t="str">
        <x:f>IF(D885="Rate",IF(COUNT(F885:G885)&lt;2,"",IF(G885=0,"n.a.",F885/G885)),IF(COUNT(E885)=0,"",E885))</x:f>
      </x:c>
      <x:c r="I885" s="40" t="str">
        <x:f>IF(AND(ISNUMBER(H885),ISNUMBER(C885)),H885-C885,"")</x:f>
      </x:c>
      <x:c r="J885" s="2" t="str">
        <x:v>%</x:v>
      </x:c>
      <x:c r="K885" s="2" t="str">
        <x:v>Nova</x:v>
      </x:c>
      <x:c r="L885" s="28" t="str"/>
      <x:c r="M885" s="20"/>
      <x:c r="N885" s="21"/>
      <x:c r="O885"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885" s="26" t="str">
        <x:v>PDF §9; clock convention clarified for tracker</x:v>
      </x:c>
      <x:c r="Q885" s="2" t="n">
        <x:f>IF(ISNUMBER(H885),1,0)</x:f>
        <x:v>0</x:v>
      </x:c>
    </x:row>
    <x:row r="886" ht="46" customHeight="1">
      <x:c r="A886" s="17" t="n">
        <x:v>46368</x:v>
      </x:c>
      <x:c r="B886" s="2" t="str">
        <x:v>Held rate</x:v>
      </x:c>
      <x:c r="C886" s="40" t="n">
        <x:v>0.75</x:v>
      </x:c>
      <x:c r="D886" s="2" t="str">
        <x:v>Rate</x:v>
      </x:c>
      <x:c r="E886" s="20"/>
      <x:c r="F886" s="20"/>
      <x:c r="G886" s="20"/>
      <x:c r="H886" s="40" t="str">
        <x:f>IF(D886="Rate",IF(COUNT(F886:G886)&lt;2,"",IF(G886=0,"n.a.",F886/G886)),IF(COUNT(E886)=0,"",E886))</x:f>
      </x:c>
      <x:c r="I886" s="40" t="str">
        <x:f>IF(AND(ISNUMBER(H886),ISNUMBER(C886)),H886-C886,"")</x:f>
      </x:c>
      <x:c r="J886" s="2" t="str">
        <x:v>%</x:v>
      </x:c>
      <x:c r="K886" s="2" t="str">
        <x:v>Nova</x:v>
      </x:c>
      <x:c r="L886" s="28" t="str"/>
      <x:c r="M886" s="20"/>
      <x:c r="N886" s="21"/>
      <x:c r="O886" s="26" t="str">
        <x:v>Qualified conversations actually held / unique booked conversations whose scheduled time has passed. Exclude upcoming appointments. Rebooking the same opportunity is not a second booking. A zero denominator is N/A.</x:v>
      </x:c>
      <x:c r="P886" s="26" t="str">
        <x:v>PDF §10; due-cohort denominator clarified</x:v>
      </x:c>
      <x:c r="Q886" s="2" t="n">
        <x:f>IF(ISNUMBER(H886),1,0)</x:f>
        <x:v>0</x:v>
      </x:c>
    </x:row>
    <x:row r="887" ht="46" customHeight="1">
      <x:c r="A887" s="17" t="n">
        <x:v>46368</x:v>
      </x:c>
      <x:c r="B887" s="2" t="str">
        <x:v>Positive-to-booked conversion</x:v>
      </x:c>
      <x:c r="C887" s="40" t="n">
        <x:v>0.5</x:v>
      </x:c>
      <x:c r="D887" s="2" t="str">
        <x:v>Rate</x:v>
      </x:c>
      <x:c r="E887" s="20"/>
      <x:c r="F887" s="20"/>
      <x:c r="G887" s="20"/>
      <x:c r="H887" s="40" t="str">
        <x:f>IF(D887="Rate",IF(COUNT(F887:G887)&lt;2,"",IF(G887=0,"n.a.",F887/G887)),IF(COUNT(E887)=0,"",E887))</x:f>
      </x:c>
      <x:c r="I887" s="40" t="str">
        <x:f>IF(AND(ISNUMBER(H887),ISNUMBER(C887)),H887-C887,"")</x:f>
      </x:c>
      <x:c r="J887" s="2" t="str">
        <x:v>%</x:v>
      </x:c>
      <x:c r="K887" s="2" t="str">
        <x:v>Nova</x:v>
      </x:c>
      <x:c r="L887" s="28" t="str"/>
      <x:c r="M887" s="20"/>
      <x:c r="N887" s="21"/>
      <x:c r="O887" s="26" t="str">
        <x:v>Unique email-positive opportunities booked / unique email-positive opportunities in the same reviewed cohort. Use a documented follow-up window. This differs from the all-channel 40-inquiry/20-booking planning assumption. A zero denominator is N/A.</x:v>
      </x:c>
      <x:c r="P887" s="26" t="str">
        <x:v>PDF §9</x:v>
      </x:c>
      <x:c r="Q887" s="2" t="n">
        <x:f>IF(ISNUMBER(H887),1,0)</x:f>
        <x:v>0</x:v>
      </x:c>
    </x:row>
    <x:row r="888" ht="46" customHeight="1">
      <x:c r="A888" s="17" t="n">
        <x:v>46368</x:v>
      </x:c>
      <x:c r="B888" s="2" t="str">
        <x:v>Existing-account referral asks</x:v>
      </x:c>
      <x:c r="C888" s="2" t="n">
        <x:v>41</x:v>
      </x:c>
      <x:c r="D888" s="2" t="str">
        <x:v>Cumulative total</x:v>
      </x:c>
      <x:c r="E888" s="20"/>
      <x:c r="F888" s="20"/>
      <x:c r="G888" s="20"/>
      <x:c r="H888" s="2" t="str">
        <x:f>IF(D888="Rate",IF(COUNT(F888:G888)&lt;2,"",IF(G888=0,"n.a.",F888/G888)),IF(COUNT(E888)=0,"",E888))</x:f>
      </x:c>
      <x:c r="I888" s="2" t="str">
        <x:f>IF(AND(ISNUMBER(H888),ISNUMBER(C888)),H888-C888,"")</x:f>
      </x:c>
      <x:c r="J888" s="2" t="str">
        <x:v>accounts asked</x:v>
      </x:c>
      <x:c r="K888" s="2" t="str">
        <x:v>Maseeha</x:v>
      </x:c>
      <x:c r="L888" s="28" t="str"/>
      <x:c r="M888" s="20"/>
      <x:c r="N888" s="21"/>
      <x:c r="O888" s="26" t="str">
        <x:v>Ask 25 unique A/B accounts (5 A and 20 B) by November 13; proposed pace 35 total by November 20; complete the remaining C accounts to reach 41 total by November 25. One introduction is the ask; asks and received intros are separate counts.</x:v>
      </x:c>
      <x:c r="P888" s="26" t="str">
        <x:v>PDF §16 supplies 25 A/B byNov 14 and 16 C byNov 25; Friday deadline and 35-byNov 20 pace are proposed scheduling allocations.</x:v>
      </x:c>
      <x:c r="Q888" s="2" t="n">
        <x:f>IF(ISNUMBER(H888),1,0)</x:f>
        <x:v>0</x:v>
      </x:c>
    </x:row>
    <x:row r="889" ht="46" customHeight="1">
      <x:c r="A889" s="17" t="n">
        <x:v>46368</x:v>
      </x:c>
      <x:c r="B889" s="2" t="str">
        <x:v>Approved SOPs</x:v>
      </x:c>
      <x:c r="C889" s="2"/>
      <x:c r="D889" s="2" t="str">
        <x:v>Cumulative total</x:v>
      </x:c>
      <x:c r="E889" s="20"/>
      <x:c r="F889" s="20"/>
      <x:c r="G889" s="20"/>
      <x:c r="H889" s="2" t="str">
        <x:f>IF(D889="Rate",IF(COUNT(F889:G889)&lt;2,"",IF(G889=0,"n.a.",F889/G889)),IF(COUNT(E889)=0,"",E889))</x:f>
      </x:c>
      <x:c r="I889" s="2" t="str">
        <x:f>IF(AND(ISNUMBER(H889),ISNUMBER(C889)),H889-C889,"")</x:f>
      </x:c>
      <x:c r="J889" s="2" t="str">
        <x:v>SOPs</x:v>
      </x:c>
      <x:c r="K889" s="2" t="str">
        <x:v>Wyline</x:v>
      </x:c>
      <x:c r="L889" s="28" t="str"/>
      <x:c r="M889" s="20"/>
      <x:c r="N889" s="21"/>
      <x:c r="O889" s="26" t="str">
        <x:v>10 core SOPs plus ADS-01 and SOC-01 additions; approved version and independent-run evidence required.</x:v>
      </x:c>
      <x:c r="P889" s="26" t="str">
        <x:v>PDF §8 with §§17 b–d additions</x:v>
      </x:c>
      <x:c r="Q889" s="2" t="n">
        <x:f>IF(ISNUMBER(H889),1,0)</x:f>
        <x:v>0</x:v>
      </x:c>
    </x:row>
    <x:row r="890" ht="46" customHeight="1">
      <x:c r="A890" s="17" t="n">
        <x:v>46368</x:v>
      </x:c>
      <x:c r="B890" s="2" t="str">
        <x:v>Accepted AI agents</x:v>
      </x:c>
      <x:c r="C890" s="2"/>
      <x:c r="D890" s="2" t="str">
        <x:v>Cumulative total</x:v>
      </x:c>
      <x:c r="E890" s="20"/>
      <x:c r="F890" s="20"/>
      <x:c r="G890" s="20"/>
      <x:c r="H890" s="2" t="str">
        <x:f>IF(D890="Rate",IF(COUNT(F890:G890)&lt;2,"",IF(G890=0,"n.a.",F890/G890)),IF(COUNT(E890)=0,"",E890))</x:f>
      </x:c>
      <x:c r="I890" s="2" t="str">
        <x:f>IF(AND(ISNUMBER(H890),ISNUMBER(C890)),H890-C890,"")</x:f>
      </x:c>
      <x:c r="J890" s="2" t="str">
        <x:v>agents</x:v>
      </x:c>
      <x:c r="K890" s="2" t="str">
        <x:v>Emman</x:v>
      </x:c>
      <x:c r="L890" s="28" t="str"/>
      <x:c r="M890" s="20"/>
      <x:c r="N890" s="21"/>
      <x:c r="O890" s="26" t="str">
        <x:v>Scout, Writer, Inbox, Phone Assist, LinkedIn Assist, Follow-up, Scoreboard and Client Reporter; acceptance evidence required.</x:v>
      </x:c>
      <x:c r="P890" s="26" t="str">
        <x:v>PDF §7</x:v>
      </x:c>
      <x:c r="Q890" s="2" t="n">
        <x:f>IF(ISNUMBER(H890),1,0)</x:f>
        <x:v>0</x:v>
      </x:c>
    </x:row>
    <x:row r="891" ht="46" customHeight="1">
      <x:c r="A891" s="17" t="n">
        <x:v>46369</x:v>
      </x:c>
      <x:c r="B891" s="2" t="str">
        <x:v>Qualified inquiries</x:v>
      </x:c>
      <x:c r="C891" s="2" t="n">
        <x:v>40</x:v>
      </x:c>
      <x:c r="D891" s="2" t="str">
        <x:v>Cumulative total</x:v>
      </x:c>
      <x:c r="E891" s="20"/>
      <x:c r="F891" s="20"/>
      <x:c r="G891" s="20"/>
      <x:c r="H891" s="2" t="str">
        <x:f>IF(D891="Rate",IF(COUNT(F891:G891)&lt;2,"",IF(G891=0,"n.a.",F891/G891)),IF(COUNT(E891)=0,"",E891))</x:f>
      </x:c>
      <x:c r="I891" s="2" t="str">
        <x:f>IF(AND(ISNUMBER(H891),ISNUMBER(C891)),H891-C891,"")</x:f>
      </x:c>
      <x:c r="J891" s="2" t="str">
        <x:v>inquiries</x:v>
      </x:c>
      <x:c r="K891" s="2" t="str">
        <x:v>Nova</x:v>
      </x:c>
      <x:c r="L891" s="28" t="str"/>
      <x:c r="M891" s="20"/>
      <x:c r="N891" s="21"/>
      <x:c r="O891" s="26" t="str">
        <x:v>Unique ICP-matched practices that express relevant interest, need or timing; Nova records practice type, decision-maker access, case volume, service need and readiness within 30–60 days. Raw records, opens and connection accepts do not qualify.</x:v>
      </x:c>
      <x:c r="P891" s="26" t="str">
        <x:v>Original proposal pages 2 and 4 define qualification; 40 by Dec 16 and intermediate pace are newly proposed recovery targets.</x:v>
      </x:c>
      <x:c r="Q891" s="2" t="n">
        <x:f>IF(ISNUMBER(H891),1,0)</x:f>
        <x:v>0</x:v>
      </x:c>
    </x:row>
    <x:row r="892" ht="46" customHeight="1">
      <x:c r="A892" s="17" t="n">
        <x:v>46369</x:v>
      </x:c>
      <x:c r="B892" s="2" t="str">
        <x:v>Qualified conversations booked</x:v>
      </x:c>
      <x:c r="C892" s="2" t="n">
        <x:v>20</x:v>
      </x:c>
      <x:c r="D892" s="2" t="str">
        <x:v>Cumulative total</x:v>
      </x:c>
      <x:c r="E892" s="20"/>
      <x:c r="F892" s="20"/>
      <x:c r="G892" s="20"/>
      <x:c r="H892" s="2" t="str">
        <x:f>IF(D892="Rate",IF(COUNT(F892:G892)&lt;2,"",IF(G892=0,"n.a.",F892/G892)),IF(COUNT(E892)=0,"",E892))</x:f>
      </x:c>
      <x:c r="I892" s="2" t="str">
        <x:f>IF(AND(ISNUMBER(H892),ISNUMBER(C892)),H892-C892,"")</x:f>
      </x:c>
      <x:c r="J892" s="2" t="str">
        <x:v>bookings</x:v>
      </x:c>
      <x:c r="K892" s="2" t="str">
        <x:v>Nova</x:v>
      </x:c>
      <x:c r="L892" s="28" t="str"/>
      <x:c r="M892" s="20"/>
      <x:c r="N892" s="21"/>
      <x:c r="O892" s="26" t="str">
        <x:v>Unique qualified calls/visits booked with Nic; rebooking same opportunity is not a new booking.</x:v>
      </x:c>
      <x:c r="P892" s="26" t="str">
        <x:v>PDF §10; final deadline advanced to user Dec 16</x:v>
      </x:c>
      <x:c r="Q892" s="2" t="n">
        <x:f>IF(ISNUMBER(H892),1,0)</x:f>
        <x:v>0</x:v>
      </x:c>
    </x:row>
    <x:row r="893" ht="46" customHeight="1">
      <x:c r="A893" s="17" t="n">
        <x:v>46369</x:v>
      </x:c>
      <x:c r="B893" s="2" t="str">
        <x:v>Qualified conversations held</x:v>
      </x:c>
      <x:c r="C893" s="2" t="n">
        <x:v>15</x:v>
      </x:c>
      <x:c r="D893" s="2" t="str">
        <x:v>Cumulative total</x:v>
      </x:c>
      <x:c r="E893" s="20"/>
      <x:c r="F893" s="20"/>
      <x:c r="G893" s="20"/>
      <x:c r="H893" s="2" t="str">
        <x:f>IF(D893="Rate",IF(COUNT(F893:G893)&lt;2,"",IF(G893=0,"n.a.",F893/G893)),IF(COUNT(E893)=0,"",E893))</x:f>
      </x:c>
      <x:c r="I893" s="2" t="str">
        <x:f>IF(AND(ISNUMBER(H893),ISNUMBER(C893)),H893-C893,"")</x:f>
      </x:c>
      <x:c r="J893" s="2" t="str">
        <x:v>held</x:v>
      </x:c>
      <x:c r="K893" s="2" t="str">
        <x:v>Nova</x:v>
      </x:c>
      <x:c r="L893" s="28" t="str"/>
      <x:c r="M893" s="20"/>
      <x:c r="N893" s="21"/>
      <x:c r="O893" s="26" t="str">
        <x:v>Completed qualified calls/visits; 6 and 15 are integer planning proxies for 70% of 8 and 75% of 20.</x:v>
      </x:c>
      <x:c r="P893" s="26" t="str">
        <x:v>Derived from source held-rate targets</x:v>
      </x:c>
      <x:c r="Q893" s="2" t="n">
        <x:f>IF(ISNUMBER(H893),1,0)</x:f>
        <x:v>0</x:v>
      </x:c>
    </x:row>
    <x:row r="894" ht="46" customHeight="1">
      <x:c r="A894" s="17" t="n">
        <x:v>46369</x:v>
      </x:c>
      <x:c r="B894" s="2" t="str">
        <x:v>Trial cases received by DSI</x:v>
      </x:c>
      <x:c r="C894" s="2" t="n">
        <x:v>6</x:v>
      </x:c>
      <x:c r="D894" s="2" t="str">
        <x:v>Cumulative total</x:v>
      </x:c>
      <x:c r="E894" s="20"/>
      <x:c r="F894" s="20"/>
      <x:c r="G894" s="20"/>
      <x:c r="H894" s="2" t="str">
        <x:f>IF(D894="Rate",IF(COUNT(F894:G894)&lt;2,"",IF(G894=0,"n.a.",F894/G894)),IF(COUNT(E894)=0,"",E894))</x:f>
      </x:c>
      <x:c r="I894" s="2" t="str">
        <x:f>IF(AND(ISNUMBER(H894),ISNUMBER(C894)),H894-C894,"")</x:f>
      </x:c>
      <x:c r="J894" s="2" t="str">
        <x:v>trials</x:v>
      </x:c>
      <x:c r="K894" s="2" t="str">
        <x:v>Maseeha</x:v>
      </x:c>
      <x:c r="L894" s="28" t="str"/>
      <x:c r="M894" s="20"/>
      <x:c r="N894" s="21"/>
      <x:c r="O894" s="26" t="str">
        <x:v>Practice’s first trial case received by DSI, not merely promised or shipped; subject to Maseeha capacity.</x:v>
      </x:c>
      <x:c r="P894" s="26" t="str">
        <x:v>PDF §10; final deadline advanced to user Dec 16</x:v>
      </x:c>
      <x:c r="Q894" s="2" t="n">
        <x:f>IF(ISNUMBER(H894),1,0)</x:f>
        <x:v>0</x:v>
      </x:c>
    </x:row>
    <x:row r="895" ht="46" customHeight="1">
      <x:c r="A895" s="17" t="n">
        <x:v>46369</x:v>
      </x:c>
      <x:c r="B895" s="2" t="str">
        <x:v>Recurring accounts signed</x:v>
      </x:c>
      <x:c r="C895" s="2"/>
      <x:c r="D895" s="2" t="str">
        <x:v>Cumulative total</x:v>
      </x:c>
      <x:c r="E895" s="20"/>
      <x:c r="F895" s="20"/>
      <x:c r="G895" s="20"/>
      <x:c r="H895" s="2" t="str">
        <x:f>IF(D895="Rate",IF(COUNT(F895:G895)&lt;2,"",IF(G895=0,"n.a.",F895/G895)),IF(COUNT(E895)=0,"",E895))</x:f>
      </x:c>
      <x:c r="I895" s="2" t="str">
        <x:f>IF(AND(ISNUMBER(H895),ISNUMBER(C895)),H895-C895,"")</x:f>
      </x:c>
      <x:c r="J895" s="2" t="str">
        <x:v>accounts</x:v>
      </x:c>
      <x:c r="K895" s="2" t="str">
        <x:v>Nic</x:v>
      </x:c>
      <x:c r="L895" s="28" t="str"/>
      <x:c r="M895" s="20"/>
      <x:c r="N895" s="21"/>
      <x:c r="O895" s="26" t="str">
        <x:v>Plan signed following Day-30 review; only mature trial cohorts eligible. 1–3 is a conditional range.</x:v>
      </x:c>
      <x:c r="P895" s="26" t="str">
        <x:v>PDF §10</x:v>
      </x:c>
      <x:c r="Q895" s="2" t="n">
        <x:f>IF(ISNUMBER(H895),1,0)</x:f>
        <x:v>0</x:v>
      </x:c>
    </x:row>
    <x:row r="896" ht="46" customHeight="1">
      <x:c r="A896" s="17" t="n">
        <x:v>46369</x:v>
      </x:c>
      <x:c r="B896" s="2" t="str">
        <x:v>Referral-sourced bookings</x:v>
      </x:c>
      <x:c r="C896" s="2" t="n">
        <x:v>8</x:v>
      </x:c>
      <x:c r="D896" s="2" t="str">
        <x:v>Cumulative total</x:v>
      </x:c>
      <x:c r="E896" s="20"/>
      <x:c r="F896" s="20"/>
      <x:c r="G896" s="20"/>
      <x:c r="H896" s="2" t="str">
        <x:f>IF(D896="Rate",IF(COUNT(F896:G896)&lt;2,"",IF(G896=0,"n.a.",F896/G896)),IF(COUNT(E896)=0,"",E896))</x:f>
      </x:c>
      <x:c r="I896" s="2" t="str">
        <x:f>IF(AND(ISNUMBER(H896),ISNUMBER(C896)),H896-C896,"")</x:f>
      </x:c>
      <x:c r="J896" s="2" t="str">
        <x:v>bookings</x:v>
      </x:c>
      <x:c r="K896" s="2" t="str">
        <x:v>Nova</x:v>
      </x:c>
      <x:c r="L896" s="28" t="str"/>
      <x:c r="M896" s="20"/>
      <x:c r="N896" s="21"/>
      <x:c r="O896" s="26" t="str">
        <x:v>Subset of booked total with primary Source=Referral; never added on top of all-channel bookings.</x:v>
      </x:c>
      <x:c r="P896" s="26" t="str">
        <x:v>PDF §§10, 16</x:v>
      </x:c>
      <x:c r="Q896" s="2" t="n">
        <x:f>IF(ISNUMBER(H896),1,0)</x:f>
        <x:v>0</x:v>
      </x:c>
    </x:row>
    <x:row r="897" ht="46" customHeight="1">
      <x:c r="A897" s="17" t="n">
        <x:v>46369</x:v>
      </x:c>
      <x:c r="B897" s="2" t="str">
        <x:v>LinkedIn DM-sourced bookings</x:v>
      </x:c>
      <x:c r="C897" s="2" t="n">
        <x:v>8</x:v>
      </x:c>
      <x:c r="D897" s="2" t="str">
        <x:v>Cumulative total</x:v>
      </x:c>
      <x:c r="E897" s="20"/>
      <x:c r="F897" s="20"/>
      <x:c r="G897" s="20"/>
      <x:c r="H897" s="2" t="str">
        <x:f>IF(D897="Rate",IF(COUNT(F897:G897)&lt;2,"",IF(G897=0,"n.a.",F897/G897)),IF(COUNT(E897)=0,"",E897))</x:f>
      </x:c>
      <x:c r="I897" s="2" t="str">
        <x:f>IF(AND(ISNUMBER(H897),ISNUMBER(C897)),H897-C897,"")</x:f>
      </x:c>
      <x:c r="J897" s="2" t="str">
        <x:v>bookings</x:v>
      </x:c>
      <x:c r="K897" s="2" t="str">
        <x:v>Dexter</x:v>
      </x:c>
      <x:c r="L897" s="28" t="str"/>
      <x:c r="M897" s="20"/>
      <x:c r="N897" s="21"/>
      <x:c r="O897" s="26" t="str">
        <x:v>Subset of booked total with primary Source=LinkedIn DM; assists tracked separately.</x:v>
      </x:c>
      <x:c r="P897" s="26" t="str">
        <x:v>PDF §§10, 17 a</x:v>
      </x:c>
      <x:c r="Q897" s="2" t="n">
        <x:f>IF(ISNUMBER(H897),1,0)</x:f>
        <x:v>0</x:v>
      </x:c>
    </x:row>
    <x:row r="898" ht="46" customHeight="1">
      <x:c r="A898" s="17" t="n">
        <x:v>46369</x:v>
      </x:c>
      <x:c r="B898" s="2" t="str">
        <x:v>Verified contacts ready</x:v>
      </x:c>
      <x:c r="C898" s="2" t="n">
        <x:v>750</x:v>
      </x:c>
      <x:c r="D898" s="2" t="str">
        <x:v>Cumulative total</x:v>
      </x:c>
      <x:c r="E898" s="20"/>
      <x:c r="F898" s="20"/>
      <x:c r="G898" s="20"/>
      <x:c r="H898" s="2" t="str">
        <x:f>IF(D898="Rate",IF(COUNT(F898:G898)&lt;2,"",IF(G898=0,"n.a.",F898/G898)),IF(COUNT(E898)=0,"",E898))</x:f>
      </x:c>
      <x:c r="I898" s="2" t="str">
        <x:f>IF(AND(ISNUMBER(H898),ISNUMBER(C898)),H898-C898,"")</x:f>
      </x:c>
      <x:c r="J898" s="2" t="str">
        <x:v>contacts</x:v>
      </x:c>
      <x:c r="K898" s="2" t="str">
        <x:v>Joey</x:v>
      </x:c>
      <x:c r="L898" s="28" t="str"/>
      <x:c r="M898" s="20"/>
      <x:c r="N898" s="21"/>
      <x:c r="O898" s="26" t="str">
        <x:v>Unique contacts passing Scout and loaded in CQL; count once per contact.</x:v>
      </x:c>
      <x:c r="P898" s="26" t="str">
        <x:v>PDF §§10, 14; 750 due Dec 12 moved to Fri Dec 11</x:v>
      </x:c>
      <x:c r="Q898" s="2" t="n">
        <x:f>IF(ISNUMBER(H898),1,0)</x:f>
        <x:v>0</x:v>
      </x:c>
    </x:row>
    <x:row r="899" ht="46" customHeight="1">
      <x:c r="A899" s="17" t="n">
        <x:v>46369</x:v>
      </x:c>
      <x:c r="B899" s="2" t="str">
        <x:v>Permission-based referral introductions</x:v>
      </x:c>
      <x:c r="C899" s="2" t="n">
        <x:v>15</x:v>
      </x:c>
      <x:c r="D899" s="2" t="str">
        <x:v>Cumulative total</x:v>
      </x:c>
      <x:c r="E899" s="20"/>
      <x:c r="F899" s="20"/>
      <x:c r="G899" s="20"/>
      <x:c r="H899" s="2" t="str">
        <x:f>IF(D899="Rate",IF(COUNT(F899:G899)&lt;2,"",IF(G899=0,"n.a.",F899/G899)),IF(COUNT(E899)=0,"",E899))</x:f>
      </x:c>
      <x:c r="I899" s="2" t="str">
        <x:f>IF(AND(ISNUMBER(H899),ISNUMBER(C899)),H899-C899,"")</x:f>
      </x:c>
      <x:c r="J899" s="2" t="str">
        <x:v>introductions</x:v>
      </x:c>
      <x:c r="K899" s="2" t="str">
        <x:v>Maseeha</x:v>
      </x:c>
      <x:c r="L899" s="28" t="str"/>
      <x:c r="M899" s="20"/>
      <x:c r="N899" s="21"/>
      <x:c r="O899" s="26" t="str">
        <x:v>Unique introductions with consent and referrer recorded, verified by Maseeha within 2 business days.</x:v>
      </x:c>
      <x:c r="P899" s="26" t="str">
        <x:v>PDF §§10, 16</x:v>
      </x:c>
      <x:c r="Q899" s="2" t="n">
        <x:f>IF(ISNUMBER(H899),1,0)</x:f>
        <x:v>0</x:v>
      </x:c>
    </x:row>
    <x:row r="900" ht="46" customHeight="1">
      <x:c r="A900" s="17" t="n">
        <x:v>46369</x:v>
      </x:c>
      <x:c r="B900" s="2" t="str">
        <x:v>Human reply rate</x:v>
      </x:c>
      <x:c r="C900" s="40" t="n">
        <x:v>0.03</x:v>
      </x:c>
      <x:c r="D900" s="2" t="str">
        <x:v>Rate</x:v>
      </x:c>
      <x:c r="E900" s="20"/>
      <x:c r="F900" s="20"/>
      <x:c r="G900" s="20"/>
      <x:c r="H900" s="40" t="str">
        <x:f>IF(D900="Rate",IF(COUNT(F900:G900)&lt;2,"",IF(G900=0,"n.a.",F900/G900)),IF(COUNT(E900)=0,"",E900))</x:f>
      </x:c>
      <x:c r="I900" s="40" t="str">
        <x:f>IF(AND(ISNUMBER(H900),ISNUMBER(C900)),H900-C900,"")</x:f>
      </x:c>
      <x:c r="J900" s="2" t="str">
        <x:v>%</x:v>
      </x:c>
      <x:c r="K900" s="2" t="str">
        <x:v>Kenneth</x:v>
      </x:c>
      <x:c r="L900" s="28" t="str"/>
      <x:c r="M900" s="20"/>
      <x:c r="N900" s="21"/>
      <x:c r="O900" s="26" t="str">
        <x:v>Unique emailed contacts that give a qualifying human reply / unique contacts emailed in the same send cohort. Exclude OOO, auto-replies, bounces and unsubscribe-only replies. Deduplicate contacts across sequence steps; zero denominator is N/A.</x:v>
      </x:c>
      <x:c r="P900" s="26" t="str">
        <x:v>PDF §10</x:v>
      </x:c>
      <x:c r="Q900" s="2" t="n">
        <x:f>IF(ISNUMBER(H900),1,0)</x:f>
        <x:v>0</x:v>
      </x:c>
    </x:row>
    <x:row r="901" ht="46" customHeight="1">
      <x:c r="A901" s="17" t="n">
        <x:v>46369</x:v>
      </x:c>
      <x:c r="B901" s="2" t="str">
        <x:v>Positive reply rate</x:v>
      </x:c>
      <x:c r="C901" s="40" t="n">
        <x:v>0.015</x:v>
      </x:c>
      <x:c r="D901" s="2" t="str">
        <x:v>Rate</x:v>
      </x:c>
      <x:c r="E901" s="20"/>
      <x:c r="F901" s="20"/>
      <x:c r="G901" s="20"/>
      <x:c r="H901" s="40" t="str">
        <x:f>IF(D901="Rate",IF(COUNT(F901:G901)&lt;2,"",IF(G901=0,"n.a.",F901/G901)),IF(COUNT(E901)=0,"",E901))</x:f>
      </x:c>
      <x:c r="I901" s="40" t="str">
        <x:f>IF(AND(ISNUMBER(H901),ISNUMBER(C901)),H901-C901,"")</x:f>
      </x:c>
      <x:c r="J901" s="2" t="str">
        <x:v>%</x:v>
      </x:c>
      <x:c r="K901" s="2" t="str">
        <x:v>Kenneth</x:v>
      </x:c>
      <x:c r="L901" s="28" t="str"/>
      <x:c r="M901" s="20"/>
      <x:c r="N901" s="21"/>
      <x:c r="O901" s="26" t="str">
        <x:v>Unique emailed contacts classified interested or relevant question / unique contacts emailed in the same send cohort. Deduplicate across sequence steps; zero denominator is N/A. Keep this email rate separate from all-channel qualified inquiries.</x:v>
      </x:c>
      <x:c r="P901" s="26" t="str">
        <x:v>PDF §10</x:v>
      </x:c>
      <x:c r="Q901" s="2" t="n">
        <x:f>IF(ISNUMBER(H901),1,0)</x:f>
        <x:v>0</x:v>
      </x:c>
    </x:row>
    <x:row r="902" ht="46" customHeight="1">
      <x:c r="A902" s="17" t="n">
        <x:v>46369</x:v>
      </x:c>
      <x:c r="B902" s="2" t="str">
        <x:v>Replies answered within 15 minutes</x:v>
      </x:c>
      <x:c r="C902" s="40" t="n">
        <x:v>1</x:v>
      </x:c>
      <x:c r="D902" s="2" t="str">
        <x:v>Rate</x:v>
      </x:c>
      <x:c r="E902" s="20"/>
      <x:c r="F902" s="20"/>
      <x:c r="G902" s="20"/>
      <x:c r="H902" s="40" t="str">
        <x:f>IF(D902="Rate",IF(COUNT(F902:G902)&lt;2,"",IF(G902=0,"n.a.",F902/G902)),IF(COUNT(E902)=0,"",E902))</x:f>
      </x:c>
      <x:c r="I902" s="40" t="str">
        <x:f>IF(AND(ISNUMBER(H902),ISNUMBER(C902)),H902-C902,"")</x:f>
      </x:c>
      <x:c r="J902" s="2" t="str">
        <x:v>%</x:v>
      </x:c>
      <x:c r="K902" s="2" t="str">
        <x:v>Nova</x:v>
      </x:c>
      <x:c r="L902" s="28" t="str"/>
      <x:c r="M902" s="20"/>
      <x:c r="N902" s="21"/>
      <x:c r="O902"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902" s="26" t="str">
        <x:v>PDF §9; clock convention clarified for tracker</x:v>
      </x:c>
      <x:c r="Q902" s="2" t="n">
        <x:f>IF(ISNUMBER(H902),1,0)</x:f>
        <x:v>0</x:v>
      </x:c>
    </x:row>
    <x:row r="903" ht="46" customHeight="1">
      <x:c r="A903" s="17" t="n">
        <x:v>46369</x:v>
      </x:c>
      <x:c r="B903" s="2" t="str">
        <x:v>Held rate</x:v>
      </x:c>
      <x:c r="C903" s="40" t="n">
        <x:v>0.75</x:v>
      </x:c>
      <x:c r="D903" s="2" t="str">
        <x:v>Rate</x:v>
      </x:c>
      <x:c r="E903" s="20"/>
      <x:c r="F903" s="20"/>
      <x:c r="G903" s="20"/>
      <x:c r="H903" s="40" t="str">
        <x:f>IF(D903="Rate",IF(COUNT(F903:G903)&lt;2,"",IF(G903=0,"n.a.",F903/G903)),IF(COUNT(E903)=0,"",E903))</x:f>
      </x:c>
      <x:c r="I903" s="40" t="str">
        <x:f>IF(AND(ISNUMBER(H903),ISNUMBER(C903)),H903-C903,"")</x:f>
      </x:c>
      <x:c r="J903" s="2" t="str">
        <x:v>%</x:v>
      </x:c>
      <x:c r="K903" s="2" t="str">
        <x:v>Nova</x:v>
      </x:c>
      <x:c r="L903" s="28" t="str"/>
      <x:c r="M903" s="20"/>
      <x:c r="N903" s="21"/>
      <x:c r="O903" s="26" t="str">
        <x:v>Qualified conversations actually held / unique booked conversations whose scheduled time has passed. Exclude upcoming appointments. Rebooking the same opportunity is not a second booking. A zero denominator is N/A.</x:v>
      </x:c>
      <x:c r="P903" s="26" t="str">
        <x:v>PDF §10; due-cohort denominator clarified</x:v>
      </x:c>
      <x:c r="Q903" s="2" t="n">
        <x:f>IF(ISNUMBER(H903),1,0)</x:f>
        <x:v>0</x:v>
      </x:c>
    </x:row>
    <x:row r="904" ht="46" customHeight="1">
      <x:c r="A904" s="17" t="n">
        <x:v>46369</x:v>
      </x:c>
      <x:c r="B904" s="2" t="str">
        <x:v>Positive-to-booked conversion</x:v>
      </x:c>
      <x:c r="C904" s="40" t="n">
        <x:v>0.5</x:v>
      </x:c>
      <x:c r="D904" s="2" t="str">
        <x:v>Rate</x:v>
      </x:c>
      <x:c r="E904" s="20"/>
      <x:c r="F904" s="20"/>
      <x:c r="G904" s="20"/>
      <x:c r="H904" s="40" t="str">
        <x:f>IF(D904="Rate",IF(COUNT(F904:G904)&lt;2,"",IF(G904=0,"n.a.",F904/G904)),IF(COUNT(E904)=0,"",E904))</x:f>
      </x:c>
      <x:c r="I904" s="40" t="str">
        <x:f>IF(AND(ISNUMBER(H904),ISNUMBER(C904)),H904-C904,"")</x:f>
      </x:c>
      <x:c r="J904" s="2" t="str">
        <x:v>%</x:v>
      </x:c>
      <x:c r="K904" s="2" t="str">
        <x:v>Nova</x:v>
      </x:c>
      <x:c r="L904" s="28" t="str"/>
      <x:c r="M904" s="20"/>
      <x:c r="N904" s="21"/>
      <x:c r="O904" s="26" t="str">
        <x:v>Unique email-positive opportunities booked / unique email-positive opportunities in the same reviewed cohort. Use a documented follow-up window. This differs from the all-channel 40-inquiry/20-booking planning assumption. A zero denominator is N/A.</x:v>
      </x:c>
      <x:c r="P904" s="26" t="str">
        <x:v>PDF §9</x:v>
      </x:c>
      <x:c r="Q904" s="2" t="n">
        <x:f>IF(ISNUMBER(H904),1,0)</x:f>
        <x:v>0</x:v>
      </x:c>
    </x:row>
    <x:row r="905" ht="46" customHeight="1">
      <x:c r="A905" s="17" t="n">
        <x:v>46369</x:v>
      </x:c>
      <x:c r="B905" s="2" t="str">
        <x:v>Existing-account referral asks</x:v>
      </x:c>
      <x:c r="C905" s="2" t="n">
        <x:v>41</x:v>
      </x:c>
      <x:c r="D905" s="2" t="str">
        <x:v>Cumulative total</x:v>
      </x:c>
      <x:c r="E905" s="20"/>
      <x:c r="F905" s="20"/>
      <x:c r="G905" s="20"/>
      <x:c r="H905" s="2" t="str">
        <x:f>IF(D905="Rate",IF(COUNT(F905:G905)&lt;2,"",IF(G905=0,"n.a.",F905/G905)),IF(COUNT(E905)=0,"",E905))</x:f>
      </x:c>
      <x:c r="I905" s="2" t="str">
        <x:f>IF(AND(ISNUMBER(H905),ISNUMBER(C905)),H905-C905,"")</x:f>
      </x:c>
      <x:c r="J905" s="2" t="str">
        <x:v>accounts asked</x:v>
      </x:c>
      <x:c r="K905" s="2" t="str">
        <x:v>Maseeha</x:v>
      </x:c>
      <x:c r="L905" s="28" t="str"/>
      <x:c r="M905" s="20"/>
      <x:c r="N905" s="21"/>
      <x:c r="O905" s="26" t="str">
        <x:v>Ask 25 unique A/B accounts (5 A and 20 B) by November 13; proposed pace 35 total by November 20; complete the remaining C accounts to reach 41 total by November 25. One introduction is the ask; asks and received intros are separate counts.</x:v>
      </x:c>
      <x:c r="P905" s="26" t="str">
        <x:v>PDF §16 supplies 25 A/B byNov 14 and 16 C byNov 25; Friday deadline and 35-byNov 20 pace are proposed scheduling allocations.</x:v>
      </x:c>
      <x:c r="Q905" s="2" t="n">
        <x:f>IF(ISNUMBER(H905),1,0)</x:f>
        <x:v>0</x:v>
      </x:c>
    </x:row>
    <x:row r="906" ht="46" customHeight="1">
      <x:c r="A906" s="17" t="n">
        <x:v>46369</x:v>
      </x:c>
      <x:c r="B906" s="2" t="str">
        <x:v>Approved SOPs</x:v>
      </x:c>
      <x:c r="C906" s="2"/>
      <x:c r="D906" s="2" t="str">
        <x:v>Cumulative total</x:v>
      </x:c>
      <x:c r="E906" s="20"/>
      <x:c r="F906" s="20"/>
      <x:c r="G906" s="20"/>
      <x:c r="H906" s="2" t="str">
        <x:f>IF(D906="Rate",IF(COUNT(F906:G906)&lt;2,"",IF(G906=0,"n.a.",F906/G906)),IF(COUNT(E906)=0,"",E906))</x:f>
      </x:c>
      <x:c r="I906" s="2" t="str">
        <x:f>IF(AND(ISNUMBER(H906),ISNUMBER(C906)),H906-C906,"")</x:f>
      </x:c>
      <x:c r="J906" s="2" t="str">
        <x:v>SOPs</x:v>
      </x:c>
      <x:c r="K906" s="2" t="str">
        <x:v>Wyline</x:v>
      </x:c>
      <x:c r="L906" s="28" t="str"/>
      <x:c r="M906" s="20"/>
      <x:c r="N906" s="21"/>
      <x:c r="O906" s="26" t="str">
        <x:v>10 core SOPs plus ADS-01 and SOC-01 additions; approved version and independent-run evidence required.</x:v>
      </x:c>
      <x:c r="P906" s="26" t="str">
        <x:v>PDF §8 with §§17 b–d additions</x:v>
      </x:c>
      <x:c r="Q906" s="2" t="n">
        <x:f>IF(ISNUMBER(H906),1,0)</x:f>
        <x:v>0</x:v>
      </x:c>
    </x:row>
    <x:row r="907" ht="46" customHeight="1">
      <x:c r="A907" s="17" t="n">
        <x:v>46369</x:v>
      </x:c>
      <x:c r="B907" s="2" t="str">
        <x:v>Accepted AI agents</x:v>
      </x:c>
      <x:c r="C907" s="2"/>
      <x:c r="D907" s="2" t="str">
        <x:v>Cumulative total</x:v>
      </x:c>
      <x:c r="E907" s="20"/>
      <x:c r="F907" s="20"/>
      <x:c r="G907" s="20"/>
      <x:c r="H907" s="2" t="str">
        <x:f>IF(D907="Rate",IF(COUNT(F907:G907)&lt;2,"",IF(G907=0,"n.a.",F907/G907)),IF(COUNT(E907)=0,"",E907))</x:f>
      </x:c>
      <x:c r="I907" s="2" t="str">
        <x:f>IF(AND(ISNUMBER(H907),ISNUMBER(C907)),H907-C907,"")</x:f>
      </x:c>
      <x:c r="J907" s="2" t="str">
        <x:v>agents</x:v>
      </x:c>
      <x:c r="K907" s="2" t="str">
        <x:v>Emman</x:v>
      </x:c>
      <x:c r="L907" s="28" t="str"/>
      <x:c r="M907" s="20"/>
      <x:c r="N907" s="21"/>
      <x:c r="O907" s="26" t="str">
        <x:v>Scout, Writer, Inbox, Phone Assist, LinkedIn Assist, Follow-up, Scoreboard and Client Reporter; acceptance evidence required.</x:v>
      </x:c>
      <x:c r="P907" s="26" t="str">
        <x:v>PDF §7</x:v>
      </x:c>
      <x:c r="Q907" s="2" t="n">
        <x:f>IF(ISNUMBER(H907),1,0)</x:f>
        <x:v>0</x:v>
      </x:c>
    </x:row>
    <x:row r="908" ht="46" customHeight="1">
      <x:c r="A908" s="17" t="n">
        <x:v>46370</x:v>
      </x:c>
      <x:c r="B908" s="2" t="str">
        <x:v>Qualified inquiries</x:v>
      </x:c>
      <x:c r="C908" s="2" t="n">
        <x:v>40</x:v>
      </x:c>
      <x:c r="D908" s="2" t="str">
        <x:v>Cumulative total</x:v>
      </x:c>
      <x:c r="E908" s="20"/>
      <x:c r="F908" s="20"/>
      <x:c r="G908" s="20"/>
      <x:c r="H908" s="2" t="str">
        <x:f>IF(D908="Rate",IF(COUNT(F908:G908)&lt;2,"",IF(G908=0,"n.a.",F908/G908)),IF(COUNT(E908)=0,"",E908))</x:f>
      </x:c>
      <x:c r="I908" s="2" t="str">
        <x:f>IF(AND(ISNUMBER(H908),ISNUMBER(C908)),H908-C908,"")</x:f>
      </x:c>
      <x:c r="J908" s="2" t="str">
        <x:v>inquiries</x:v>
      </x:c>
      <x:c r="K908" s="2" t="str">
        <x:v>Nova</x:v>
      </x:c>
      <x:c r="L908" s="28" t="str"/>
      <x:c r="M908" s="20"/>
      <x:c r="N908" s="21"/>
      <x:c r="O908" s="26" t="str">
        <x:v>Unique ICP-matched practices that express relevant interest, need or timing; Nova records practice type, decision-maker access, case volume, service need and readiness within 30–60 days. Raw records, opens and connection accepts do not qualify.</x:v>
      </x:c>
      <x:c r="P908" s="26" t="str">
        <x:v>Original proposal pages 2 and 4 define qualification; 40 by Dec 16 and intermediate pace are newly proposed recovery targets.</x:v>
      </x:c>
      <x:c r="Q908" s="2" t="n">
        <x:f>IF(ISNUMBER(H908),1,0)</x:f>
        <x:v>0</x:v>
      </x:c>
    </x:row>
    <x:row r="909" ht="46" customHeight="1">
      <x:c r="A909" s="17" t="n">
        <x:v>46370</x:v>
      </x:c>
      <x:c r="B909" s="2" t="str">
        <x:v>Qualified conversations booked</x:v>
      </x:c>
      <x:c r="C909" s="2" t="n">
        <x:v>20</x:v>
      </x:c>
      <x:c r="D909" s="2" t="str">
        <x:v>Cumulative total</x:v>
      </x:c>
      <x:c r="E909" s="20"/>
      <x:c r="F909" s="20"/>
      <x:c r="G909" s="20"/>
      <x:c r="H909" s="2" t="str">
        <x:f>IF(D909="Rate",IF(COUNT(F909:G909)&lt;2,"",IF(G909=0,"n.a.",F909/G909)),IF(COUNT(E909)=0,"",E909))</x:f>
      </x:c>
      <x:c r="I909" s="2" t="str">
        <x:f>IF(AND(ISNUMBER(H909),ISNUMBER(C909)),H909-C909,"")</x:f>
      </x:c>
      <x:c r="J909" s="2" t="str">
        <x:v>bookings</x:v>
      </x:c>
      <x:c r="K909" s="2" t="str">
        <x:v>Nova</x:v>
      </x:c>
      <x:c r="L909" s="28" t="str"/>
      <x:c r="M909" s="20"/>
      <x:c r="N909" s="21"/>
      <x:c r="O909" s="26" t="str">
        <x:v>Unique qualified calls/visits booked with Nic; rebooking same opportunity is not a new booking.</x:v>
      </x:c>
      <x:c r="P909" s="26" t="str">
        <x:v>PDF §10; final deadline advanced to user Dec 16</x:v>
      </x:c>
      <x:c r="Q909" s="2" t="n">
        <x:f>IF(ISNUMBER(H909),1,0)</x:f>
        <x:v>0</x:v>
      </x:c>
    </x:row>
    <x:row r="910" ht="46" customHeight="1">
      <x:c r="A910" s="17" t="n">
        <x:v>46370</x:v>
      </x:c>
      <x:c r="B910" s="2" t="str">
        <x:v>Qualified conversations held</x:v>
      </x:c>
      <x:c r="C910" s="2" t="n">
        <x:v>15</x:v>
      </x:c>
      <x:c r="D910" s="2" t="str">
        <x:v>Cumulative total</x:v>
      </x:c>
      <x:c r="E910" s="20"/>
      <x:c r="F910" s="20"/>
      <x:c r="G910" s="20"/>
      <x:c r="H910" s="2" t="str">
        <x:f>IF(D910="Rate",IF(COUNT(F910:G910)&lt;2,"",IF(G910=0,"n.a.",F910/G910)),IF(COUNT(E910)=0,"",E910))</x:f>
      </x:c>
      <x:c r="I910" s="2" t="str">
        <x:f>IF(AND(ISNUMBER(H910),ISNUMBER(C910)),H910-C910,"")</x:f>
      </x:c>
      <x:c r="J910" s="2" t="str">
        <x:v>held</x:v>
      </x:c>
      <x:c r="K910" s="2" t="str">
        <x:v>Nova</x:v>
      </x:c>
      <x:c r="L910" s="28" t="str"/>
      <x:c r="M910" s="20"/>
      <x:c r="N910" s="21"/>
      <x:c r="O910" s="26" t="str">
        <x:v>Completed qualified calls/visits; 6 and 15 are integer planning proxies for 70% of 8 and 75% of 20.</x:v>
      </x:c>
      <x:c r="P910" s="26" t="str">
        <x:v>Derived from source held-rate targets</x:v>
      </x:c>
      <x:c r="Q910" s="2" t="n">
        <x:f>IF(ISNUMBER(H910),1,0)</x:f>
        <x:v>0</x:v>
      </x:c>
    </x:row>
    <x:row r="911" ht="46" customHeight="1">
      <x:c r="A911" s="17" t="n">
        <x:v>46370</x:v>
      </x:c>
      <x:c r="B911" s="2" t="str">
        <x:v>Trial cases received by DSI</x:v>
      </x:c>
      <x:c r="C911" s="2" t="n">
        <x:v>6</x:v>
      </x:c>
      <x:c r="D911" s="2" t="str">
        <x:v>Cumulative total</x:v>
      </x:c>
      <x:c r="E911" s="20"/>
      <x:c r="F911" s="20"/>
      <x:c r="G911" s="20"/>
      <x:c r="H911" s="2" t="str">
        <x:f>IF(D911="Rate",IF(COUNT(F911:G911)&lt;2,"",IF(G911=0,"n.a.",F911/G911)),IF(COUNT(E911)=0,"",E911))</x:f>
      </x:c>
      <x:c r="I911" s="2" t="str">
        <x:f>IF(AND(ISNUMBER(H911),ISNUMBER(C911)),H911-C911,"")</x:f>
      </x:c>
      <x:c r="J911" s="2" t="str">
        <x:v>trials</x:v>
      </x:c>
      <x:c r="K911" s="2" t="str">
        <x:v>Maseeha</x:v>
      </x:c>
      <x:c r="L911" s="28" t="str"/>
      <x:c r="M911" s="20"/>
      <x:c r="N911" s="21"/>
      <x:c r="O911" s="26" t="str">
        <x:v>Practice’s first trial case received by DSI, not merely promised or shipped; subject to Maseeha capacity.</x:v>
      </x:c>
      <x:c r="P911" s="26" t="str">
        <x:v>PDF §10; final deadline advanced to user Dec 16</x:v>
      </x:c>
      <x:c r="Q911" s="2" t="n">
        <x:f>IF(ISNUMBER(H911),1,0)</x:f>
        <x:v>0</x:v>
      </x:c>
    </x:row>
    <x:row r="912" ht="46" customHeight="1">
      <x:c r="A912" s="17" t="n">
        <x:v>46370</x:v>
      </x:c>
      <x:c r="B912" s="2" t="str">
        <x:v>Recurring accounts signed</x:v>
      </x:c>
      <x:c r="C912" s="2"/>
      <x:c r="D912" s="2" t="str">
        <x:v>Cumulative total</x:v>
      </x:c>
      <x:c r="E912" s="20"/>
      <x:c r="F912" s="20"/>
      <x:c r="G912" s="20"/>
      <x:c r="H912" s="2" t="str">
        <x:f>IF(D912="Rate",IF(COUNT(F912:G912)&lt;2,"",IF(G912=0,"n.a.",F912/G912)),IF(COUNT(E912)=0,"",E912))</x:f>
      </x:c>
      <x:c r="I912" s="2" t="str">
        <x:f>IF(AND(ISNUMBER(H912),ISNUMBER(C912)),H912-C912,"")</x:f>
      </x:c>
      <x:c r="J912" s="2" t="str">
        <x:v>accounts</x:v>
      </x:c>
      <x:c r="K912" s="2" t="str">
        <x:v>Nic</x:v>
      </x:c>
      <x:c r="L912" s="28" t="str"/>
      <x:c r="M912" s="20"/>
      <x:c r="N912" s="21"/>
      <x:c r="O912" s="26" t="str">
        <x:v>Plan signed following Day-30 review; only mature trial cohorts eligible. 1–3 is a conditional range.</x:v>
      </x:c>
      <x:c r="P912" s="26" t="str">
        <x:v>PDF §10</x:v>
      </x:c>
      <x:c r="Q912" s="2" t="n">
        <x:f>IF(ISNUMBER(H912),1,0)</x:f>
        <x:v>0</x:v>
      </x:c>
    </x:row>
    <x:row r="913" ht="46" customHeight="1">
      <x:c r="A913" s="17" t="n">
        <x:v>46370</x:v>
      </x:c>
      <x:c r="B913" s="2" t="str">
        <x:v>Referral-sourced bookings</x:v>
      </x:c>
      <x:c r="C913" s="2" t="n">
        <x:v>8</x:v>
      </x:c>
      <x:c r="D913" s="2" t="str">
        <x:v>Cumulative total</x:v>
      </x:c>
      <x:c r="E913" s="20"/>
      <x:c r="F913" s="20"/>
      <x:c r="G913" s="20"/>
      <x:c r="H913" s="2" t="str">
        <x:f>IF(D913="Rate",IF(COUNT(F913:G913)&lt;2,"",IF(G913=0,"n.a.",F913/G913)),IF(COUNT(E913)=0,"",E913))</x:f>
      </x:c>
      <x:c r="I913" s="2" t="str">
        <x:f>IF(AND(ISNUMBER(H913),ISNUMBER(C913)),H913-C913,"")</x:f>
      </x:c>
      <x:c r="J913" s="2" t="str">
        <x:v>bookings</x:v>
      </x:c>
      <x:c r="K913" s="2" t="str">
        <x:v>Nova</x:v>
      </x:c>
      <x:c r="L913" s="28" t="str"/>
      <x:c r="M913" s="20"/>
      <x:c r="N913" s="21"/>
      <x:c r="O913" s="26" t="str">
        <x:v>Subset of booked total with primary Source=Referral; never added on top of all-channel bookings.</x:v>
      </x:c>
      <x:c r="P913" s="26" t="str">
        <x:v>PDF §§10, 16</x:v>
      </x:c>
      <x:c r="Q913" s="2" t="n">
        <x:f>IF(ISNUMBER(H913),1,0)</x:f>
        <x:v>0</x:v>
      </x:c>
    </x:row>
    <x:row r="914" ht="46" customHeight="1">
      <x:c r="A914" s="17" t="n">
        <x:v>46370</x:v>
      </x:c>
      <x:c r="B914" s="2" t="str">
        <x:v>LinkedIn DM-sourced bookings</x:v>
      </x:c>
      <x:c r="C914" s="2" t="n">
        <x:v>8</x:v>
      </x:c>
      <x:c r="D914" s="2" t="str">
        <x:v>Cumulative total</x:v>
      </x:c>
      <x:c r="E914" s="20"/>
      <x:c r="F914" s="20"/>
      <x:c r="G914" s="20"/>
      <x:c r="H914" s="2" t="str">
        <x:f>IF(D914="Rate",IF(COUNT(F914:G914)&lt;2,"",IF(G914=0,"n.a.",F914/G914)),IF(COUNT(E914)=0,"",E914))</x:f>
      </x:c>
      <x:c r="I914" s="2" t="str">
        <x:f>IF(AND(ISNUMBER(H914),ISNUMBER(C914)),H914-C914,"")</x:f>
      </x:c>
      <x:c r="J914" s="2" t="str">
        <x:v>bookings</x:v>
      </x:c>
      <x:c r="K914" s="2" t="str">
        <x:v>Dexter</x:v>
      </x:c>
      <x:c r="L914" s="28" t="str"/>
      <x:c r="M914" s="20"/>
      <x:c r="N914" s="21"/>
      <x:c r="O914" s="26" t="str">
        <x:v>Subset of booked total with primary Source=LinkedIn DM; assists tracked separately.</x:v>
      </x:c>
      <x:c r="P914" s="26" t="str">
        <x:v>PDF §§10, 17 a</x:v>
      </x:c>
      <x:c r="Q914" s="2" t="n">
        <x:f>IF(ISNUMBER(H914),1,0)</x:f>
        <x:v>0</x:v>
      </x:c>
    </x:row>
    <x:row r="915" ht="46" customHeight="1">
      <x:c r="A915" s="17" t="n">
        <x:v>46370</x:v>
      </x:c>
      <x:c r="B915" s="2" t="str">
        <x:v>Verified contacts ready</x:v>
      </x:c>
      <x:c r="C915" s="2" t="n">
        <x:v>750</x:v>
      </x:c>
      <x:c r="D915" s="2" t="str">
        <x:v>Cumulative total</x:v>
      </x:c>
      <x:c r="E915" s="20"/>
      <x:c r="F915" s="20"/>
      <x:c r="G915" s="20"/>
      <x:c r="H915" s="2" t="str">
        <x:f>IF(D915="Rate",IF(COUNT(F915:G915)&lt;2,"",IF(G915=0,"n.a.",F915/G915)),IF(COUNT(E915)=0,"",E915))</x:f>
      </x:c>
      <x:c r="I915" s="2" t="str">
        <x:f>IF(AND(ISNUMBER(H915),ISNUMBER(C915)),H915-C915,"")</x:f>
      </x:c>
      <x:c r="J915" s="2" t="str">
        <x:v>contacts</x:v>
      </x:c>
      <x:c r="K915" s="2" t="str">
        <x:v>Joey</x:v>
      </x:c>
      <x:c r="L915" s="28" t="str"/>
      <x:c r="M915" s="20"/>
      <x:c r="N915" s="21"/>
      <x:c r="O915" s="26" t="str">
        <x:v>Unique contacts passing Scout and loaded in CQL; count once per contact.</x:v>
      </x:c>
      <x:c r="P915" s="26" t="str">
        <x:v>PDF §§10, 14; 750 due Dec 12 moved to Fri Dec 11</x:v>
      </x:c>
      <x:c r="Q915" s="2" t="n">
        <x:f>IF(ISNUMBER(H915),1,0)</x:f>
        <x:v>0</x:v>
      </x:c>
    </x:row>
    <x:row r="916" ht="46" customHeight="1">
      <x:c r="A916" s="17" t="n">
        <x:v>46370</x:v>
      </x:c>
      <x:c r="B916" s="2" t="str">
        <x:v>Permission-based referral introductions</x:v>
      </x:c>
      <x:c r="C916" s="2" t="n">
        <x:v>15</x:v>
      </x:c>
      <x:c r="D916" s="2" t="str">
        <x:v>Cumulative total</x:v>
      </x:c>
      <x:c r="E916" s="20"/>
      <x:c r="F916" s="20"/>
      <x:c r="G916" s="20"/>
      <x:c r="H916" s="2" t="str">
        <x:f>IF(D916="Rate",IF(COUNT(F916:G916)&lt;2,"",IF(G916=0,"n.a.",F916/G916)),IF(COUNT(E916)=0,"",E916))</x:f>
      </x:c>
      <x:c r="I916" s="2" t="str">
        <x:f>IF(AND(ISNUMBER(H916),ISNUMBER(C916)),H916-C916,"")</x:f>
      </x:c>
      <x:c r="J916" s="2" t="str">
        <x:v>introductions</x:v>
      </x:c>
      <x:c r="K916" s="2" t="str">
        <x:v>Maseeha</x:v>
      </x:c>
      <x:c r="L916" s="28" t="str"/>
      <x:c r="M916" s="20"/>
      <x:c r="N916" s="21"/>
      <x:c r="O916" s="26" t="str">
        <x:v>Unique introductions with consent and referrer recorded, verified by Maseeha within 2 business days.</x:v>
      </x:c>
      <x:c r="P916" s="26" t="str">
        <x:v>PDF §§10, 16</x:v>
      </x:c>
      <x:c r="Q916" s="2" t="n">
        <x:f>IF(ISNUMBER(H916),1,0)</x:f>
        <x:v>0</x:v>
      </x:c>
    </x:row>
    <x:row r="917" ht="46" customHeight="1">
      <x:c r="A917" s="17" t="n">
        <x:v>46370</x:v>
      </x:c>
      <x:c r="B917" s="2" t="str">
        <x:v>Human reply rate</x:v>
      </x:c>
      <x:c r="C917" s="40" t="n">
        <x:v>0.03</x:v>
      </x:c>
      <x:c r="D917" s="2" t="str">
        <x:v>Rate</x:v>
      </x:c>
      <x:c r="E917" s="20"/>
      <x:c r="F917" s="20"/>
      <x:c r="G917" s="20"/>
      <x:c r="H917" s="40" t="str">
        <x:f>IF(D917="Rate",IF(COUNT(F917:G917)&lt;2,"",IF(G917=0,"n.a.",F917/G917)),IF(COUNT(E917)=0,"",E917))</x:f>
      </x:c>
      <x:c r="I917" s="40" t="str">
        <x:f>IF(AND(ISNUMBER(H917),ISNUMBER(C917)),H917-C917,"")</x:f>
      </x:c>
      <x:c r="J917" s="2" t="str">
        <x:v>%</x:v>
      </x:c>
      <x:c r="K917" s="2" t="str">
        <x:v>Kenneth</x:v>
      </x:c>
      <x:c r="L917" s="28" t="str"/>
      <x:c r="M917" s="20"/>
      <x:c r="N917" s="21"/>
      <x:c r="O917" s="26" t="str">
        <x:v>Unique emailed contacts that give a qualifying human reply / unique contacts emailed in the same send cohort. Exclude OOO, auto-replies, bounces and unsubscribe-only replies. Deduplicate contacts across sequence steps; zero denominator is N/A.</x:v>
      </x:c>
      <x:c r="P917" s="26" t="str">
        <x:v>PDF §10</x:v>
      </x:c>
      <x:c r="Q917" s="2" t="n">
        <x:f>IF(ISNUMBER(H917),1,0)</x:f>
        <x:v>0</x:v>
      </x:c>
    </x:row>
    <x:row r="918" ht="46" customHeight="1">
      <x:c r="A918" s="17" t="n">
        <x:v>46370</x:v>
      </x:c>
      <x:c r="B918" s="2" t="str">
        <x:v>Positive reply rate</x:v>
      </x:c>
      <x:c r="C918" s="40" t="n">
        <x:v>0.015</x:v>
      </x:c>
      <x:c r="D918" s="2" t="str">
        <x:v>Rate</x:v>
      </x:c>
      <x:c r="E918" s="20"/>
      <x:c r="F918" s="20"/>
      <x:c r="G918" s="20"/>
      <x:c r="H918" s="40" t="str">
        <x:f>IF(D918="Rate",IF(COUNT(F918:G918)&lt;2,"",IF(G918=0,"n.a.",F918/G918)),IF(COUNT(E918)=0,"",E918))</x:f>
      </x:c>
      <x:c r="I918" s="40" t="str">
        <x:f>IF(AND(ISNUMBER(H918),ISNUMBER(C918)),H918-C918,"")</x:f>
      </x:c>
      <x:c r="J918" s="2" t="str">
        <x:v>%</x:v>
      </x:c>
      <x:c r="K918" s="2" t="str">
        <x:v>Kenneth</x:v>
      </x:c>
      <x:c r="L918" s="28" t="str"/>
      <x:c r="M918" s="20"/>
      <x:c r="N918" s="21"/>
      <x:c r="O918" s="26" t="str">
        <x:v>Unique emailed contacts classified interested or relevant question / unique contacts emailed in the same send cohort. Deduplicate across sequence steps; zero denominator is N/A. Keep this email rate separate from all-channel qualified inquiries.</x:v>
      </x:c>
      <x:c r="P918" s="26" t="str">
        <x:v>PDF §10</x:v>
      </x:c>
      <x:c r="Q918" s="2" t="n">
        <x:f>IF(ISNUMBER(H918),1,0)</x:f>
        <x:v>0</x:v>
      </x:c>
    </x:row>
    <x:row r="919" ht="46" customHeight="1">
      <x:c r="A919" s="17" t="n">
        <x:v>46370</x:v>
      </x:c>
      <x:c r="B919" s="2" t="str">
        <x:v>Replies answered within 15 minutes</x:v>
      </x:c>
      <x:c r="C919" s="40" t="n">
        <x:v>1</x:v>
      </x:c>
      <x:c r="D919" s="2" t="str">
        <x:v>Rate</x:v>
      </x:c>
      <x:c r="E919" s="20"/>
      <x:c r="F919" s="20"/>
      <x:c r="G919" s="20"/>
      <x:c r="H919" s="40" t="str">
        <x:f>IF(D919="Rate",IF(COUNT(F919:G919)&lt;2,"",IF(G919=0,"n.a.",F919/G919)),IF(COUNT(E919)=0,"",E919))</x:f>
      </x:c>
      <x:c r="I919" s="40" t="str">
        <x:f>IF(AND(ISNUMBER(H919),ISNUMBER(C919)),H919-C919,"")</x:f>
      </x:c>
      <x:c r="J919" s="2" t="str">
        <x:v>%</x:v>
      </x:c>
      <x:c r="K919" s="2" t="str">
        <x:v>Nova</x:v>
      </x:c>
      <x:c r="L919" s="28" t="str"/>
      <x:c r="M919" s="20"/>
      <x:c r="N919" s="21"/>
      <x:c r="O919"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919" s="26" t="str">
        <x:v>PDF §9; clock convention clarified for tracker</x:v>
      </x:c>
      <x:c r="Q919" s="2" t="n">
        <x:f>IF(ISNUMBER(H919),1,0)</x:f>
        <x:v>0</x:v>
      </x:c>
    </x:row>
    <x:row r="920" ht="46" customHeight="1">
      <x:c r="A920" s="17" t="n">
        <x:v>46370</x:v>
      </x:c>
      <x:c r="B920" s="2" t="str">
        <x:v>Held rate</x:v>
      </x:c>
      <x:c r="C920" s="40" t="n">
        <x:v>0.75</x:v>
      </x:c>
      <x:c r="D920" s="2" t="str">
        <x:v>Rate</x:v>
      </x:c>
      <x:c r="E920" s="20"/>
      <x:c r="F920" s="20"/>
      <x:c r="G920" s="20"/>
      <x:c r="H920" s="40" t="str">
        <x:f>IF(D920="Rate",IF(COUNT(F920:G920)&lt;2,"",IF(G920=0,"n.a.",F920/G920)),IF(COUNT(E920)=0,"",E920))</x:f>
      </x:c>
      <x:c r="I920" s="40" t="str">
        <x:f>IF(AND(ISNUMBER(H920),ISNUMBER(C920)),H920-C920,"")</x:f>
      </x:c>
      <x:c r="J920" s="2" t="str">
        <x:v>%</x:v>
      </x:c>
      <x:c r="K920" s="2" t="str">
        <x:v>Nova</x:v>
      </x:c>
      <x:c r="L920" s="28" t="str"/>
      <x:c r="M920" s="20"/>
      <x:c r="N920" s="21"/>
      <x:c r="O920" s="26" t="str">
        <x:v>Qualified conversations actually held / unique booked conversations whose scheduled time has passed. Exclude upcoming appointments. Rebooking the same opportunity is not a second booking. A zero denominator is N/A.</x:v>
      </x:c>
      <x:c r="P920" s="26" t="str">
        <x:v>PDF §10; due-cohort denominator clarified</x:v>
      </x:c>
      <x:c r="Q920" s="2" t="n">
        <x:f>IF(ISNUMBER(H920),1,0)</x:f>
        <x:v>0</x:v>
      </x:c>
    </x:row>
    <x:row r="921" ht="46" customHeight="1">
      <x:c r="A921" s="17" t="n">
        <x:v>46370</x:v>
      </x:c>
      <x:c r="B921" s="2" t="str">
        <x:v>Positive-to-booked conversion</x:v>
      </x:c>
      <x:c r="C921" s="40" t="n">
        <x:v>0.5</x:v>
      </x:c>
      <x:c r="D921" s="2" t="str">
        <x:v>Rate</x:v>
      </x:c>
      <x:c r="E921" s="20"/>
      <x:c r="F921" s="20"/>
      <x:c r="G921" s="20"/>
      <x:c r="H921" s="40" t="str">
        <x:f>IF(D921="Rate",IF(COUNT(F921:G921)&lt;2,"",IF(G921=0,"n.a.",F921/G921)),IF(COUNT(E921)=0,"",E921))</x:f>
      </x:c>
      <x:c r="I921" s="40" t="str">
        <x:f>IF(AND(ISNUMBER(H921),ISNUMBER(C921)),H921-C921,"")</x:f>
      </x:c>
      <x:c r="J921" s="2" t="str">
        <x:v>%</x:v>
      </x:c>
      <x:c r="K921" s="2" t="str">
        <x:v>Nova</x:v>
      </x:c>
      <x:c r="L921" s="28" t="str"/>
      <x:c r="M921" s="20"/>
      <x:c r="N921" s="21"/>
      <x:c r="O921" s="26" t="str">
        <x:v>Unique email-positive opportunities booked / unique email-positive opportunities in the same reviewed cohort. Use a documented follow-up window. This differs from the all-channel 40-inquiry/20-booking planning assumption. A zero denominator is N/A.</x:v>
      </x:c>
      <x:c r="P921" s="26" t="str">
        <x:v>PDF §9</x:v>
      </x:c>
      <x:c r="Q921" s="2" t="n">
        <x:f>IF(ISNUMBER(H921),1,0)</x:f>
        <x:v>0</x:v>
      </x:c>
    </x:row>
    <x:row r="922" ht="46" customHeight="1">
      <x:c r="A922" s="17" t="n">
        <x:v>46370</x:v>
      </x:c>
      <x:c r="B922" s="2" t="str">
        <x:v>Existing-account referral asks</x:v>
      </x:c>
      <x:c r="C922" s="2" t="n">
        <x:v>41</x:v>
      </x:c>
      <x:c r="D922" s="2" t="str">
        <x:v>Cumulative total</x:v>
      </x:c>
      <x:c r="E922" s="20"/>
      <x:c r="F922" s="20"/>
      <x:c r="G922" s="20"/>
      <x:c r="H922" s="2" t="str">
        <x:f>IF(D922="Rate",IF(COUNT(F922:G922)&lt;2,"",IF(G922=0,"n.a.",F922/G922)),IF(COUNT(E922)=0,"",E922))</x:f>
      </x:c>
      <x:c r="I922" s="2" t="str">
        <x:f>IF(AND(ISNUMBER(H922),ISNUMBER(C922)),H922-C922,"")</x:f>
      </x:c>
      <x:c r="J922" s="2" t="str">
        <x:v>accounts asked</x:v>
      </x:c>
      <x:c r="K922" s="2" t="str">
        <x:v>Maseeha</x:v>
      </x:c>
      <x:c r="L922" s="28" t="str"/>
      <x:c r="M922" s="20"/>
      <x:c r="N922" s="21"/>
      <x:c r="O922" s="26" t="str">
        <x:v>Ask 25 unique A/B accounts (5 A and 20 B) by November 13; proposed pace 35 total by November 20; complete the remaining C accounts to reach 41 total by November 25. One introduction is the ask; asks and received intros are separate counts.</x:v>
      </x:c>
      <x:c r="P922" s="26" t="str">
        <x:v>PDF §16 supplies 25 A/B byNov 14 and 16 C byNov 25; Friday deadline and 35-byNov 20 pace are proposed scheduling allocations.</x:v>
      </x:c>
      <x:c r="Q922" s="2" t="n">
        <x:f>IF(ISNUMBER(H922),1,0)</x:f>
        <x:v>0</x:v>
      </x:c>
    </x:row>
    <x:row r="923" ht="46" customHeight="1">
      <x:c r="A923" s="17" t="n">
        <x:v>46370</x:v>
      </x:c>
      <x:c r="B923" s="2" t="str">
        <x:v>Approved SOPs</x:v>
      </x:c>
      <x:c r="C923" s="2"/>
      <x:c r="D923" s="2" t="str">
        <x:v>Cumulative total</x:v>
      </x:c>
      <x:c r="E923" s="20"/>
      <x:c r="F923" s="20"/>
      <x:c r="G923" s="20"/>
      <x:c r="H923" s="2" t="str">
        <x:f>IF(D923="Rate",IF(COUNT(F923:G923)&lt;2,"",IF(G923=0,"n.a.",F923/G923)),IF(COUNT(E923)=0,"",E923))</x:f>
      </x:c>
      <x:c r="I923" s="2" t="str">
        <x:f>IF(AND(ISNUMBER(H923),ISNUMBER(C923)),H923-C923,"")</x:f>
      </x:c>
      <x:c r="J923" s="2" t="str">
        <x:v>SOPs</x:v>
      </x:c>
      <x:c r="K923" s="2" t="str">
        <x:v>Wyline</x:v>
      </x:c>
      <x:c r="L923" s="28" t="str"/>
      <x:c r="M923" s="20"/>
      <x:c r="N923" s="21"/>
      <x:c r="O923" s="26" t="str">
        <x:v>10 core SOPs plus ADS-01 and SOC-01 additions; approved version and independent-run evidence required.</x:v>
      </x:c>
      <x:c r="P923" s="26" t="str">
        <x:v>PDF §8 with §§17 b–d additions</x:v>
      </x:c>
      <x:c r="Q923" s="2" t="n">
        <x:f>IF(ISNUMBER(H923),1,0)</x:f>
        <x:v>0</x:v>
      </x:c>
    </x:row>
    <x:row r="924" ht="46" customHeight="1">
      <x:c r="A924" s="17" t="n">
        <x:v>46370</x:v>
      </x:c>
      <x:c r="B924" s="2" t="str">
        <x:v>Accepted AI agents</x:v>
      </x:c>
      <x:c r="C924" s="2"/>
      <x:c r="D924" s="2" t="str">
        <x:v>Cumulative total</x:v>
      </x:c>
      <x:c r="E924" s="20"/>
      <x:c r="F924" s="20"/>
      <x:c r="G924" s="20"/>
      <x:c r="H924" s="2" t="str">
        <x:f>IF(D924="Rate",IF(COUNT(F924:G924)&lt;2,"",IF(G924=0,"n.a.",F924/G924)),IF(COUNT(E924)=0,"",E924))</x:f>
      </x:c>
      <x:c r="I924" s="2" t="str">
        <x:f>IF(AND(ISNUMBER(H924),ISNUMBER(C924)),H924-C924,"")</x:f>
      </x:c>
      <x:c r="J924" s="2" t="str">
        <x:v>agents</x:v>
      </x:c>
      <x:c r="K924" s="2" t="str">
        <x:v>Emman</x:v>
      </x:c>
      <x:c r="L924" s="28" t="str"/>
      <x:c r="M924" s="20"/>
      <x:c r="N924" s="21"/>
      <x:c r="O924" s="26" t="str">
        <x:v>Scout, Writer, Inbox, Phone Assist, LinkedIn Assist, Follow-up, Scoreboard and Client Reporter; acceptance evidence required.</x:v>
      </x:c>
      <x:c r="P924" s="26" t="str">
        <x:v>PDF §7</x:v>
      </x:c>
      <x:c r="Q924" s="2" t="n">
        <x:f>IF(ISNUMBER(H924),1,0)</x:f>
        <x:v>0</x:v>
      </x:c>
    </x:row>
    <x:row r="925" ht="46" customHeight="1">
      <x:c r="A925" s="17" t="n">
        <x:v>46371</x:v>
      </x:c>
      <x:c r="B925" s="2" t="str">
        <x:v>Qualified inquiries</x:v>
      </x:c>
      <x:c r="C925" s="2" t="n">
        <x:v>40</x:v>
      </x:c>
      <x:c r="D925" s="2" t="str">
        <x:v>Cumulative total</x:v>
      </x:c>
      <x:c r="E925" s="20"/>
      <x:c r="F925" s="20"/>
      <x:c r="G925" s="20"/>
      <x:c r="H925" s="2" t="str">
        <x:f>IF(D925="Rate",IF(COUNT(F925:G925)&lt;2,"",IF(G925=0,"n.a.",F925/G925)),IF(COUNT(E925)=0,"",E925))</x:f>
      </x:c>
      <x:c r="I925" s="2" t="str">
        <x:f>IF(AND(ISNUMBER(H925),ISNUMBER(C925)),H925-C925,"")</x:f>
      </x:c>
      <x:c r="J925" s="2" t="str">
        <x:v>inquiries</x:v>
      </x:c>
      <x:c r="K925" s="2" t="str">
        <x:v>Nova</x:v>
      </x:c>
      <x:c r="L925" s="28" t="str"/>
      <x:c r="M925" s="20"/>
      <x:c r="N925" s="21"/>
      <x:c r="O925" s="26" t="str">
        <x:v>Unique ICP-matched practices that express relevant interest, need or timing; Nova records practice type, decision-maker access, case volume, service need and readiness within 30–60 days. Raw records, opens and connection accepts do not qualify.</x:v>
      </x:c>
      <x:c r="P925" s="26" t="str">
        <x:v>Original proposal pages 2 and 4 define qualification; 40 by Dec 16 and intermediate pace are newly proposed recovery targets.</x:v>
      </x:c>
      <x:c r="Q925" s="2" t="n">
        <x:f>IF(ISNUMBER(H925),1,0)</x:f>
        <x:v>0</x:v>
      </x:c>
    </x:row>
    <x:row r="926" ht="46" customHeight="1">
      <x:c r="A926" s="17" t="n">
        <x:v>46371</x:v>
      </x:c>
      <x:c r="B926" s="2" t="str">
        <x:v>Qualified conversations booked</x:v>
      </x:c>
      <x:c r="C926" s="2" t="n">
        <x:v>20</x:v>
      </x:c>
      <x:c r="D926" s="2" t="str">
        <x:v>Cumulative total</x:v>
      </x:c>
      <x:c r="E926" s="20"/>
      <x:c r="F926" s="20"/>
      <x:c r="G926" s="20"/>
      <x:c r="H926" s="2" t="str">
        <x:f>IF(D926="Rate",IF(COUNT(F926:G926)&lt;2,"",IF(G926=0,"n.a.",F926/G926)),IF(COUNT(E926)=0,"",E926))</x:f>
      </x:c>
      <x:c r="I926" s="2" t="str">
        <x:f>IF(AND(ISNUMBER(H926),ISNUMBER(C926)),H926-C926,"")</x:f>
      </x:c>
      <x:c r="J926" s="2" t="str">
        <x:v>bookings</x:v>
      </x:c>
      <x:c r="K926" s="2" t="str">
        <x:v>Nova</x:v>
      </x:c>
      <x:c r="L926" s="28" t="str"/>
      <x:c r="M926" s="20"/>
      <x:c r="N926" s="21"/>
      <x:c r="O926" s="26" t="str">
        <x:v>Unique qualified calls/visits booked with Nic; rebooking same opportunity is not a new booking.</x:v>
      </x:c>
      <x:c r="P926" s="26" t="str">
        <x:v>PDF §10; final deadline advanced to user Dec 16</x:v>
      </x:c>
      <x:c r="Q926" s="2" t="n">
        <x:f>IF(ISNUMBER(H926),1,0)</x:f>
        <x:v>0</x:v>
      </x:c>
    </x:row>
    <x:row r="927" ht="46" customHeight="1">
      <x:c r="A927" s="17" t="n">
        <x:v>46371</x:v>
      </x:c>
      <x:c r="B927" s="2" t="str">
        <x:v>Qualified conversations held</x:v>
      </x:c>
      <x:c r="C927" s="2" t="n">
        <x:v>15</x:v>
      </x:c>
      <x:c r="D927" s="2" t="str">
        <x:v>Cumulative total</x:v>
      </x:c>
      <x:c r="E927" s="20"/>
      <x:c r="F927" s="20"/>
      <x:c r="G927" s="20"/>
      <x:c r="H927" s="2" t="str">
        <x:f>IF(D927="Rate",IF(COUNT(F927:G927)&lt;2,"",IF(G927=0,"n.a.",F927/G927)),IF(COUNT(E927)=0,"",E927))</x:f>
      </x:c>
      <x:c r="I927" s="2" t="str">
        <x:f>IF(AND(ISNUMBER(H927),ISNUMBER(C927)),H927-C927,"")</x:f>
      </x:c>
      <x:c r="J927" s="2" t="str">
        <x:v>held</x:v>
      </x:c>
      <x:c r="K927" s="2" t="str">
        <x:v>Nova</x:v>
      </x:c>
      <x:c r="L927" s="28" t="str"/>
      <x:c r="M927" s="20"/>
      <x:c r="N927" s="21"/>
      <x:c r="O927" s="26" t="str">
        <x:v>Completed qualified calls/visits; 6 and 15 are integer planning proxies for 70% of 8 and 75% of 20.</x:v>
      </x:c>
      <x:c r="P927" s="26" t="str">
        <x:v>Derived from source held-rate targets</x:v>
      </x:c>
      <x:c r="Q927" s="2" t="n">
        <x:f>IF(ISNUMBER(H927),1,0)</x:f>
        <x:v>0</x:v>
      </x:c>
    </x:row>
    <x:row r="928" ht="46" customHeight="1">
      <x:c r="A928" s="17" t="n">
        <x:v>46371</x:v>
      </x:c>
      <x:c r="B928" s="2" t="str">
        <x:v>Trial cases received by DSI</x:v>
      </x:c>
      <x:c r="C928" s="2" t="n">
        <x:v>6</x:v>
      </x:c>
      <x:c r="D928" s="2" t="str">
        <x:v>Cumulative total</x:v>
      </x:c>
      <x:c r="E928" s="20"/>
      <x:c r="F928" s="20"/>
      <x:c r="G928" s="20"/>
      <x:c r="H928" s="2" t="str">
        <x:f>IF(D928="Rate",IF(COUNT(F928:G928)&lt;2,"",IF(G928=0,"n.a.",F928/G928)),IF(COUNT(E928)=0,"",E928))</x:f>
      </x:c>
      <x:c r="I928" s="2" t="str">
        <x:f>IF(AND(ISNUMBER(H928),ISNUMBER(C928)),H928-C928,"")</x:f>
      </x:c>
      <x:c r="J928" s="2" t="str">
        <x:v>trials</x:v>
      </x:c>
      <x:c r="K928" s="2" t="str">
        <x:v>Maseeha</x:v>
      </x:c>
      <x:c r="L928" s="28" t="str"/>
      <x:c r="M928" s="20"/>
      <x:c r="N928" s="21"/>
      <x:c r="O928" s="26" t="str">
        <x:v>Practice’s first trial case received by DSI, not merely promised or shipped; subject to Maseeha capacity.</x:v>
      </x:c>
      <x:c r="P928" s="26" t="str">
        <x:v>PDF §10; final deadline advanced to user Dec 16</x:v>
      </x:c>
      <x:c r="Q928" s="2" t="n">
        <x:f>IF(ISNUMBER(H928),1,0)</x:f>
        <x:v>0</x:v>
      </x:c>
    </x:row>
    <x:row r="929" ht="46" customHeight="1">
      <x:c r="A929" s="17" t="n">
        <x:v>46371</x:v>
      </x:c>
      <x:c r="B929" s="2" t="str">
        <x:v>Recurring accounts signed</x:v>
      </x:c>
      <x:c r="C929" s="2"/>
      <x:c r="D929" s="2" t="str">
        <x:v>Cumulative total</x:v>
      </x:c>
      <x:c r="E929" s="20"/>
      <x:c r="F929" s="20"/>
      <x:c r="G929" s="20"/>
      <x:c r="H929" s="2" t="str">
        <x:f>IF(D929="Rate",IF(COUNT(F929:G929)&lt;2,"",IF(G929=0,"n.a.",F929/G929)),IF(COUNT(E929)=0,"",E929))</x:f>
      </x:c>
      <x:c r="I929" s="2" t="str">
        <x:f>IF(AND(ISNUMBER(H929),ISNUMBER(C929)),H929-C929,"")</x:f>
      </x:c>
      <x:c r="J929" s="2" t="str">
        <x:v>accounts</x:v>
      </x:c>
      <x:c r="K929" s="2" t="str">
        <x:v>Nic</x:v>
      </x:c>
      <x:c r="L929" s="28" t="str"/>
      <x:c r="M929" s="20"/>
      <x:c r="N929" s="21"/>
      <x:c r="O929" s="26" t="str">
        <x:v>Plan signed following Day-30 review; only mature trial cohorts eligible. 1–3 is a conditional range.</x:v>
      </x:c>
      <x:c r="P929" s="26" t="str">
        <x:v>PDF §10</x:v>
      </x:c>
      <x:c r="Q929" s="2" t="n">
        <x:f>IF(ISNUMBER(H929),1,0)</x:f>
        <x:v>0</x:v>
      </x:c>
    </x:row>
    <x:row r="930" ht="46" customHeight="1">
      <x:c r="A930" s="17" t="n">
        <x:v>46371</x:v>
      </x:c>
      <x:c r="B930" s="2" t="str">
        <x:v>Referral-sourced bookings</x:v>
      </x:c>
      <x:c r="C930" s="2" t="n">
        <x:v>8</x:v>
      </x:c>
      <x:c r="D930" s="2" t="str">
        <x:v>Cumulative total</x:v>
      </x:c>
      <x:c r="E930" s="20"/>
      <x:c r="F930" s="20"/>
      <x:c r="G930" s="20"/>
      <x:c r="H930" s="2" t="str">
        <x:f>IF(D930="Rate",IF(COUNT(F930:G930)&lt;2,"",IF(G930=0,"n.a.",F930/G930)),IF(COUNT(E930)=0,"",E930))</x:f>
      </x:c>
      <x:c r="I930" s="2" t="str">
        <x:f>IF(AND(ISNUMBER(H930),ISNUMBER(C930)),H930-C930,"")</x:f>
      </x:c>
      <x:c r="J930" s="2" t="str">
        <x:v>bookings</x:v>
      </x:c>
      <x:c r="K930" s="2" t="str">
        <x:v>Nova</x:v>
      </x:c>
      <x:c r="L930" s="28" t="str"/>
      <x:c r="M930" s="20"/>
      <x:c r="N930" s="21"/>
      <x:c r="O930" s="26" t="str">
        <x:v>Subset of booked total with primary Source=Referral; never added on top of all-channel bookings.</x:v>
      </x:c>
      <x:c r="P930" s="26" t="str">
        <x:v>PDF §§10, 16</x:v>
      </x:c>
      <x:c r="Q930" s="2" t="n">
        <x:f>IF(ISNUMBER(H930),1,0)</x:f>
        <x:v>0</x:v>
      </x:c>
    </x:row>
    <x:row r="931" ht="46" customHeight="1">
      <x:c r="A931" s="17" t="n">
        <x:v>46371</x:v>
      </x:c>
      <x:c r="B931" s="2" t="str">
        <x:v>LinkedIn DM-sourced bookings</x:v>
      </x:c>
      <x:c r="C931" s="2" t="n">
        <x:v>8</x:v>
      </x:c>
      <x:c r="D931" s="2" t="str">
        <x:v>Cumulative total</x:v>
      </x:c>
      <x:c r="E931" s="20"/>
      <x:c r="F931" s="20"/>
      <x:c r="G931" s="20"/>
      <x:c r="H931" s="2" t="str">
        <x:f>IF(D931="Rate",IF(COUNT(F931:G931)&lt;2,"",IF(G931=0,"n.a.",F931/G931)),IF(COUNT(E931)=0,"",E931))</x:f>
      </x:c>
      <x:c r="I931" s="2" t="str">
        <x:f>IF(AND(ISNUMBER(H931),ISNUMBER(C931)),H931-C931,"")</x:f>
      </x:c>
      <x:c r="J931" s="2" t="str">
        <x:v>bookings</x:v>
      </x:c>
      <x:c r="K931" s="2" t="str">
        <x:v>Dexter</x:v>
      </x:c>
      <x:c r="L931" s="28" t="str"/>
      <x:c r="M931" s="20"/>
      <x:c r="N931" s="21"/>
      <x:c r="O931" s="26" t="str">
        <x:v>Subset of booked total with primary Source=LinkedIn DM; assists tracked separately.</x:v>
      </x:c>
      <x:c r="P931" s="26" t="str">
        <x:v>PDF §§10, 17 a</x:v>
      </x:c>
      <x:c r="Q931" s="2" t="n">
        <x:f>IF(ISNUMBER(H931),1,0)</x:f>
        <x:v>0</x:v>
      </x:c>
    </x:row>
    <x:row r="932" ht="46" customHeight="1">
      <x:c r="A932" s="17" t="n">
        <x:v>46371</x:v>
      </x:c>
      <x:c r="B932" s="2" t="str">
        <x:v>Verified contacts ready</x:v>
      </x:c>
      <x:c r="C932" s="2" t="n">
        <x:v>750</x:v>
      </x:c>
      <x:c r="D932" s="2" t="str">
        <x:v>Cumulative total</x:v>
      </x:c>
      <x:c r="E932" s="20"/>
      <x:c r="F932" s="20"/>
      <x:c r="G932" s="20"/>
      <x:c r="H932" s="2" t="str">
        <x:f>IF(D932="Rate",IF(COUNT(F932:G932)&lt;2,"",IF(G932=0,"n.a.",F932/G932)),IF(COUNT(E932)=0,"",E932))</x:f>
      </x:c>
      <x:c r="I932" s="2" t="str">
        <x:f>IF(AND(ISNUMBER(H932),ISNUMBER(C932)),H932-C932,"")</x:f>
      </x:c>
      <x:c r="J932" s="2" t="str">
        <x:v>contacts</x:v>
      </x:c>
      <x:c r="K932" s="2" t="str">
        <x:v>Joey</x:v>
      </x:c>
      <x:c r="L932" s="28" t="str"/>
      <x:c r="M932" s="20"/>
      <x:c r="N932" s="21"/>
      <x:c r="O932" s="26" t="str">
        <x:v>Unique contacts passing Scout and loaded in CQL; count once per contact.</x:v>
      </x:c>
      <x:c r="P932" s="26" t="str">
        <x:v>PDF §§10, 14; 750 due Dec 12 moved to Fri Dec 11</x:v>
      </x:c>
      <x:c r="Q932" s="2" t="n">
        <x:f>IF(ISNUMBER(H932),1,0)</x:f>
        <x:v>0</x:v>
      </x:c>
    </x:row>
    <x:row r="933" ht="46" customHeight="1">
      <x:c r="A933" s="17" t="n">
        <x:v>46371</x:v>
      </x:c>
      <x:c r="B933" s="2" t="str">
        <x:v>Permission-based referral introductions</x:v>
      </x:c>
      <x:c r="C933" s="2" t="n">
        <x:v>15</x:v>
      </x:c>
      <x:c r="D933" s="2" t="str">
        <x:v>Cumulative total</x:v>
      </x:c>
      <x:c r="E933" s="20"/>
      <x:c r="F933" s="20"/>
      <x:c r="G933" s="20"/>
      <x:c r="H933" s="2" t="str">
        <x:f>IF(D933="Rate",IF(COUNT(F933:G933)&lt;2,"",IF(G933=0,"n.a.",F933/G933)),IF(COUNT(E933)=0,"",E933))</x:f>
      </x:c>
      <x:c r="I933" s="2" t="str">
        <x:f>IF(AND(ISNUMBER(H933),ISNUMBER(C933)),H933-C933,"")</x:f>
      </x:c>
      <x:c r="J933" s="2" t="str">
        <x:v>introductions</x:v>
      </x:c>
      <x:c r="K933" s="2" t="str">
        <x:v>Maseeha</x:v>
      </x:c>
      <x:c r="L933" s="28" t="str"/>
      <x:c r="M933" s="20"/>
      <x:c r="N933" s="21"/>
      <x:c r="O933" s="26" t="str">
        <x:v>Unique introductions with consent and referrer recorded, verified by Maseeha within 2 business days.</x:v>
      </x:c>
      <x:c r="P933" s="26" t="str">
        <x:v>PDF §§10, 16</x:v>
      </x:c>
      <x:c r="Q933" s="2" t="n">
        <x:f>IF(ISNUMBER(H933),1,0)</x:f>
        <x:v>0</x:v>
      </x:c>
    </x:row>
    <x:row r="934" ht="46" customHeight="1">
      <x:c r="A934" s="17" t="n">
        <x:v>46371</x:v>
      </x:c>
      <x:c r="B934" s="2" t="str">
        <x:v>Human reply rate</x:v>
      </x:c>
      <x:c r="C934" s="40" t="n">
        <x:v>0.03</x:v>
      </x:c>
      <x:c r="D934" s="2" t="str">
        <x:v>Rate</x:v>
      </x:c>
      <x:c r="E934" s="20"/>
      <x:c r="F934" s="20"/>
      <x:c r="G934" s="20"/>
      <x:c r="H934" s="40" t="str">
        <x:f>IF(D934="Rate",IF(COUNT(F934:G934)&lt;2,"",IF(G934=0,"n.a.",F934/G934)),IF(COUNT(E934)=0,"",E934))</x:f>
      </x:c>
      <x:c r="I934" s="40" t="str">
        <x:f>IF(AND(ISNUMBER(H934),ISNUMBER(C934)),H934-C934,"")</x:f>
      </x:c>
      <x:c r="J934" s="2" t="str">
        <x:v>%</x:v>
      </x:c>
      <x:c r="K934" s="2" t="str">
        <x:v>Kenneth</x:v>
      </x:c>
      <x:c r="L934" s="28" t="str"/>
      <x:c r="M934" s="20"/>
      <x:c r="N934" s="21"/>
      <x:c r="O934" s="26" t="str">
        <x:v>Unique emailed contacts that give a qualifying human reply / unique contacts emailed in the same send cohort. Exclude OOO, auto-replies, bounces and unsubscribe-only replies. Deduplicate contacts across sequence steps; zero denominator is N/A.</x:v>
      </x:c>
      <x:c r="P934" s="26" t="str">
        <x:v>PDF §10</x:v>
      </x:c>
      <x:c r="Q934" s="2" t="n">
        <x:f>IF(ISNUMBER(H934),1,0)</x:f>
        <x:v>0</x:v>
      </x:c>
    </x:row>
    <x:row r="935" ht="46" customHeight="1">
      <x:c r="A935" s="17" t="n">
        <x:v>46371</x:v>
      </x:c>
      <x:c r="B935" s="2" t="str">
        <x:v>Positive reply rate</x:v>
      </x:c>
      <x:c r="C935" s="40" t="n">
        <x:v>0.015</x:v>
      </x:c>
      <x:c r="D935" s="2" t="str">
        <x:v>Rate</x:v>
      </x:c>
      <x:c r="E935" s="20"/>
      <x:c r="F935" s="20"/>
      <x:c r="G935" s="20"/>
      <x:c r="H935" s="40" t="str">
        <x:f>IF(D935="Rate",IF(COUNT(F935:G935)&lt;2,"",IF(G935=0,"n.a.",F935/G935)),IF(COUNT(E935)=0,"",E935))</x:f>
      </x:c>
      <x:c r="I935" s="40" t="str">
        <x:f>IF(AND(ISNUMBER(H935),ISNUMBER(C935)),H935-C935,"")</x:f>
      </x:c>
      <x:c r="J935" s="2" t="str">
        <x:v>%</x:v>
      </x:c>
      <x:c r="K935" s="2" t="str">
        <x:v>Kenneth</x:v>
      </x:c>
      <x:c r="L935" s="28" t="str"/>
      <x:c r="M935" s="20"/>
      <x:c r="N935" s="21"/>
      <x:c r="O935" s="26" t="str">
        <x:v>Unique emailed contacts classified interested or relevant question / unique contacts emailed in the same send cohort. Deduplicate across sequence steps; zero denominator is N/A. Keep this email rate separate from all-channel qualified inquiries.</x:v>
      </x:c>
      <x:c r="P935" s="26" t="str">
        <x:v>PDF §10</x:v>
      </x:c>
      <x:c r="Q935" s="2" t="n">
        <x:f>IF(ISNUMBER(H935),1,0)</x:f>
        <x:v>0</x:v>
      </x:c>
    </x:row>
    <x:row r="936" ht="46" customHeight="1">
      <x:c r="A936" s="17" t="n">
        <x:v>46371</x:v>
      </x:c>
      <x:c r="B936" s="2" t="str">
        <x:v>Replies answered within 15 minutes</x:v>
      </x:c>
      <x:c r="C936" s="40" t="n">
        <x:v>1</x:v>
      </x:c>
      <x:c r="D936" s="2" t="str">
        <x:v>Rate</x:v>
      </x:c>
      <x:c r="E936" s="20"/>
      <x:c r="F936" s="20"/>
      <x:c r="G936" s="20"/>
      <x:c r="H936" s="40" t="str">
        <x:f>IF(D936="Rate",IF(COUNT(F936:G936)&lt;2,"",IF(G936=0,"n.a.",F936/G936)),IF(COUNT(E936)=0,"",E936))</x:f>
      </x:c>
      <x:c r="I936" s="40" t="str">
        <x:f>IF(AND(ISNUMBER(H936),ISNUMBER(C936)),H936-C936,"")</x:f>
      </x:c>
      <x:c r="J936" s="2" t="str">
        <x:v>%</x:v>
      </x:c>
      <x:c r="K936" s="2" t="str">
        <x:v>Nova</x:v>
      </x:c>
      <x:c r="L936" s="28" t="str"/>
      <x:c r="M936" s="20"/>
      <x:c r="N936" s="21"/>
      <x:c r="O936"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936" s="26" t="str">
        <x:v>PDF §9; clock convention clarified for tracker</x:v>
      </x:c>
      <x:c r="Q936" s="2" t="n">
        <x:f>IF(ISNUMBER(H936),1,0)</x:f>
        <x:v>0</x:v>
      </x:c>
    </x:row>
    <x:row r="937" ht="46" customHeight="1">
      <x:c r="A937" s="17" t="n">
        <x:v>46371</x:v>
      </x:c>
      <x:c r="B937" s="2" t="str">
        <x:v>Held rate</x:v>
      </x:c>
      <x:c r="C937" s="40" t="n">
        <x:v>0.75</x:v>
      </x:c>
      <x:c r="D937" s="2" t="str">
        <x:v>Rate</x:v>
      </x:c>
      <x:c r="E937" s="20"/>
      <x:c r="F937" s="20"/>
      <x:c r="G937" s="20"/>
      <x:c r="H937" s="40" t="str">
        <x:f>IF(D937="Rate",IF(COUNT(F937:G937)&lt;2,"",IF(G937=0,"n.a.",F937/G937)),IF(COUNT(E937)=0,"",E937))</x:f>
      </x:c>
      <x:c r="I937" s="40" t="str">
        <x:f>IF(AND(ISNUMBER(H937),ISNUMBER(C937)),H937-C937,"")</x:f>
      </x:c>
      <x:c r="J937" s="2" t="str">
        <x:v>%</x:v>
      </x:c>
      <x:c r="K937" s="2" t="str">
        <x:v>Nova</x:v>
      </x:c>
      <x:c r="L937" s="28" t="str"/>
      <x:c r="M937" s="20"/>
      <x:c r="N937" s="21"/>
      <x:c r="O937" s="26" t="str">
        <x:v>Qualified conversations actually held / unique booked conversations whose scheduled time has passed. Exclude upcoming appointments. Rebooking the same opportunity is not a second booking. A zero denominator is N/A.</x:v>
      </x:c>
      <x:c r="P937" s="26" t="str">
        <x:v>PDF §10; due-cohort denominator clarified</x:v>
      </x:c>
      <x:c r="Q937" s="2" t="n">
        <x:f>IF(ISNUMBER(H937),1,0)</x:f>
        <x:v>0</x:v>
      </x:c>
    </x:row>
    <x:row r="938" ht="46" customHeight="1">
      <x:c r="A938" s="17" t="n">
        <x:v>46371</x:v>
      </x:c>
      <x:c r="B938" s="2" t="str">
        <x:v>Positive-to-booked conversion</x:v>
      </x:c>
      <x:c r="C938" s="40" t="n">
        <x:v>0.5</x:v>
      </x:c>
      <x:c r="D938" s="2" t="str">
        <x:v>Rate</x:v>
      </x:c>
      <x:c r="E938" s="20"/>
      <x:c r="F938" s="20"/>
      <x:c r="G938" s="20"/>
      <x:c r="H938" s="40" t="str">
        <x:f>IF(D938="Rate",IF(COUNT(F938:G938)&lt;2,"",IF(G938=0,"n.a.",F938/G938)),IF(COUNT(E938)=0,"",E938))</x:f>
      </x:c>
      <x:c r="I938" s="40" t="str">
        <x:f>IF(AND(ISNUMBER(H938),ISNUMBER(C938)),H938-C938,"")</x:f>
      </x:c>
      <x:c r="J938" s="2" t="str">
        <x:v>%</x:v>
      </x:c>
      <x:c r="K938" s="2" t="str">
        <x:v>Nova</x:v>
      </x:c>
      <x:c r="L938" s="28" t="str"/>
      <x:c r="M938" s="20"/>
      <x:c r="N938" s="21"/>
      <x:c r="O938" s="26" t="str">
        <x:v>Unique email-positive opportunities booked / unique email-positive opportunities in the same reviewed cohort. Use a documented follow-up window. This differs from the all-channel 40-inquiry/20-booking planning assumption. A zero denominator is N/A.</x:v>
      </x:c>
      <x:c r="P938" s="26" t="str">
        <x:v>PDF §9</x:v>
      </x:c>
      <x:c r="Q938" s="2" t="n">
        <x:f>IF(ISNUMBER(H938),1,0)</x:f>
        <x:v>0</x:v>
      </x:c>
    </x:row>
    <x:row r="939" ht="46" customHeight="1">
      <x:c r="A939" s="17" t="n">
        <x:v>46371</x:v>
      </x:c>
      <x:c r="B939" s="2" t="str">
        <x:v>Existing-account referral asks</x:v>
      </x:c>
      <x:c r="C939" s="2" t="n">
        <x:v>41</x:v>
      </x:c>
      <x:c r="D939" s="2" t="str">
        <x:v>Cumulative total</x:v>
      </x:c>
      <x:c r="E939" s="20"/>
      <x:c r="F939" s="20"/>
      <x:c r="G939" s="20"/>
      <x:c r="H939" s="2" t="str">
        <x:f>IF(D939="Rate",IF(COUNT(F939:G939)&lt;2,"",IF(G939=0,"n.a.",F939/G939)),IF(COUNT(E939)=0,"",E939))</x:f>
      </x:c>
      <x:c r="I939" s="2" t="str">
        <x:f>IF(AND(ISNUMBER(H939),ISNUMBER(C939)),H939-C939,"")</x:f>
      </x:c>
      <x:c r="J939" s="2" t="str">
        <x:v>accounts asked</x:v>
      </x:c>
      <x:c r="K939" s="2" t="str">
        <x:v>Maseeha</x:v>
      </x:c>
      <x:c r="L939" s="28" t="str"/>
      <x:c r="M939" s="20"/>
      <x:c r="N939" s="21"/>
      <x:c r="O939" s="26" t="str">
        <x:v>Ask 25 unique A/B accounts (5 A and 20 B) by November 13; proposed pace 35 total by November 20; complete the remaining C accounts to reach 41 total by November 25. One introduction is the ask; asks and received intros are separate counts.</x:v>
      </x:c>
      <x:c r="P939" s="26" t="str">
        <x:v>PDF §16 supplies 25 A/B byNov 14 and 16 C byNov 25; Friday deadline and 35-byNov 20 pace are proposed scheduling allocations.</x:v>
      </x:c>
      <x:c r="Q939" s="2" t="n">
        <x:f>IF(ISNUMBER(H939),1,0)</x:f>
        <x:v>0</x:v>
      </x:c>
    </x:row>
    <x:row r="940" ht="46" customHeight="1">
      <x:c r="A940" s="17" t="n">
        <x:v>46371</x:v>
      </x:c>
      <x:c r="B940" s="2" t="str">
        <x:v>Approved SOPs</x:v>
      </x:c>
      <x:c r="C940" s="2"/>
      <x:c r="D940" s="2" t="str">
        <x:v>Cumulative total</x:v>
      </x:c>
      <x:c r="E940" s="20"/>
      <x:c r="F940" s="20"/>
      <x:c r="G940" s="20"/>
      <x:c r="H940" s="2" t="str">
        <x:f>IF(D940="Rate",IF(COUNT(F940:G940)&lt;2,"",IF(G940=0,"n.a.",F940/G940)),IF(COUNT(E940)=0,"",E940))</x:f>
      </x:c>
      <x:c r="I940" s="2" t="str">
        <x:f>IF(AND(ISNUMBER(H940),ISNUMBER(C940)),H940-C940,"")</x:f>
      </x:c>
      <x:c r="J940" s="2" t="str">
        <x:v>SOPs</x:v>
      </x:c>
      <x:c r="K940" s="2" t="str">
        <x:v>Wyline</x:v>
      </x:c>
      <x:c r="L940" s="28" t="str"/>
      <x:c r="M940" s="20"/>
      <x:c r="N940" s="21"/>
      <x:c r="O940" s="26" t="str">
        <x:v>10 core SOPs plus ADS-01 and SOC-01 additions; approved version and independent-run evidence required.</x:v>
      </x:c>
      <x:c r="P940" s="26" t="str">
        <x:v>PDF §8 with §§17 b–d additions</x:v>
      </x:c>
      <x:c r="Q940" s="2" t="n">
        <x:f>IF(ISNUMBER(H940),1,0)</x:f>
        <x:v>0</x:v>
      </x:c>
    </x:row>
    <x:row r="941" ht="46" customHeight="1">
      <x:c r="A941" s="17" t="n">
        <x:v>46371</x:v>
      </x:c>
      <x:c r="B941" s="2" t="str">
        <x:v>Accepted AI agents</x:v>
      </x:c>
      <x:c r="C941" s="2"/>
      <x:c r="D941" s="2" t="str">
        <x:v>Cumulative total</x:v>
      </x:c>
      <x:c r="E941" s="20"/>
      <x:c r="F941" s="20"/>
      <x:c r="G941" s="20"/>
      <x:c r="H941" s="2" t="str">
        <x:f>IF(D941="Rate",IF(COUNT(F941:G941)&lt;2,"",IF(G941=0,"n.a.",F941/G941)),IF(COUNT(E941)=0,"",E941))</x:f>
      </x:c>
      <x:c r="I941" s="2" t="str">
        <x:f>IF(AND(ISNUMBER(H941),ISNUMBER(C941)),H941-C941,"")</x:f>
      </x:c>
      <x:c r="J941" s="2" t="str">
        <x:v>agents</x:v>
      </x:c>
      <x:c r="K941" s="2" t="str">
        <x:v>Emman</x:v>
      </x:c>
      <x:c r="L941" s="28" t="str"/>
      <x:c r="M941" s="20"/>
      <x:c r="N941" s="21"/>
      <x:c r="O941" s="26" t="str">
        <x:v>Scout, Writer, Inbox, Phone Assist, LinkedIn Assist, Follow-up, Scoreboard and Client Reporter; acceptance evidence required.</x:v>
      </x:c>
      <x:c r="P941" s="26" t="str">
        <x:v>PDF §7</x:v>
      </x:c>
      <x:c r="Q941" s="2" t="n">
        <x:f>IF(ISNUMBER(H941),1,0)</x:f>
        <x:v>0</x:v>
      </x:c>
    </x:row>
    <x:row r="942" ht="46" customHeight="1">
      <x:c r="A942" s="17" t="n">
        <x:v>46372</x:v>
      </x:c>
      <x:c r="B942" s="2" t="str">
        <x:v>Qualified inquiries</x:v>
      </x:c>
      <x:c r="C942" s="2" t="n">
        <x:v>40</x:v>
      </x:c>
      <x:c r="D942" s="2" t="str">
        <x:v>Cumulative total</x:v>
      </x:c>
      <x:c r="E942" s="20"/>
      <x:c r="F942" s="20"/>
      <x:c r="G942" s="20"/>
      <x:c r="H942" s="2" t="str">
        <x:f>IF(D942="Rate",IF(COUNT(F942:G942)&lt;2,"",IF(G942=0,"n.a.",F942/G942)),IF(COUNT(E942)=0,"",E942))</x:f>
      </x:c>
      <x:c r="I942" s="2" t="str">
        <x:f>IF(AND(ISNUMBER(H942),ISNUMBER(C942)),H942-C942,"")</x:f>
      </x:c>
      <x:c r="J942" s="2" t="str">
        <x:v>inquiries</x:v>
      </x:c>
      <x:c r="K942" s="2" t="str">
        <x:v>Nova</x:v>
      </x:c>
      <x:c r="L942" s="28" t="str"/>
      <x:c r="M942" s="20"/>
      <x:c r="N942" s="21"/>
      <x:c r="O942" s="26" t="str">
        <x:v>Unique ICP-matched practices that express relevant interest, need or timing; Nova records practice type, decision-maker access, case volume, service need and readiness within 30–60 days. Raw records, opens and connection accepts do not qualify.</x:v>
      </x:c>
      <x:c r="P942" s="26" t="str">
        <x:v>Original proposal pages 2 and 4 define qualification; 40 by Dec 16 and intermediate pace are newly proposed recovery targets.</x:v>
      </x:c>
      <x:c r="Q942" s="2" t="n">
        <x:f>IF(ISNUMBER(H942),1,0)</x:f>
        <x:v>0</x:v>
      </x:c>
    </x:row>
    <x:row r="943" ht="46" customHeight="1">
      <x:c r="A943" s="17" t="n">
        <x:v>46372</x:v>
      </x:c>
      <x:c r="B943" s="2" t="str">
        <x:v>Qualified conversations booked</x:v>
      </x:c>
      <x:c r="C943" s="2" t="n">
        <x:v>20</x:v>
      </x:c>
      <x:c r="D943" s="2" t="str">
        <x:v>Cumulative total</x:v>
      </x:c>
      <x:c r="E943" s="20"/>
      <x:c r="F943" s="20"/>
      <x:c r="G943" s="20"/>
      <x:c r="H943" s="2" t="str">
        <x:f>IF(D943="Rate",IF(COUNT(F943:G943)&lt;2,"",IF(G943=0,"n.a.",F943/G943)),IF(COUNT(E943)=0,"",E943))</x:f>
      </x:c>
      <x:c r="I943" s="2" t="str">
        <x:f>IF(AND(ISNUMBER(H943),ISNUMBER(C943)),H943-C943,"")</x:f>
      </x:c>
      <x:c r="J943" s="2" t="str">
        <x:v>bookings</x:v>
      </x:c>
      <x:c r="K943" s="2" t="str">
        <x:v>Nova</x:v>
      </x:c>
      <x:c r="L943" s="28" t="str"/>
      <x:c r="M943" s="20"/>
      <x:c r="N943" s="21"/>
      <x:c r="O943" s="26" t="str">
        <x:v>Unique qualified calls/visits booked with Nic; rebooking same opportunity is not a new booking.</x:v>
      </x:c>
      <x:c r="P943" s="26" t="str">
        <x:v>PDF §10; final deadline advanced to user Dec 16</x:v>
      </x:c>
      <x:c r="Q943" s="2" t="n">
        <x:f>IF(ISNUMBER(H943),1,0)</x:f>
        <x:v>0</x:v>
      </x:c>
    </x:row>
    <x:row r="944" ht="46" customHeight="1">
      <x:c r="A944" s="17" t="n">
        <x:v>46372</x:v>
      </x:c>
      <x:c r="B944" s="2" t="str">
        <x:v>Qualified conversations held</x:v>
      </x:c>
      <x:c r="C944" s="2" t="n">
        <x:v>15</x:v>
      </x:c>
      <x:c r="D944" s="2" t="str">
        <x:v>Cumulative total</x:v>
      </x:c>
      <x:c r="E944" s="20"/>
      <x:c r="F944" s="20"/>
      <x:c r="G944" s="20"/>
      <x:c r="H944" s="2" t="str">
        <x:f>IF(D944="Rate",IF(COUNT(F944:G944)&lt;2,"",IF(G944=0,"n.a.",F944/G944)),IF(COUNT(E944)=0,"",E944))</x:f>
      </x:c>
      <x:c r="I944" s="2" t="str">
        <x:f>IF(AND(ISNUMBER(H944),ISNUMBER(C944)),H944-C944,"")</x:f>
      </x:c>
      <x:c r="J944" s="2" t="str">
        <x:v>held</x:v>
      </x:c>
      <x:c r="K944" s="2" t="str">
        <x:v>Nova</x:v>
      </x:c>
      <x:c r="L944" s="28" t="str"/>
      <x:c r="M944" s="20"/>
      <x:c r="N944" s="21"/>
      <x:c r="O944" s="26" t="str">
        <x:v>Completed qualified calls/visits; 6 and 15 are integer planning proxies for 70% of 8 and 75% of 20.</x:v>
      </x:c>
      <x:c r="P944" s="26" t="str">
        <x:v>Derived from source held-rate targets</x:v>
      </x:c>
      <x:c r="Q944" s="2" t="n">
        <x:f>IF(ISNUMBER(H944),1,0)</x:f>
        <x:v>0</x:v>
      </x:c>
    </x:row>
    <x:row r="945" ht="46" customHeight="1">
      <x:c r="A945" s="17" t="n">
        <x:v>46372</x:v>
      </x:c>
      <x:c r="B945" s="2" t="str">
        <x:v>Trial cases received by DSI</x:v>
      </x:c>
      <x:c r="C945" s="2" t="n">
        <x:v>6</x:v>
      </x:c>
      <x:c r="D945" s="2" t="str">
        <x:v>Cumulative total</x:v>
      </x:c>
      <x:c r="E945" s="20"/>
      <x:c r="F945" s="20"/>
      <x:c r="G945" s="20"/>
      <x:c r="H945" s="2" t="str">
        <x:f>IF(D945="Rate",IF(COUNT(F945:G945)&lt;2,"",IF(G945=0,"n.a.",F945/G945)),IF(COUNT(E945)=0,"",E945))</x:f>
      </x:c>
      <x:c r="I945" s="2" t="str">
        <x:f>IF(AND(ISNUMBER(H945),ISNUMBER(C945)),H945-C945,"")</x:f>
      </x:c>
      <x:c r="J945" s="2" t="str">
        <x:v>trials</x:v>
      </x:c>
      <x:c r="K945" s="2" t="str">
        <x:v>Maseeha</x:v>
      </x:c>
      <x:c r="L945" s="28" t="str"/>
      <x:c r="M945" s="20"/>
      <x:c r="N945" s="21"/>
      <x:c r="O945" s="26" t="str">
        <x:v>Practice’s first trial case received by DSI, not merely promised or shipped; subject to Maseeha capacity.</x:v>
      </x:c>
      <x:c r="P945" s="26" t="str">
        <x:v>PDF §10; final deadline advanced to user Dec 16</x:v>
      </x:c>
      <x:c r="Q945" s="2" t="n">
        <x:f>IF(ISNUMBER(H945),1,0)</x:f>
        <x:v>0</x:v>
      </x:c>
    </x:row>
    <x:row r="946" ht="46" customHeight="1">
      <x:c r="A946" s="17" t="n">
        <x:v>46372</x:v>
      </x:c>
      <x:c r="B946" s="2" t="str">
        <x:v>Recurring accounts signed</x:v>
      </x:c>
      <x:c r="C946" s="2" t="n">
        <x:v>1</x:v>
      </x:c>
      <x:c r="D946" s="2" t="str">
        <x:v>Cumulative total</x:v>
      </x:c>
      <x:c r="E946" s="20"/>
      <x:c r="F946" s="20"/>
      <x:c r="G946" s="20"/>
      <x:c r="H946" s="2" t="str">
        <x:f>IF(D946="Rate",IF(COUNT(F946:G946)&lt;2,"",IF(G946=0,"n.a.",F946/G946)),IF(COUNT(E946)=0,"",E946))</x:f>
      </x:c>
      <x:c r="I946" s="2" t="str">
        <x:f>IF(AND(ISNUMBER(H946),ISNUMBER(C946)),H946-C946,"")</x:f>
      </x:c>
      <x:c r="J946" s="2" t="str">
        <x:v>accounts</x:v>
      </x:c>
      <x:c r="K946" s="2" t="str">
        <x:v>Nic</x:v>
      </x:c>
      <x:c r="L946" s="28" t="str"/>
      <x:c r="M946" s="20"/>
      <x:c r="N946" s="21"/>
      <x:c r="O946" s="26" t="str">
        <x:v>Plan signed following Day-30 review; only mature trial cohorts eligible. 1–3 is a conditional range.</x:v>
      </x:c>
      <x:c r="P946" s="26" t="str">
        <x:v>PDF §10</x:v>
      </x:c>
      <x:c r="Q946" s="2" t="n">
        <x:f>IF(ISNUMBER(H946),1,0)</x:f>
        <x:v>0</x:v>
      </x:c>
    </x:row>
    <x:row r="947" ht="46" customHeight="1">
      <x:c r="A947" s="17" t="n">
        <x:v>46372</x:v>
      </x:c>
      <x:c r="B947" s="2" t="str">
        <x:v>Referral-sourced bookings</x:v>
      </x:c>
      <x:c r="C947" s="2" t="n">
        <x:v>8</x:v>
      </x:c>
      <x:c r="D947" s="2" t="str">
        <x:v>Cumulative total</x:v>
      </x:c>
      <x:c r="E947" s="20"/>
      <x:c r="F947" s="20"/>
      <x:c r="G947" s="20"/>
      <x:c r="H947" s="2" t="str">
        <x:f>IF(D947="Rate",IF(COUNT(F947:G947)&lt;2,"",IF(G947=0,"n.a.",F947/G947)),IF(COUNT(E947)=0,"",E947))</x:f>
      </x:c>
      <x:c r="I947" s="2" t="str">
        <x:f>IF(AND(ISNUMBER(H947),ISNUMBER(C947)),H947-C947,"")</x:f>
      </x:c>
      <x:c r="J947" s="2" t="str">
        <x:v>bookings</x:v>
      </x:c>
      <x:c r="K947" s="2" t="str">
        <x:v>Nova</x:v>
      </x:c>
      <x:c r="L947" s="28" t="str"/>
      <x:c r="M947" s="20"/>
      <x:c r="N947" s="21"/>
      <x:c r="O947" s="26" t="str">
        <x:v>Subset of booked total with primary Source=Referral; never added on top of all-channel bookings.</x:v>
      </x:c>
      <x:c r="P947" s="26" t="str">
        <x:v>PDF §§10, 16</x:v>
      </x:c>
      <x:c r="Q947" s="2" t="n">
        <x:f>IF(ISNUMBER(H947),1,0)</x:f>
        <x:v>0</x:v>
      </x:c>
    </x:row>
    <x:row r="948" ht="46" customHeight="1">
      <x:c r="A948" s="17" t="n">
        <x:v>46372</x:v>
      </x:c>
      <x:c r="B948" s="2" t="str">
        <x:v>LinkedIn DM-sourced bookings</x:v>
      </x:c>
      <x:c r="C948" s="2" t="n">
        <x:v>8</x:v>
      </x:c>
      <x:c r="D948" s="2" t="str">
        <x:v>Cumulative total</x:v>
      </x:c>
      <x:c r="E948" s="20"/>
      <x:c r="F948" s="20"/>
      <x:c r="G948" s="20"/>
      <x:c r="H948" s="2" t="str">
        <x:f>IF(D948="Rate",IF(COUNT(F948:G948)&lt;2,"",IF(G948=0,"n.a.",F948/G948)),IF(COUNT(E948)=0,"",E948))</x:f>
      </x:c>
      <x:c r="I948" s="2" t="str">
        <x:f>IF(AND(ISNUMBER(H948),ISNUMBER(C948)),H948-C948,"")</x:f>
      </x:c>
      <x:c r="J948" s="2" t="str">
        <x:v>bookings</x:v>
      </x:c>
      <x:c r="K948" s="2" t="str">
        <x:v>Dexter</x:v>
      </x:c>
      <x:c r="L948" s="28" t="str"/>
      <x:c r="M948" s="20"/>
      <x:c r="N948" s="21"/>
      <x:c r="O948" s="26" t="str">
        <x:v>Subset of booked total with primary Source=LinkedIn DM; assists tracked separately.</x:v>
      </x:c>
      <x:c r="P948" s="26" t="str">
        <x:v>PDF §§10, 17 a</x:v>
      </x:c>
      <x:c r="Q948" s="2" t="n">
        <x:f>IF(ISNUMBER(H948),1,0)</x:f>
        <x:v>0</x:v>
      </x:c>
    </x:row>
    <x:row r="949" ht="46" customHeight="1">
      <x:c r="A949" s="17" t="n">
        <x:v>46372</x:v>
      </x:c>
      <x:c r="B949" s="2" t="str">
        <x:v>Verified contacts ready</x:v>
      </x:c>
      <x:c r="C949" s="2" t="n">
        <x:v>750</x:v>
      </x:c>
      <x:c r="D949" s="2" t="str">
        <x:v>Cumulative total</x:v>
      </x:c>
      <x:c r="E949" s="20"/>
      <x:c r="F949" s="20"/>
      <x:c r="G949" s="20"/>
      <x:c r="H949" s="2" t="str">
        <x:f>IF(D949="Rate",IF(COUNT(F949:G949)&lt;2,"",IF(G949=0,"n.a.",F949/G949)),IF(COUNT(E949)=0,"",E949))</x:f>
      </x:c>
      <x:c r="I949" s="2" t="str">
        <x:f>IF(AND(ISNUMBER(H949),ISNUMBER(C949)),H949-C949,"")</x:f>
      </x:c>
      <x:c r="J949" s="2" t="str">
        <x:v>contacts</x:v>
      </x:c>
      <x:c r="K949" s="2" t="str">
        <x:v>Joey</x:v>
      </x:c>
      <x:c r="L949" s="28" t="str"/>
      <x:c r="M949" s="20"/>
      <x:c r="N949" s="21"/>
      <x:c r="O949" s="26" t="str">
        <x:v>Unique contacts passing Scout and loaded in CQL; count once per contact.</x:v>
      </x:c>
      <x:c r="P949" s="26" t="str">
        <x:v>PDF §§10, 14; 750 due Dec 12 moved to Fri Dec 11</x:v>
      </x:c>
      <x:c r="Q949" s="2" t="n">
        <x:f>IF(ISNUMBER(H949),1,0)</x:f>
        <x:v>0</x:v>
      </x:c>
    </x:row>
    <x:row r="950" ht="46" customHeight="1">
      <x:c r="A950" s="17" t="n">
        <x:v>46372</x:v>
      </x:c>
      <x:c r="B950" s="2" t="str">
        <x:v>Permission-based referral introductions</x:v>
      </x:c>
      <x:c r="C950" s="2" t="n">
        <x:v>15</x:v>
      </x:c>
      <x:c r="D950" s="2" t="str">
        <x:v>Cumulative total</x:v>
      </x:c>
      <x:c r="E950" s="20"/>
      <x:c r="F950" s="20"/>
      <x:c r="G950" s="20"/>
      <x:c r="H950" s="2" t="str">
        <x:f>IF(D950="Rate",IF(COUNT(F950:G950)&lt;2,"",IF(G950=0,"n.a.",F950/G950)),IF(COUNT(E950)=0,"",E950))</x:f>
      </x:c>
      <x:c r="I950" s="2" t="str">
        <x:f>IF(AND(ISNUMBER(H950),ISNUMBER(C950)),H950-C950,"")</x:f>
      </x:c>
      <x:c r="J950" s="2" t="str">
        <x:v>introductions</x:v>
      </x:c>
      <x:c r="K950" s="2" t="str">
        <x:v>Maseeha</x:v>
      </x:c>
      <x:c r="L950" s="28" t="str"/>
      <x:c r="M950" s="20"/>
      <x:c r="N950" s="21"/>
      <x:c r="O950" s="26" t="str">
        <x:v>Unique introductions with consent and referrer recorded, verified by Maseeha within 2 business days.</x:v>
      </x:c>
      <x:c r="P950" s="26" t="str">
        <x:v>PDF §§10, 16</x:v>
      </x:c>
      <x:c r="Q950" s="2" t="n">
        <x:f>IF(ISNUMBER(H950),1,0)</x:f>
        <x:v>0</x:v>
      </x:c>
    </x:row>
    <x:row r="951" ht="46" customHeight="1">
      <x:c r="A951" s="17" t="n">
        <x:v>46372</x:v>
      </x:c>
      <x:c r="B951" s="2" t="str">
        <x:v>Human reply rate</x:v>
      </x:c>
      <x:c r="C951" s="40" t="n">
        <x:v>0.03</x:v>
      </x:c>
      <x:c r="D951" s="2" t="str">
        <x:v>Rate</x:v>
      </x:c>
      <x:c r="E951" s="20"/>
      <x:c r="F951" s="20"/>
      <x:c r="G951" s="20"/>
      <x:c r="H951" s="40" t="str">
        <x:f>IF(D951="Rate",IF(COUNT(F951:G951)&lt;2,"",IF(G951=0,"n.a.",F951/G951)),IF(COUNT(E951)=0,"",E951))</x:f>
      </x:c>
      <x:c r="I951" s="40" t="str">
        <x:f>IF(AND(ISNUMBER(H951),ISNUMBER(C951)),H951-C951,"")</x:f>
      </x:c>
      <x:c r="J951" s="2" t="str">
        <x:v>%</x:v>
      </x:c>
      <x:c r="K951" s="2" t="str">
        <x:v>Kenneth</x:v>
      </x:c>
      <x:c r="L951" s="28" t="str"/>
      <x:c r="M951" s="20"/>
      <x:c r="N951" s="21"/>
      <x:c r="O951" s="26" t="str">
        <x:v>Unique emailed contacts that give a qualifying human reply / unique contacts emailed in the same send cohort. Exclude OOO, auto-replies, bounces and unsubscribe-only replies. Deduplicate contacts across sequence steps; zero denominator is N/A.</x:v>
      </x:c>
      <x:c r="P951" s="26" t="str">
        <x:v>PDF §10</x:v>
      </x:c>
      <x:c r="Q951" s="2" t="n">
        <x:f>IF(ISNUMBER(H951),1,0)</x:f>
        <x:v>0</x:v>
      </x:c>
    </x:row>
    <x:row r="952" ht="46" customHeight="1">
      <x:c r="A952" s="17" t="n">
        <x:v>46372</x:v>
      </x:c>
      <x:c r="B952" s="2" t="str">
        <x:v>Positive reply rate</x:v>
      </x:c>
      <x:c r="C952" s="40" t="n">
        <x:v>0.015</x:v>
      </x:c>
      <x:c r="D952" s="2" t="str">
        <x:v>Rate</x:v>
      </x:c>
      <x:c r="E952" s="20"/>
      <x:c r="F952" s="20"/>
      <x:c r="G952" s="20"/>
      <x:c r="H952" s="40" t="str">
        <x:f>IF(D952="Rate",IF(COUNT(F952:G952)&lt;2,"",IF(G952=0,"n.a.",F952/G952)),IF(COUNT(E952)=0,"",E952))</x:f>
      </x:c>
      <x:c r="I952" s="40" t="str">
        <x:f>IF(AND(ISNUMBER(H952),ISNUMBER(C952)),H952-C952,"")</x:f>
      </x:c>
      <x:c r="J952" s="2" t="str">
        <x:v>%</x:v>
      </x:c>
      <x:c r="K952" s="2" t="str">
        <x:v>Kenneth</x:v>
      </x:c>
      <x:c r="L952" s="28" t="str"/>
      <x:c r="M952" s="20"/>
      <x:c r="N952" s="21"/>
      <x:c r="O952" s="26" t="str">
        <x:v>Unique emailed contacts classified interested or relevant question / unique contacts emailed in the same send cohort. Deduplicate across sequence steps; zero denominator is N/A. Keep this email rate separate from all-channel qualified inquiries.</x:v>
      </x:c>
      <x:c r="P952" s="26" t="str">
        <x:v>PDF §10</x:v>
      </x:c>
      <x:c r="Q952" s="2" t="n">
        <x:f>IF(ISNUMBER(H952),1,0)</x:f>
        <x:v>0</x:v>
      </x:c>
    </x:row>
    <x:row r="953" ht="46" customHeight="1">
      <x:c r="A953" s="17" t="n">
        <x:v>46372</x:v>
      </x:c>
      <x:c r="B953" s="2" t="str">
        <x:v>Replies answered within 15 minutes</x:v>
      </x:c>
      <x:c r="C953" s="40" t="n">
        <x:v>1</x:v>
      </x:c>
      <x:c r="D953" s="2" t="str">
        <x:v>Rate</x:v>
      </x:c>
      <x:c r="E953" s="20"/>
      <x:c r="F953" s="20"/>
      <x:c r="G953" s="20"/>
      <x:c r="H953" s="40" t="str">
        <x:f>IF(D953="Rate",IF(COUNT(F953:G953)&lt;2,"",IF(G953=0,"n.a.",F953/G953)),IF(COUNT(E953)=0,"",E953))</x:f>
      </x:c>
      <x:c r="I953" s="40" t="str">
        <x:f>IF(AND(ISNUMBER(H953),ISNUMBER(C953)),H953-C953,"")</x:f>
      </x:c>
      <x:c r="J953" s="2" t="str">
        <x:v>%</x:v>
      </x:c>
      <x:c r="K953" s="2" t="str">
        <x:v>Nova</x:v>
      </x:c>
      <x:c r="L953" s="28" t="str"/>
      <x:c r="M953" s="20"/>
      <x:c r="N953" s="21"/>
      <x:c r="O953"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953" s="26" t="str">
        <x:v>PDF §9; clock convention clarified for tracker</x:v>
      </x:c>
      <x:c r="Q953" s="2" t="n">
        <x:f>IF(ISNUMBER(H953),1,0)</x:f>
        <x:v>0</x:v>
      </x:c>
    </x:row>
    <x:row r="954" ht="46" customHeight="1">
      <x:c r="A954" s="17" t="n">
        <x:v>46372</x:v>
      </x:c>
      <x:c r="B954" s="2" t="str">
        <x:v>Held rate</x:v>
      </x:c>
      <x:c r="C954" s="40" t="n">
        <x:v>0.75</x:v>
      </x:c>
      <x:c r="D954" s="2" t="str">
        <x:v>Rate</x:v>
      </x:c>
      <x:c r="E954" s="20"/>
      <x:c r="F954" s="20"/>
      <x:c r="G954" s="20"/>
      <x:c r="H954" s="40" t="str">
        <x:f>IF(D954="Rate",IF(COUNT(F954:G954)&lt;2,"",IF(G954=0,"n.a.",F954/G954)),IF(COUNT(E954)=0,"",E954))</x:f>
      </x:c>
      <x:c r="I954" s="40" t="str">
        <x:f>IF(AND(ISNUMBER(H954),ISNUMBER(C954)),H954-C954,"")</x:f>
      </x:c>
      <x:c r="J954" s="2" t="str">
        <x:v>%</x:v>
      </x:c>
      <x:c r="K954" s="2" t="str">
        <x:v>Nova</x:v>
      </x:c>
      <x:c r="L954" s="28" t="str"/>
      <x:c r="M954" s="20"/>
      <x:c r="N954" s="21"/>
      <x:c r="O954" s="26" t="str">
        <x:v>Qualified conversations actually held / unique booked conversations whose scheduled time has passed. Exclude upcoming appointments. Rebooking the same opportunity is not a second booking. A zero denominator is N/A.</x:v>
      </x:c>
      <x:c r="P954" s="26" t="str">
        <x:v>PDF §10; due-cohort denominator clarified</x:v>
      </x:c>
      <x:c r="Q954" s="2" t="n">
        <x:f>IF(ISNUMBER(H954),1,0)</x:f>
        <x:v>0</x:v>
      </x:c>
    </x:row>
    <x:row r="955" ht="46" customHeight="1">
      <x:c r="A955" s="17" t="n">
        <x:v>46372</x:v>
      </x:c>
      <x:c r="B955" s="2" t="str">
        <x:v>Positive-to-booked conversion</x:v>
      </x:c>
      <x:c r="C955" s="40" t="n">
        <x:v>0.5</x:v>
      </x:c>
      <x:c r="D955" s="2" t="str">
        <x:v>Rate</x:v>
      </x:c>
      <x:c r="E955" s="20"/>
      <x:c r="F955" s="20"/>
      <x:c r="G955" s="20"/>
      <x:c r="H955" s="40" t="str">
        <x:f>IF(D955="Rate",IF(COUNT(F955:G955)&lt;2,"",IF(G955=0,"n.a.",F955/G955)),IF(COUNT(E955)=0,"",E955))</x:f>
      </x:c>
      <x:c r="I955" s="40" t="str">
        <x:f>IF(AND(ISNUMBER(H955),ISNUMBER(C955)),H955-C955,"")</x:f>
      </x:c>
      <x:c r="J955" s="2" t="str">
        <x:v>%</x:v>
      </x:c>
      <x:c r="K955" s="2" t="str">
        <x:v>Nova</x:v>
      </x:c>
      <x:c r="L955" s="28" t="str"/>
      <x:c r="M955" s="20"/>
      <x:c r="N955" s="21"/>
      <x:c r="O955" s="26" t="str">
        <x:v>Unique email-positive opportunities booked / unique email-positive opportunities in the same reviewed cohort. Use a documented follow-up window. This differs from the all-channel 40-inquiry/20-booking planning assumption. A zero denominator is N/A.</x:v>
      </x:c>
      <x:c r="P955" s="26" t="str">
        <x:v>PDF §9</x:v>
      </x:c>
      <x:c r="Q955" s="2" t="n">
        <x:f>IF(ISNUMBER(H955),1,0)</x:f>
        <x:v>0</x:v>
      </x:c>
    </x:row>
    <x:row r="956" ht="46" customHeight="1">
      <x:c r="A956" s="17" t="n">
        <x:v>46372</x:v>
      </x:c>
      <x:c r="B956" s="2" t="str">
        <x:v>Existing-account referral asks</x:v>
      </x:c>
      <x:c r="C956" s="2" t="n">
        <x:v>41</x:v>
      </x:c>
      <x:c r="D956" s="2" t="str">
        <x:v>Cumulative total</x:v>
      </x:c>
      <x:c r="E956" s="20"/>
      <x:c r="F956" s="20"/>
      <x:c r="G956" s="20"/>
      <x:c r="H956" s="2" t="str">
        <x:f>IF(D956="Rate",IF(COUNT(F956:G956)&lt;2,"",IF(G956=0,"n.a.",F956/G956)),IF(COUNT(E956)=0,"",E956))</x:f>
      </x:c>
      <x:c r="I956" s="2" t="str">
        <x:f>IF(AND(ISNUMBER(H956),ISNUMBER(C956)),H956-C956,"")</x:f>
      </x:c>
      <x:c r="J956" s="2" t="str">
        <x:v>accounts asked</x:v>
      </x:c>
      <x:c r="K956" s="2" t="str">
        <x:v>Maseeha</x:v>
      </x:c>
      <x:c r="L956" s="28" t="str"/>
      <x:c r="M956" s="20"/>
      <x:c r="N956" s="21"/>
      <x:c r="O956" s="26" t="str">
        <x:v>Ask 25 unique A/B accounts (5 A and 20 B) by November 13; proposed pace 35 total by November 20; complete the remaining C accounts to reach 41 total by November 25. One introduction is the ask; asks and received intros are separate counts.</x:v>
      </x:c>
      <x:c r="P956" s="26" t="str">
        <x:v>PDF §16 supplies 25 A/B byNov 14 and 16 C byNov 25; Friday deadline and 35-byNov 20 pace are proposed scheduling allocations.</x:v>
      </x:c>
      <x:c r="Q956" s="2" t="n">
        <x:f>IF(ISNUMBER(H956),1,0)</x:f>
        <x:v>0</x:v>
      </x:c>
    </x:row>
    <x:row r="957" ht="46" customHeight="1">
      <x:c r="A957" s="17" t="n">
        <x:v>46372</x:v>
      </x:c>
      <x:c r="B957" s="2" t="str">
        <x:v>Approved SOPs</x:v>
      </x:c>
      <x:c r="C957" s="2" t="n">
        <x:v>12</x:v>
      </x:c>
      <x:c r="D957" s="2" t="str">
        <x:v>Cumulative total</x:v>
      </x:c>
      <x:c r="E957" s="20"/>
      <x:c r="F957" s="20"/>
      <x:c r="G957" s="20"/>
      <x:c r="H957" s="2" t="str">
        <x:f>IF(D957="Rate",IF(COUNT(F957:G957)&lt;2,"",IF(G957=0,"n.a.",F957/G957)),IF(COUNT(E957)=0,"",E957))</x:f>
      </x:c>
      <x:c r="I957" s="2" t="str">
        <x:f>IF(AND(ISNUMBER(H957),ISNUMBER(C957)),H957-C957,"")</x:f>
      </x:c>
      <x:c r="J957" s="2" t="str">
        <x:v>SOPs</x:v>
      </x:c>
      <x:c r="K957" s="2" t="str">
        <x:v>Wyline</x:v>
      </x:c>
      <x:c r="L957" s="28" t="str"/>
      <x:c r="M957" s="20"/>
      <x:c r="N957" s="21"/>
      <x:c r="O957" s="26" t="str">
        <x:v>10 core SOPs plus ADS-01 and SOC-01 additions; approved version and independent-run evidence required.</x:v>
      </x:c>
      <x:c r="P957" s="26" t="str">
        <x:v>PDF §8 with §§17 b–d additions</x:v>
      </x:c>
      <x:c r="Q957" s="2" t="n">
        <x:f>IF(ISNUMBER(H957),1,0)</x:f>
        <x:v>0</x:v>
      </x:c>
    </x:row>
    <x:row r="958" ht="46" customHeight="1">
      <x:c r="A958" s="17" t="n">
        <x:v>46372</x:v>
      </x:c>
      <x:c r="B958" s="2" t="str">
        <x:v>Accepted AI agents</x:v>
      </x:c>
      <x:c r="C958" s="2" t="n">
        <x:v>8</x:v>
      </x:c>
      <x:c r="D958" s="2" t="str">
        <x:v>Cumulative total</x:v>
      </x:c>
      <x:c r="E958" s="20"/>
      <x:c r="F958" s="20"/>
      <x:c r="G958" s="20"/>
      <x:c r="H958" s="2" t="str">
        <x:f>IF(D958="Rate",IF(COUNT(F958:G958)&lt;2,"",IF(G958=0,"n.a.",F958/G958)),IF(COUNT(E958)=0,"",E958))</x:f>
      </x:c>
      <x:c r="I958" s="2" t="str">
        <x:f>IF(AND(ISNUMBER(H958),ISNUMBER(C958)),H958-C958,"")</x:f>
      </x:c>
      <x:c r="J958" s="2" t="str">
        <x:v>agents</x:v>
      </x:c>
      <x:c r="K958" s="2" t="str">
        <x:v>Emman</x:v>
      </x:c>
      <x:c r="L958" s="28" t="str"/>
      <x:c r="M958" s="20"/>
      <x:c r="N958" s="21"/>
      <x:c r="O958" s="26" t="str">
        <x:v>Scout, Writer, Inbox, Phone Assist, LinkedIn Assist, Follow-up, Scoreboard and Client Reporter; acceptance evidence required.</x:v>
      </x:c>
      <x:c r="P958" s="26" t="str">
        <x:v>PDF §7</x:v>
      </x:c>
      <x:c r="Q958" s="2" t="n">
        <x:f>IF(ISNUMBER(H958),1,0)</x:f>
        <x:v>0</x:v>
      </x:c>
    </x:row>
    <x:row r="959" ht="46" customHeight="1">
      <x:c r="A959" s="17" t="n">
        <x:v>46373</x:v>
      </x:c>
      <x:c r="B959" s="2" t="str">
        <x:v>Qualified inquiries</x:v>
      </x:c>
      <x:c r="C959" s="2" t="n">
        <x:v>40</x:v>
      </x:c>
      <x:c r="D959" s="2" t="str">
        <x:v>Cumulative total</x:v>
      </x:c>
      <x:c r="E959" s="20"/>
      <x:c r="F959" s="20"/>
      <x:c r="G959" s="20"/>
      <x:c r="H959" s="2" t="str">
        <x:f>IF(D959="Rate",IF(COUNT(F959:G959)&lt;2,"",IF(G959=0,"n.a.",F959/G959)),IF(COUNT(E959)=0,"",E959))</x:f>
      </x:c>
      <x:c r="I959" s="2" t="str">
        <x:f>IF(AND(ISNUMBER(H959),ISNUMBER(C959)),H959-C959,"")</x:f>
      </x:c>
      <x:c r="J959" s="2" t="str">
        <x:v>inquiries</x:v>
      </x:c>
      <x:c r="K959" s="2" t="str">
        <x:v>Nova</x:v>
      </x:c>
      <x:c r="L959" s="28" t="str"/>
      <x:c r="M959" s="20"/>
      <x:c r="N959" s="21"/>
      <x:c r="O959" s="26" t="str">
        <x:v>Unique ICP-matched practices that express relevant interest, need or timing; Nova records practice type, decision-maker access, case volume, service need and readiness within 30–60 days. Raw records, opens and connection accepts do not qualify.</x:v>
      </x:c>
      <x:c r="P959" s="26" t="str">
        <x:v>Original proposal pages 2 and 4 define qualification; 40 by Dec 16 and intermediate pace are newly proposed recovery targets.</x:v>
      </x:c>
      <x:c r="Q959" s="2" t="n">
        <x:f>IF(ISNUMBER(H959),1,0)</x:f>
        <x:v>0</x:v>
      </x:c>
    </x:row>
    <x:row r="960" ht="46" customHeight="1">
      <x:c r="A960" s="17" t="n">
        <x:v>46373</x:v>
      </x:c>
      <x:c r="B960" s="2" t="str">
        <x:v>Qualified conversations booked</x:v>
      </x:c>
      <x:c r="C960" s="2" t="n">
        <x:v>20</x:v>
      </x:c>
      <x:c r="D960" s="2" t="str">
        <x:v>Cumulative total</x:v>
      </x:c>
      <x:c r="E960" s="20"/>
      <x:c r="F960" s="20"/>
      <x:c r="G960" s="20"/>
      <x:c r="H960" s="2" t="str">
        <x:f>IF(D960="Rate",IF(COUNT(F960:G960)&lt;2,"",IF(G960=0,"n.a.",F960/G960)),IF(COUNT(E960)=0,"",E960))</x:f>
      </x:c>
      <x:c r="I960" s="2" t="str">
        <x:f>IF(AND(ISNUMBER(H960),ISNUMBER(C960)),H960-C960,"")</x:f>
      </x:c>
      <x:c r="J960" s="2" t="str">
        <x:v>bookings</x:v>
      </x:c>
      <x:c r="K960" s="2" t="str">
        <x:v>Nova</x:v>
      </x:c>
      <x:c r="L960" s="28" t="str"/>
      <x:c r="M960" s="20"/>
      <x:c r="N960" s="21"/>
      <x:c r="O960" s="26" t="str">
        <x:v>Unique qualified calls/visits booked with Nic; rebooking same opportunity is not a new booking.</x:v>
      </x:c>
      <x:c r="P960" s="26" t="str">
        <x:v>PDF §10; final deadline advanced to user Dec 16</x:v>
      </x:c>
      <x:c r="Q960" s="2" t="n">
        <x:f>IF(ISNUMBER(H960),1,0)</x:f>
        <x:v>0</x:v>
      </x:c>
    </x:row>
    <x:row r="961" ht="46" customHeight="1">
      <x:c r="A961" s="17" t="n">
        <x:v>46373</x:v>
      </x:c>
      <x:c r="B961" s="2" t="str">
        <x:v>Qualified conversations held</x:v>
      </x:c>
      <x:c r="C961" s="2" t="n">
        <x:v>15</x:v>
      </x:c>
      <x:c r="D961" s="2" t="str">
        <x:v>Cumulative total</x:v>
      </x:c>
      <x:c r="E961" s="20"/>
      <x:c r="F961" s="20"/>
      <x:c r="G961" s="20"/>
      <x:c r="H961" s="2" t="str">
        <x:f>IF(D961="Rate",IF(COUNT(F961:G961)&lt;2,"",IF(G961=0,"n.a.",F961/G961)),IF(COUNT(E961)=0,"",E961))</x:f>
      </x:c>
      <x:c r="I961" s="2" t="str">
        <x:f>IF(AND(ISNUMBER(H961),ISNUMBER(C961)),H961-C961,"")</x:f>
      </x:c>
      <x:c r="J961" s="2" t="str">
        <x:v>held</x:v>
      </x:c>
      <x:c r="K961" s="2" t="str">
        <x:v>Nova</x:v>
      </x:c>
      <x:c r="L961" s="28" t="str"/>
      <x:c r="M961" s="20"/>
      <x:c r="N961" s="21"/>
      <x:c r="O961" s="26" t="str">
        <x:v>Completed qualified calls/visits; 6 and 15 are integer planning proxies for 70% of 8 and 75% of 20.</x:v>
      </x:c>
      <x:c r="P961" s="26" t="str">
        <x:v>Derived from source held-rate targets</x:v>
      </x:c>
      <x:c r="Q961" s="2" t="n">
        <x:f>IF(ISNUMBER(H961),1,0)</x:f>
        <x:v>0</x:v>
      </x:c>
    </x:row>
    <x:row r="962" ht="46" customHeight="1">
      <x:c r="A962" s="17" t="n">
        <x:v>46373</x:v>
      </x:c>
      <x:c r="B962" s="2" t="str">
        <x:v>Trial cases received by DSI</x:v>
      </x:c>
      <x:c r="C962" s="2" t="n">
        <x:v>6</x:v>
      </x:c>
      <x:c r="D962" s="2" t="str">
        <x:v>Cumulative total</x:v>
      </x:c>
      <x:c r="E962" s="20"/>
      <x:c r="F962" s="20"/>
      <x:c r="G962" s="20"/>
      <x:c r="H962" s="2" t="str">
        <x:f>IF(D962="Rate",IF(COUNT(F962:G962)&lt;2,"",IF(G962=0,"n.a.",F962/G962)),IF(COUNT(E962)=0,"",E962))</x:f>
      </x:c>
      <x:c r="I962" s="2" t="str">
        <x:f>IF(AND(ISNUMBER(H962),ISNUMBER(C962)),H962-C962,"")</x:f>
      </x:c>
      <x:c r="J962" s="2" t="str">
        <x:v>trials</x:v>
      </x:c>
      <x:c r="K962" s="2" t="str">
        <x:v>Maseeha</x:v>
      </x:c>
      <x:c r="L962" s="28" t="str"/>
      <x:c r="M962" s="20"/>
      <x:c r="N962" s="21"/>
      <x:c r="O962" s="26" t="str">
        <x:v>Practice’s first trial case received by DSI, not merely promised or shipped; subject to Maseeha capacity.</x:v>
      </x:c>
      <x:c r="P962" s="26" t="str">
        <x:v>PDF §10; final deadline advanced to user Dec 16</x:v>
      </x:c>
      <x:c r="Q962" s="2" t="n">
        <x:f>IF(ISNUMBER(H962),1,0)</x:f>
        <x:v>0</x:v>
      </x:c>
    </x:row>
    <x:row r="963" ht="46" customHeight="1">
      <x:c r="A963" s="17" t="n">
        <x:v>46373</x:v>
      </x:c>
      <x:c r="B963" s="2" t="str">
        <x:v>Recurring accounts signed</x:v>
      </x:c>
      <x:c r="C963" s="2" t="n">
        <x:v>1</x:v>
      </x:c>
      <x:c r="D963" s="2" t="str">
        <x:v>Cumulative total</x:v>
      </x:c>
      <x:c r="E963" s="20"/>
      <x:c r="F963" s="20"/>
      <x:c r="G963" s="20"/>
      <x:c r="H963" s="2" t="str">
        <x:f>IF(D963="Rate",IF(COUNT(F963:G963)&lt;2,"",IF(G963=0,"n.a.",F963/G963)),IF(COUNT(E963)=0,"",E963))</x:f>
      </x:c>
      <x:c r="I963" s="2" t="str">
        <x:f>IF(AND(ISNUMBER(H963),ISNUMBER(C963)),H963-C963,"")</x:f>
      </x:c>
      <x:c r="J963" s="2" t="str">
        <x:v>accounts</x:v>
      </x:c>
      <x:c r="K963" s="2" t="str">
        <x:v>Nic</x:v>
      </x:c>
      <x:c r="L963" s="28" t="str"/>
      <x:c r="M963" s="20"/>
      <x:c r="N963" s="21"/>
      <x:c r="O963" s="26" t="str">
        <x:v>Plan signed following Day-30 review; only mature trial cohorts eligible. 1–3 is a conditional range.</x:v>
      </x:c>
      <x:c r="P963" s="26" t="str">
        <x:v>PDF §10</x:v>
      </x:c>
      <x:c r="Q963" s="2" t="n">
        <x:f>IF(ISNUMBER(H963),1,0)</x:f>
        <x:v>0</x:v>
      </x:c>
    </x:row>
    <x:row r="964" ht="46" customHeight="1">
      <x:c r="A964" s="17" t="n">
        <x:v>46373</x:v>
      </x:c>
      <x:c r="B964" s="2" t="str">
        <x:v>Referral-sourced bookings</x:v>
      </x:c>
      <x:c r="C964" s="2" t="n">
        <x:v>8</x:v>
      </x:c>
      <x:c r="D964" s="2" t="str">
        <x:v>Cumulative total</x:v>
      </x:c>
      <x:c r="E964" s="20"/>
      <x:c r="F964" s="20"/>
      <x:c r="G964" s="20"/>
      <x:c r="H964" s="2" t="str">
        <x:f>IF(D964="Rate",IF(COUNT(F964:G964)&lt;2,"",IF(G964=0,"n.a.",F964/G964)),IF(COUNT(E964)=0,"",E964))</x:f>
      </x:c>
      <x:c r="I964" s="2" t="str">
        <x:f>IF(AND(ISNUMBER(H964),ISNUMBER(C964)),H964-C964,"")</x:f>
      </x:c>
      <x:c r="J964" s="2" t="str">
        <x:v>bookings</x:v>
      </x:c>
      <x:c r="K964" s="2" t="str">
        <x:v>Nova</x:v>
      </x:c>
      <x:c r="L964" s="28" t="str"/>
      <x:c r="M964" s="20"/>
      <x:c r="N964" s="21"/>
      <x:c r="O964" s="26" t="str">
        <x:v>Subset of booked total with primary Source=Referral; never added on top of all-channel bookings.</x:v>
      </x:c>
      <x:c r="P964" s="26" t="str">
        <x:v>PDF §§10, 16</x:v>
      </x:c>
      <x:c r="Q964" s="2" t="n">
        <x:f>IF(ISNUMBER(H964),1,0)</x:f>
        <x:v>0</x:v>
      </x:c>
    </x:row>
    <x:row r="965" ht="46" customHeight="1">
      <x:c r="A965" s="17" t="n">
        <x:v>46373</x:v>
      </x:c>
      <x:c r="B965" s="2" t="str">
        <x:v>LinkedIn DM-sourced bookings</x:v>
      </x:c>
      <x:c r="C965" s="2" t="n">
        <x:v>8</x:v>
      </x:c>
      <x:c r="D965" s="2" t="str">
        <x:v>Cumulative total</x:v>
      </x:c>
      <x:c r="E965" s="20"/>
      <x:c r="F965" s="20"/>
      <x:c r="G965" s="20"/>
      <x:c r="H965" s="2" t="str">
        <x:f>IF(D965="Rate",IF(COUNT(F965:G965)&lt;2,"",IF(G965=0,"n.a.",F965/G965)),IF(COUNT(E965)=0,"",E965))</x:f>
      </x:c>
      <x:c r="I965" s="2" t="str">
        <x:f>IF(AND(ISNUMBER(H965),ISNUMBER(C965)),H965-C965,"")</x:f>
      </x:c>
      <x:c r="J965" s="2" t="str">
        <x:v>bookings</x:v>
      </x:c>
      <x:c r="K965" s="2" t="str">
        <x:v>Dexter</x:v>
      </x:c>
      <x:c r="L965" s="28" t="str"/>
      <x:c r="M965" s="20"/>
      <x:c r="N965" s="21"/>
      <x:c r="O965" s="26" t="str">
        <x:v>Subset of booked total with primary Source=LinkedIn DM; assists tracked separately.</x:v>
      </x:c>
      <x:c r="P965" s="26" t="str">
        <x:v>PDF §§10, 17 a</x:v>
      </x:c>
      <x:c r="Q965" s="2" t="n">
        <x:f>IF(ISNUMBER(H965),1,0)</x:f>
        <x:v>0</x:v>
      </x:c>
    </x:row>
    <x:row r="966" ht="46" customHeight="1">
      <x:c r="A966" s="17" t="n">
        <x:v>46373</x:v>
      </x:c>
      <x:c r="B966" s="2" t="str">
        <x:v>Verified contacts ready</x:v>
      </x:c>
      <x:c r="C966" s="2" t="n">
        <x:v>750</x:v>
      </x:c>
      <x:c r="D966" s="2" t="str">
        <x:v>Cumulative total</x:v>
      </x:c>
      <x:c r="E966" s="20"/>
      <x:c r="F966" s="20"/>
      <x:c r="G966" s="20"/>
      <x:c r="H966" s="2" t="str">
        <x:f>IF(D966="Rate",IF(COUNT(F966:G966)&lt;2,"",IF(G966=0,"n.a.",F966/G966)),IF(COUNT(E966)=0,"",E966))</x:f>
      </x:c>
      <x:c r="I966" s="2" t="str">
        <x:f>IF(AND(ISNUMBER(H966),ISNUMBER(C966)),H966-C966,"")</x:f>
      </x:c>
      <x:c r="J966" s="2" t="str">
        <x:v>contacts</x:v>
      </x:c>
      <x:c r="K966" s="2" t="str">
        <x:v>Joey</x:v>
      </x:c>
      <x:c r="L966" s="28" t="str"/>
      <x:c r="M966" s="20"/>
      <x:c r="N966" s="21"/>
      <x:c r="O966" s="26" t="str">
        <x:v>Unique contacts passing Scout and loaded in CQL; count once per contact.</x:v>
      </x:c>
      <x:c r="P966" s="26" t="str">
        <x:v>PDF §§10, 14; 750 due Dec 12 moved to Fri Dec 11</x:v>
      </x:c>
      <x:c r="Q966" s="2" t="n">
        <x:f>IF(ISNUMBER(H966),1,0)</x:f>
        <x:v>0</x:v>
      </x:c>
    </x:row>
    <x:row r="967" ht="46" customHeight="1">
      <x:c r="A967" s="17" t="n">
        <x:v>46373</x:v>
      </x:c>
      <x:c r="B967" s="2" t="str">
        <x:v>Permission-based referral introductions</x:v>
      </x:c>
      <x:c r="C967" s="2" t="n">
        <x:v>15</x:v>
      </x:c>
      <x:c r="D967" s="2" t="str">
        <x:v>Cumulative total</x:v>
      </x:c>
      <x:c r="E967" s="20"/>
      <x:c r="F967" s="20"/>
      <x:c r="G967" s="20"/>
      <x:c r="H967" s="2" t="str">
        <x:f>IF(D967="Rate",IF(COUNT(F967:G967)&lt;2,"",IF(G967=0,"n.a.",F967/G967)),IF(COUNT(E967)=0,"",E967))</x:f>
      </x:c>
      <x:c r="I967" s="2" t="str">
        <x:f>IF(AND(ISNUMBER(H967),ISNUMBER(C967)),H967-C967,"")</x:f>
      </x:c>
      <x:c r="J967" s="2" t="str">
        <x:v>introductions</x:v>
      </x:c>
      <x:c r="K967" s="2" t="str">
        <x:v>Maseeha</x:v>
      </x:c>
      <x:c r="L967" s="28" t="str"/>
      <x:c r="M967" s="20"/>
      <x:c r="N967" s="21"/>
      <x:c r="O967" s="26" t="str">
        <x:v>Unique introductions with consent and referrer recorded, verified by Maseeha within 2 business days.</x:v>
      </x:c>
      <x:c r="P967" s="26" t="str">
        <x:v>PDF §§10, 16</x:v>
      </x:c>
      <x:c r="Q967" s="2" t="n">
        <x:f>IF(ISNUMBER(H967),1,0)</x:f>
        <x:v>0</x:v>
      </x:c>
    </x:row>
    <x:row r="968" ht="46" customHeight="1">
      <x:c r="A968" s="17" t="n">
        <x:v>46373</x:v>
      </x:c>
      <x:c r="B968" s="2" t="str">
        <x:v>Human reply rate</x:v>
      </x:c>
      <x:c r="C968" s="40" t="n">
        <x:v>0.03</x:v>
      </x:c>
      <x:c r="D968" s="2" t="str">
        <x:v>Rate</x:v>
      </x:c>
      <x:c r="E968" s="20"/>
      <x:c r="F968" s="20"/>
      <x:c r="G968" s="20"/>
      <x:c r="H968" s="40" t="str">
        <x:f>IF(D968="Rate",IF(COUNT(F968:G968)&lt;2,"",IF(G968=0,"n.a.",F968/G968)),IF(COUNT(E968)=0,"",E968))</x:f>
      </x:c>
      <x:c r="I968" s="40" t="str">
        <x:f>IF(AND(ISNUMBER(H968),ISNUMBER(C968)),H968-C968,"")</x:f>
      </x:c>
      <x:c r="J968" s="2" t="str">
        <x:v>%</x:v>
      </x:c>
      <x:c r="K968" s="2" t="str">
        <x:v>Kenneth</x:v>
      </x:c>
      <x:c r="L968" s="28" t="str"/>
      <x:c r="M968" s="20"/>
      <x:c r="N968" s="21"/>
      <x:c r="O968" s="26" t="str">
        <x:v>Unique emailed contacts that give a qualifying human reply / unique contacts emailed in the same send cohort. Exclude OOO, auto-replies, bounces and unsubscribe-only replies. Deduplicate contacts across sequence steps; zero denominator is N/A.</x:v>
      </x:c>
      <x:c r="P968" s="26" t="str">
        <x:v>PDF §10</x:v>
      </x:c>
      <x:c r="Q968" s="2" t="n">
        <x:f>IF(ISNUMBER(H968),1,0)</x:f>
        <x:v>0</x:v>
      </x:c>
    </x:row>
    <x:row r="969" ht="46" customHeight="1">
      <x:c r="A969" s="17" t="n">
        <x:v>46373</x:v>
      </x:c>
      <x:c r="B969" s="2" t="str">
        <x:v>Positive reply rate</x:v>
      </x:c>
      <x:c r="C969" s="40" t="n">
        <x:v>0.015</x:v>
      </x:c>
      <x:c r="D969" s="2" t="str">
        <x:v>Rate</x:v>
      </x:c>
      <x:c r="E969" s="20"/>
      <x:c r="F969" s="20"/>
      <x:c r="G969" s="20"/>
      <x:c r="H969" s="40" t="str">
        <x:f>IF(D969="Rate",IF(COUNT(F969:G969)&lt;2,"",IF(G969=0,"n.a.",F969/G969)),IF(COUNT(E969)=0,"",E969))</x:f>
      </x:c>
      <x:c r="I969" s="40" t="str">
        <x:f>IF(AND(ISNUMBER(H969),ISNUMBER(C969)),H969-C969,"")</x:f>
      </x:c>
      <x:c r="J969" s="2" t="str">
        <x:v>%</x:v>
      </x:c>
      <x:c r="K969" s="2" t="str">
        <x:v>Kenneth</x:v>
      </x:c>
      <x:c r="L969" s="28" t="str"/>
      <x:c r="M969" s="20"/>
      <x:c r="N969" s="21"/>
      <x:c r="O969" s="26" t="str">
        <x:v>Unique emailed contacts classified interested or relevant question / unique contacts emailed in the same send cohort. Deduplicate across sequence steps; zero denominator is N/A. Keep this email rate separate from all-channel qualified inquiries.</x:v>
      </x:c>
      <x:c r="P969" s="26" t="str">
        <x:v>PDF §10</x:v>
      </x:c>
      <x:c r="Q969" s="2" t="n">
        <x:f>IF(ISNUMBER(H969),1,0)</x:f>
        <x:v>0</x:v>
      </x:c>
    </x:row>
    <x:row r="970" ht="46" customHeight="1">
      <x:c r="A970" s="17" t="n">
        <x:v>46373</x:v>
      </x:c>
      <x:c r="B970" s="2" t="str">
        <x:v>Replies answered within 15 minutes</x:v>
      </x:c>
      <x:c r="C970" s="40" t="n">
        <x:v>1</x:v>
      </x:c>
      <x:c r="D970" s="2" t="str">
        <x:v>Rate</x:v>
      </x:c>
      <x:c r="E970" s="20"/>
      <x:c r="F970" s="20"/>
      <x:c r="G970" s="20"/>
      <x:c r="H970" s="40" t="str">
        <x:f>IF(D970="Rate",IF(COUNT(F970:G970)&lt;2,"",IF(G970=0,"n.a.",F970/G970)),IF(COUNT(E970)=0,"",E970))</x:f>
      </x:c>
      <x:c r="I970" s="40" t="str">
        <x:f>IF(AND(ISNUMBER(H970),ISNUMBER(C970)),H970-C970,"")</x:f>
      </x:c>
      <x:c r="J970" s="2" t="str">
        <x:v>%</x:v>
      </x:c>
      <x:c r="K970" s="2" t="str">
        <x:v>Nova</x:v>
      </x:c>
      <x:c r="L970" s="28" t="str"/>
      <x:c r="M970" s="20"/>
      <x:c r="N970" s="21"/>
      <x:c r="O970"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970" s="26" t="str">
        <x:v>PDF §9; clock convention clarified for tracker</x:v>
      </x:c>
      <x:c r="Q970" s="2" t="n">
        <x:f>IF(ISNUMBER(H970),1,0)</x:f>
        <x:v>0</x:v>
      </x:c>
    </x:row>
    <x:row r="971" ht="46" customHeight="1">
      <x:c r="A971" s="17" t="n">
        <x:v>46373</x:v>
      </x:c>
      <x:c r="B971" s="2" t="str">
        <x:v>Held rate</x:v>
      </x:c>
      <x:c r="C971" s="40" t="n">
        <x:v>0.75</x:v>
      </x:c>
      <x:c r="D971" s="2" t="str">
        <x:v>Rate</x:v>
      </x:c>
      <x:c r="E971" s="20"/>
      <x:c r="F971" s="20"/>
      <x:c r="G971" s="20"/>
      <x:c r="H971" s="40" t="str">
        <x:f>IF(D971="Rate",IF(COUNT(F971:G971)&lt;2,"",IF(G971=0,"n.a.",F971/G971)),IF(COUNT(E971)=0,"",E971))</x:f>
      </x:c>
      <x:c r="I971" s="40" t="str">
        <x:f>IF(AND(ISNUMBER(H971),ISNUMBER(C971)),H971-C971,"")</x:f>
      </x:c>
      <x:c r="J971" s="2" t="str">
        <x:v>%</x:v>
      </x:c>
      <x:c r="K971" s="2" t="str">
        <x:v>Nova</x:v>
      </x:c>
      <x:c r="L971" s="28" t="str"/>
      <x:c r="M971" s="20"/>
      <x:c r="N971" s="21"/>
      <x:c r="O971" s="26" t="str">
        <x:v>Qualified conversations actually held / unique booked conversations whose scheduled time has passed. Exclude upcoming appointments. Rebooking the same opportunity is not a second booking. A zero denominator is N/A.</x:v>
      </x:c>
      <x:c r="P971" s="26" t="str">
        <x:v>PDF §10; due-cohort denominator clarified</x:v>
      </x:c>
      <x:c r="Q971" s="2" t="n">
        <x:f>IF(ISNUMBER(H971),1,0)</x:f>
        <x:v>0</x:v>
      </x:c>
    </x:row>
    <x:row r="972" ht="46" customHeight="1">
      <x:c r="A972" s="17" t="n">
        <x:v>46373</x:v>
      </x:c>
      <x:c r="B972" s="2" t="str">
        <x:v>Positive-to-booked conversion</x:v>
      </x:c>
      <x:c r="C972" s="40" t="n">
        <x:v>0.5</x:v>
      </x:c>
      <x:c r="D972" s="2" t="str">
        <x:v>Rate</x:v>
      </x:c>
      <x:c r="E972" s="20"/>
      <x:c r="F972" s="20"/>
      <x:c r="G972" s="20"/>
      <x:c r="H972" s="40" t="str">
        <x:f>IF(D972="Rate",IF(COUNT(F972:G972)&lt;2,"",IF(G972=0,"n.a.",F972/G972)),IF(COUNT(E972)=0,"",E972))</x:f>
      </x:c>
      <x:c r="I972" s="40" t="str">
        <x:f>IF(AND(ISNUMBER(H972),ISNUMBER(C972)),H972-C972,"")</x:f>
      </x:c>
      <x:c r="J972" s="2" t="str">
        <x:v>%</x:v>
      </x:c>
      <x:c r="K972" s="2" t="str">
        <x:v>Nova</x:v>
      </x:c>
      <x:c r="L972" s="28" t="str"/>
      <x:c r="M972" s="20"/>
      <x:c r="N972" s="21"/>
      <x:c r="O972" s="26" t="str">
        <x:v>Unique email-positive opportunities booked / unique email-positive opportunities in the same reviewed cohort. Use a documented follow-up window. This differs from the all-channel 40-inquiry/20-booking planning assumption. A zero denominator is N/A.</x:v>
      </x:c>
      <x:c r="P972" s="26" t="str">
        <x:v>PDF §9</x:v>
      </x:c>
      <x:c r="Q972" s="2" t="n">
        <x:f>IF(ISNUMBER(H972),1,0)</x:f>
        <x:v>0</x:v>
      </x:c>
    </x:row>
    <x:row r="973" ht="46" customHeight="1">
      <x:c r="A973" s="17" t="n">
        <x:v>46373</x:v>
      </x:c>
      <x:c r="B973" s="2" t="str">
        <x:v>Existing-account referral asks</x:v>
      </x:c>
      <x:c r="C973" s="2" t="n">
        <x:v>41</x:v>
      </x:c>
      <x:c r="D973" s="2" t="str">
        <x:v>Cumulative total</x:v>
      </x:c>
      <x:c r="E973" s="20"/>
      <x:c r="F973" s="20"/>
      <x:c r="G973" s="20"/>
      <x:c r="H973" s="2" t="str">
        <x:f>IF(D973="Rate",IF(COUNT(F973:G973)&lt;2,"",IF(G973=0,"n.a.",F973/G973)),IF(COUNT(E973)=0,"",E973))</x:f>
      </x:c>
      <x:c r="I973" s="2" t="str">
        <x:f>IF(AND(ISNUMBER(H973),ISNUMBER(C973)),H973-C973,"")</x:f>
      </x:c>
      <x:c r="J973" s="2" t="str">
        <x:v>accounts asked</x:v>
      </x:c>
      <x:c r="K973" s="2" t="str">
        <x:v>Maseeha</x:v>
      </x:c>
      <x:c r="L973" s="28" t="str"/>
      <x:c r="M973" s="20"/>
      <x:c r="N973" s="21"/>
      <x:c r="O973" s="26" t="str">
        <x:v>Ask 25 unique A/B accounts (5 A and 20 B) by November 13; proposed pace 35 total by November 20; complete the remaining C accounts to reach 41 total by November 25. One introduction is the ask; asks and received intros are separate counts.</x:v>
      </x:c>
      <x:c r="P973" s="26" t="str">
        <x:v>PDF §16 supplies 25 A/B byNov 14 and 16 C byNov 25; Friday deadline and 35-byNov 20 pace are proposed scheduling allocations.</x:v>
      </x:c>
      <x:c r="Q973" s="2" t="n">
        <x:f>IF(ISNUMBER(H973),1,0)</x:f>
        <x:v>0</x:v>
      </x:c>
    </x:row>
    <x:row r="974" ht="46" customHeight="1">
      <x:c r="A974" s="17" t="n">
        <x:v>46373</x:v>
      </x:c>
      <x:c r="B974" s="2" t="str">
        <x:v>Approved SOPs</x:v>
      </x:c>
      <x:c r="C974" s="2" t="n">
        <x:v>12</x:v>
      </x:c>
      <x:c r="D974" s="2" t="str">
        <x:v>Cumulative total</x:v>
      </x:c>
      <x:c r="E974" s="20"/>
      <x:c r="F974" s="20"/>
      <x:c r="G974" s="20"/>
      <x:c r="H974" s="2" t="str">
        <x:f>IF(D974="Rate",IF(COUNT(F974:G974)&lt;2,"",IF(G974=0,"n.a.",F974/G974)),IF(COUNT(E974)=0,"",E974))</x:f>
      </x:c>
      <x:c r="I974" s="2" t="str">
        <x:f>IF(AND(ISNUMBER(H974),ISNUMBER(C974)),H974-C974,"")</x:f>
      </x:c>
      <x:c r="J974" s="2" t="str">
        <x:v>SOPs</x:v>
      </x:c>
      <x:c r="K974" s="2" t="str">
        <x:v>Wyline</x:v>
      </x:c>
      <x:c r="L974" s="28" t="str"/>
      <x:c r="M974" s="20"/>
      <x:c r="N974" s="21"/>
      <x:c r="O974" s="26" t="str">
        <x:v>10 core SOPs plus ADS-01 and SOC-01 additions; approved version and independent-run evidence required.</x:v>
      </x:c>
      <x:c r="P974" s="26" t="str">
        <x:v>PDF §8 with §§17 b–d additions</x:v>
      </x:c>
      <x:c r="Q974" s="2" t="n">
        <x:f>IF(ISNUMBER(H974),1,0)</x:f>
        <x:v>0</x:v>
      </x:c>
    </x:row>
    <x:row r="975" ht="46" customHeight="1">
      <x:c r="A975" s="17" t="n">
        <x:v>46373</x:v>
      </x:c>
      <x:c r="B975" s="2" t="str">
        <x:v>Accepted AI agents</x:v>
      </x:c>
      <x:c r="C975" s="2" t="n">
        <x:v>8</x:v>
      </x:c>
      <x:c r="D975" s="2" t="str">
        <x:v>Cumulative total</x:v>
      </x:c>
      <x:c r="E975" s="20"/>
      <x:c r="F975" s="20"/>
      <x:c r="G975" s="20"/>
      <x:c r="H975" s="2" t="str">
        <x:f>IF(D975="Rate",IF(COUNT(F975:G975)&lt;2,"",IF(G975=0,"n.a.",F975/G975)),IF(COUNT(E975)=0,"",E975))</x:f>
      </x:c>
      <x:c r="I975" s="2" t="str">
        <x:f>IF(AND(ISNUMBER(H975),ISNUMBER(C975)),H975-C975,"")</x:f>
      </x:c>
      <x:c r="J975" s="2" t="str">
        <x:v>agents</x:v>
      </x:c>
      <x:c r="K975" s="2" t="str">
        <x:v>Emman</x:v>
      </x:c>
      <x:c r="L975" s="28" t="str"/>
      <x:c r="M975" s="20"/>
      <x:c r="N975" s="21"/>
      <x:c r="O975" s="26" t="str">
        <x:v>Scout, Writer, Inbox, Phone Assist, LinkedIn Assist, Follow-up, Scoreboard and Client Reporter; acceptance evidence required.</x:v>
      </x:c>
      <x:c r="P975" s="26" t="str">
        <x:v>PDF §7</x:v>
      </x:c>
      <x:c r="Q975" s="2" t="n">
        <x:f>IF(ISNUMBER(H975),1,0)</x:f>
        <x:v>0</x:v>
      </x:c>
    </x:row>
    <x:row r="976" ht="46" customHeight="1">
      <x:c r="A976" s="17" t="n">
        <x:v>46374</x:v>
      </x:c>
      <x:c r="B976" s="2" t="str">
        <x:v>Qualified inquiries</x:v>
      </x:c>
      <x:c r="C976" s="2" t="n">
        <x:v>40</x:v>
      </x:c>
      <x:c r="D976" s="2" t="str">
        <x:v>Cumulative total</x:v>
      </x:c>
      <x:c r="E976" s="20"/>
      <x:c r="F976" s="20"/>
      <x:c r="G976" s="20"/>
      <x:c r="H976" s="2" t="str">
        <x:f>IF(D976="Rate",IF(COUNT(F976:G976)&lt;2,"",IF(G976=0,"n.a.",F976/G976)),IF(COUNT(E976)=0,"",E976))</x:f>
      </x:c>
      <x:c r="I976" s="2" t="str">
        <x:f>IF(AND(ISNUMBER(H976),ISNUMBER(C976)),H976-C976,"")</x:f>
      </x:c>
      <x:c r="J976" s="2" t="str">
        <x:v>inquiries</x:v>
      </x:c>
      <x:c r="K976" s="2" t="str">
        <x:v>Nova</x:v>
      </x:c>
      <x:c r="L976" s="28" t="str"/>
      <x:c r="M976" s="20"/>
      <x:c r="N976" s="21"/>
      <x:c r="O976" s="26" t="str">
        <x:v>Unique ICP-matched practices that express relevant interest, need or timing; Nova records practice type, decision-maker access, case volume, service need and readiness within 30–60 days. Raw records, opens and connection accepts do not qualify.</x:v>
      </x:c>
      <x:c r="P976" s="26" t="str">
        <x:v>Original proposal pages 2 and 4 define qualification; 40 by Dec 16 and intermediate pace are newly proposed recovery targets.</x:v>
      </x:c>
      <x:c r="Q976" s="2" t="n">
        <x:f>IF(ISNUMBER(H976),1,0)</x:f>
        <x:v>0</x:v>
      </x:c>
    </x:row>
    <x:row r="977" ht="46" customHeight="1">
      <x:c r="A977" s="17" t="n">
        <x:v>46374</x:v>
      </x:c>
      <x:c r="B977" s="2" t="str">
        <x:v>Qualified conversations booked</x:v>
      </x:c>
      <x:c r="C977" s="2" t="n">
        <x:v>20</x:v>
      </x:c>
      <x:c r="D977" s="2" t="str">
        <x:v>Cumulative total</x:v>
      </x:c>
      <x:c r="E977" s="20"/>
      <x:c r="F977" s="20"/>
      <x:c r="G977" s="20"/>
      <x:c r="H977" s="2" t="str">
        <x:f>IF(D977="Rate",IF(COUNT(F977:G977)&lt;2,"",IF(G977=0,"n.a.",F977/G977)),IF(COUNT(E977)=0,"",E977))</x:f>
      </x:c>
      <x:c r="I977" s="2" t="str">
        <x:f>IF(AND(ISNUMBER(H977),ISNUMBER(C977)),H977-C977,"")</x:f>
      </x:c>
      <x:c r="J977" s="2" t="str">
        <x:v>bookings</x:v>
      </x:c>
      <x:c r="K977" s="2" t="str">
        <x:v>Nova</x:v>
      </x:c>
      <x:c r="L977" s="28" t="str"/>
      <x:c r="M977" s="20"/>
      <x:c r="N977" s="21"/>
      <x:c r="O977" s="26" t="str">
        <x:v>Unique qualified calls/visits booked with Nic; rebooking same opportunity is not a new booking.</x:v>
      </x:c>
      <x:c r="P977" s="26" t="str">
        <x:v>PDF §10; final deadline advanced to user Dec 16</x:v>
      </x:c>
      <x:c r="Q977" s="2" t="n">
        <x:f>IF(ISNUMBER(H977),1,0)</x:f>
        <x:v>0</x:v>
      </x:c>
    </x:row>
    <x:row r="978" ht="46" customHeight="1">
      <x:c r="A978" s="17" t="n">
        <x:v>46374</x:v>
      </x:c>
      <x:c r="B978" s="2" t="str">
        <x:v>Qualified conversations held</x:v>
      </x:c>
      <x:c r="C978" s="2" t="n">
        <x:v>15</x:v>
      </x:c>
      <x:c r="D978" s="2" t="str">
        <x:v>Cumulative total</x:v>
      </x:c>
      <x:c r="E978" s="20"/>
      <x:c r="F978" s="20"/>
      <x:c r="G978" s="20"/>
      <x:c r="H978" s="2" t="str">
        <x:f>IF(D978="Rate",IF(COUNT(F978:G978)&lt;2,"",IF(G978=0,"n.a.",F978/G978)),IF(COUNT(E978)=0,"",E978))</x:f>
      </x:c>
      <x:c r="I978" s="2" t="str">
        <x:f>IF(AND(ISNUMBER(H978),ISNUMBER(C978)),H978-C978,"")</x:f>
      </x:c>
      <x:c r="J978" s="2" t="str">
        <x:v>held</x:v>
      </x:c>
      <x:c r="K978" s="2" t="str">
        <x:v>Nova</x:v>
      </x:c>
      <x:c r="L978" s="28" t="str"/>
      <x:c r="M978" s="20"/>
      <x:c r="N978" s="21"/>
      <x:c r="O978" s="26" t="str">
        <x:v>Completed qualified calls/visits; 6 and 15 are integer planning proxies for 70% of 8 and 75% of 20.</x:v>
      </x:c>
      <x:c r="P978" s="26" t="str">
        <x:v>Derived from source held-rate targets</x:v>
      </x:c>
      <x:c r="Q978" s="2" t="n">
        <x:f>IF(ISNUMBER(H978),1,0)</x:f>
        <x:v>0</x:v>
      </x:c>
    </x:row>
    <x:row r="979" ht="46" customHeight="1">
      <x:c r="A979" s="17" t="n">
        <x:v>46374</x:v>
      </x:c>
      <x:c r="B979" s="2" t="str">
        <x:v>Trial cases received by DSI</x:v>
      </x:c>
      <x:c r="C979" s="2" t="n">
        <x:v>6</x:v>
      </x:c>
      <x:c r="D979" s="2" t="str">
        <x:v>Cumulative total</x:v>
      </x:c>
      <x:c r="E979" s="20"/>
      <x:c r="F979" s="20"/>
      <x:c r="G979" s="20"/>
      <x:c r="H979" s="2" t="str">
        <x:f>IF(D979="Rate",IF(COUNT(F979:G979)&lt;2,"",IF(G979=0,"n.a.",F979/G979)),IF(COUNT(E979)=0,"",E979))</x:f>
      </x:c>
      <x:c r="I979" s="2" t="str">
        <x:f>IF(AND(ISNUMBER(H979),ISNUMBER(C979)),H979-C979,"")</x:f>
      </x:c>
      <x:c r="J979" s="2" t="str">
        <x:v>trials</x:v>
      </x:c>
      <x:c r="K979" s="2" t="str">
        <x:v>Maseeha</x:v>
      </x:c>
      <x:c r="L979" s="28" t="str"/>
      <x:c r="M979" s="20"/>
      <x:c r="N979" s="21"/>
      <x:c r="O979" s="26" t="str">
        <x:v>Practice’s first trial case received by DSI, not merely promised or shipped; subject to Maseeha capacity.</x:v>
      </x:c>
      <x:c r="P979" s="26" t="str">
        <x:v>PDF §10; final deadline advanced to user Dec 16</x:v>
      </x:c>
      <x:c r="Q979" s="2" t="n">
        <x:f>IF(ISNUMBER(H979),1,0)</x:f>
        <x:v>0</x:v>
      </x:c>
    </x:row>
    <x:row r="980" ht="46" customHeight="1">
      <x:c r="A980" s="17" t="n">
        <x:v>46374</x:v>
      </x:c>
      <x:c r="B980" s="2" t="str">
        <x:v>Recurring accounts signed</x:v>
      </x:c>
      <x:c r="C980" s="2" t="n">
        <x:v>1</x:v>
      </x:c>
      <x:c r="D980" s="2" t="str">
        <x:v>Cumulative total</x:v>
      </x:c>
      <x:c r="E980" s="20"/>
      <x:c r="F980" s="20"/>
      <x:c r="G980" s="20"/>
      <x:c r="H980" s="2" t="str">
        <x:f>IF(D980="Rate",IF(COUNT(F980:G980)&lt;2,"",IF(G980=0,"n.a.",F980/G980)),IF(COUNT(E980)=0,"",E980))</x:f>
      </x:c>
      <x:c r="I980" s="2" t="str">
        <x:f>IF(AND(ISNUMBER(H980),ISNUMBER(C980)),H980-C980,"")</x:f>
      </x:c>
      <x:c r="J980" s="2" t="str">
        <x:v>accounts</x:v>
      </x:c>
      <x:c r="K980" s="2" t="str">
        <x:v>Nic</x:v>
      </x:c>
      <x:c r="L980" s="28" t="str"/>
      <x:c r="M980" s="20"/>
      <x:c r="N980" s="21"/>
      <x:c r="O980" s="26" t="str">
        <x:v>Plan signed following Day-30 review; only mature trial cohorts eligible. 1–3 is a conditional range.</x:v>
      </x:c>
      <x:c r="P980" s="26" t="str">
        <x:v>PDF §10</x:v>
      </x:c>
      <x:c r="Q980" s="2" t="n">
        <x:f>IF(ISNUMBER(H980),1,0)</x:f>
        <x:v>0</x:v>
      </x:c>
    </x:row>
    <x:row r="981" ht="46" customHeight="1">
      <x:c r="A981" s="17" t="n">
        <x:v>46374</x:v>
      </x:c>
      <x:c r="B981" s="2" t="str">
        <x:v>Referral-sourced bookings</x:v>
      </x:c>
      <x:c r="C981" s="2" t="n">
        <x:v>8</x:v>
      </x:c>
      <x:c r="D981" s="2" t="str">
        <x:v>Cumulative total</x:v>
      </x:c>
      <x:c r="E981" s="20"/>
      <x:c r="F981" s="20"/>
      <x:c r="G981" s="20"/>
      <x:c r="H981" s="2" t="str">
        <x:f>IF(D981="Rate",IF(COUNT(F981:G981)&lt;2,"",IF(G981=0,"n.a.",F981/G981)),IF(COUNT(E981)=0,"",E981))</x:f>
      </x:c>
      <x:c r="I981" s="2" t="str">
        <x:f>IF(AND(ISNUMBER(H981),ISNUMBER(C981)),H981-C981,"")</x:f>
      </x:c>
      <x:c r="J981" s="2" t="str">
        <x:v>bookings</x:v>
      </x:c>
      <x:c r="K981" s="2" t="str">
        <x:v>Nova</x:v>
      </x:c>
      <x:c r="L981" s="28" t="str"/>
      <x:c r="M981" s="20"/>
      <x:c r="N981" s="21"/>
      <x:c r="O981" s="26" t="str">
        <x:v>Subset of booked total with primary Source=Referral; never added on top of all-channel bookings.</x:v>
      </x:c>
      <x:c r="P981" s="26" t="str">
        <x:v>PDF §§10, 16</x:v>
      </x:c>
      <x:c r="Q981" s="2" t="n">
        <x:f>IF(ISNUMBER(H981),1,0)</x:f>
        <x:v>0</x:v>
      </x:c>
    </x:row>
    <x:row r="982" ht="46" customHeight="1">
      <x:c r="A982" s="17" t="n">
        <x:v>46374</x:v>
      </x:c>
      <x:c r="B982" s="2" t="str">
        <x:v>LinkedIn DM-sourced bookings</x:v>
      </x:c>
      <x:c r="C982" s="2" t="n">
        <x:v>8</x:v>
      </x:c>
      <x:c r="D982" s="2" t="str">
        <x:v>Cumulative total</x:v>
      </x:c>
      <x:c r="E982" s="20"/>
      <x:c r="F982" s="20"/>
      <x:c r="G982" s="20"/>
      <x:c r="H982" s="2" t="str">
        <x:f>IF(D982="Rate",IF(COUNT(F982:G982)&lt;2,"",IF(G982=0,"n.a.",F982/G982)),IF(COUNT(E982)=0,"",E982))</x:f>
      </x:c>
      <x:c r="I982" s="2" t="str">
        <x:f>IF(AND(ISNUMBER(H982),ISNUMBER(C982)),H982-C982,"")</x:f>
      </x:c>
      <x:c r="J982" s="2" t="str">
        <x:v>bookings</x:v>
      </x:c>
      <x:c r="K982" s="2" t="str">
        <x:v>Dexter</x:v>
      </x:c>
      <x:c r="L982" s="28" t="str"/>
      <x:c r="M982" s="20"/>
      <x:c r="N982" s="21"/>
      <x:c r="O982" s="26" t="str">
        <x:v>Subset of booked total with primary Source=LinkedIn DM; assists tracked separately.</x:v>
      </x:c>
      <x:c r="P982" s="26" t="str">
        <x:v>PDF §§10, 17 a</x:v>
      </x:c>
      <x:c r="Q982" s="2" t="n">
        <x:f>IF(ISNUMBER(H982),1,0)</x:f>
        <x:v>0</x:v>
      </x:c>
    </x:row>
    <x:row r="983" ht="46" customHeight="1">
      <x:c r="A983" s="17" t="n">
        <x:v>46374</x:v>
      </x:c>
      <x:c r="B983" s="2" t="str">
        <x:v>Verified contacts ready</x:v>
      </x:c>
      <x:c r="C983" s="2" t="n">
        <x:v>750</x:v>
      </x:c>
      <x:c r="D983" s="2" t="str">
        <x:v>Cumulative total</x:v>
      </x:c>
      <x:c r="E983" s="20"/>
      <x:c r="F983" s="20"/>
      <x:c r="G983" s="20"/>
      <x:c r="H983" s="2" t="str">
        <x:f>IF(D983="Rate",IF(COUNT(F983:G983)&lt;2,"",IF(G983=0,"n.a.",F983/G983)),IF(COUNT(E983)=0,"",E983))</x:f>
      </x:c>
      <x:c r="I983" s="2" t="str">
        <x:f>IF(AND(ISNUMBER(H983),ISNUMBER(C983)),H983-C983,"")</x:f>
      </x:c>
      <x:c r="J983" s="2" t="str">
        <x:v>contacts</x:v>
      </x:c>
      <x:c r="K983" s="2" t="str">
        <x:v>Joey</x:v>
      </x:c>
      <x:c r="L983" s="28" t="str"/>
      <x:c r="M983" s="20"/>
      <x:c r="N983" s="21"/>
      <x:c r="O983" s="26" t="str">
        <x:v>Unique contacts passing Scout and loaded in CQL; count once per contact.</x:v>
      </x:c>
      <x:c r="P983" s="26" t="str">
        <x:v>PDF §§10, 14; 750 due Dec 12 moved to Fri Dec 11</x:v>
      </x:c>
      <x:c r="Q983" s="2" t="n">
        <x:f>IF(ISNUMBER(H983),1,0)</x:f>
        <x:v>0</x:v>
      </x:c>
    </x:row>
    <x:row r="984" ht="46" customHeight="1">
      <x:c r="A984" s="17" t="n">
        <x:v>46374</x:v>
      </x:c>
      <x:c r="B984" s="2" t="str">
        <x:v>Permission-based referral introductions</x:v>
      </x:c>
      <x:c r="C984" s="2" t="n">
        <x:v>15</x:v>
      </x:c>
      <x:c r="D984" s="2" t="str">
        <x:v>Cumulative total</x:v>
      </x:c>
      <x:c r="E984" s="20"/>
      <x:c r="F984" s="20"/>
      <x:c r="G984" s="20"/>
      <x:c r="H984" s="2" t="str">
        <x:f>IF(D984="Rate",IF(COUNT(F984:G984)&lt;2,"",IF(G984=0,"n.a.",F984/G984)),IF(COUNT(E984)=0,"",E984))</x:f>
      </x:c>
      <x:c r="I984" s="2" t="str">
        <x:f>IF(AND(ISNUMBER(H984),ISNUMBER(C984)),H984-C984,"")</x:f>
      </x:c>
      <x:c r="J984" s="2" t="str">
        <x:v>introductions</x:v>
      </x:c>
      <x:c r="K984" s="2" t="str">
        <x:v>Maseeha</x:v>
      </x:c>
      <x:c r="L984" s="28" t="str"/>
      <x:c r="M984" s="20"/>
      <x:c r="N984" s="21"/>
      <x:c r="O984" s="26" t="str">
        <x:v>Unique introductions with consent and referrer recorded, verified by Maseeha within 2 business days.</x:v>
      </x:c>
      <x:c r="P984" s="26" t="str">
        <x:v>PDF §§10, 16</x:v>
      </x:c>
      <x:c r="Q984" s="2" t="n">
        <x:f>IF(ISNUMBER(H984),1,0)</x:f>
        <x:v>0</x:v>
      </x:c>
    </x:row>
    <x:row r="985" ht="46" customHeight="1">
      <x:c r="A985" s="17" t="n">
        <x:v>46374</x:v>
      </x:c>
      <x:c r="B985" s="2" t="str">
        <x:v>Human reply rate</x:v>
      </x:c>
      <x:c r="C985" s="40" t="n">
        <x:v>0.03</x:v>
      </x:c>
      <x:c r="D985" s="2" t="str">
        <x:v>Rate</x:v>
      </x:c>
      <x:c r="E985" s="20"/>
      <x:c r="F985" s="20"/>
      <x:c r="G985" s="20"/>
      <x:c r="H985" s="40" t="str">
        <x:f>IF(D985="Rate",IF(COUNT(F985:G985)&lt;2,"",IF(G985=0,"n.a.",F985/G985)),IF(COUNT(E985)=0,"",E985))</x:f>
      </x:c>
      <x:c r="I985" s="40" t="str">
        <x:f>IF(AND(ISNUMBER(H985),ISNUMBER(C985)),H985-C985,"")</x:f>
      </x:c>
      <x:c r="J985" s="2" t="str">
        <x:v>%</x:v>
      </x:c>
      <x:c r="K985" s="2" t="str">
        <x:v>Kenneth</x:v>
      </x:c>
      <x:c r="L985" s="28" t="str"/>
      <x:c r="M985" s="20"/>
      <x:c r="N985" s="21"/>
      <x:c r="O985" s="26" t="str">
        <x:v>Unique emailed contacts that give a qualifying human reply / unique contacts emailed in the same send cohort. Exclude OOO, auto-replies, bounces and unsubscribe-only replies. Deduplicate contacts across sequence steps; zero denominator is N/A.</x:v>
      </x:c>
      <x:c r="P985" s="26" t="str">
        <x:v>PDF §10</x:v>
      </x:c>
      <x:c r="Q985" s="2" t="n">
        <x:f>IF(ISNUMBER(H985),1,0)</x:f>
        <x:v>0</x:v>
      </x:c>
    </x:row>
    <x:row r="986" ht="46" customHeight="1">
      <x:c r="A986" s="17" t="n">
        <x:v>46374</x:v>
      </x:c>
      <x:c r="B986" s="2" t="str">
        <x:v>Positive reply rate</x:v>
      </x:c>
      <x:c r="C986" s="40" t="n">
        <x:v>0.015</x:v>
      </x:c>
      <x:c r="D986" s="2" t="str">
        <x:v>Rate</x:v>
      </x:c>
      <x:c r="E986" s="20"/>
      <x:c r="F986" s="20"/>
      <x:c r="G986" s="20"/>
      <x:c r="H986" s="40" t="str">
        <x:f>IF(D986="Rate",IF(COUNT(F986:G986)&lt;2,"",IF(G986=0,"n.a.",F986/G986)),IF(COUNT(E986)=0,"",E986))</x:f>
      </x:c>
      <x:c r="I986" s="40" t="str">
        <x:f>IF(AND(ISNUMBER(H986),ISNUMBER(C986)),H986-C986,"")</x:f>
      </x:c>
      <x:c r="J986" s="2" t="str">
        <x:v>%</x:v>
      </x:c>
      <x:c r="K986" s="2" t="str">
        <x:v>Kenneth</x:v>
      </x:c>
      <x:c r="L986" s="28" t="str"/>
      <x:c r="M986" s="20"/>
      <x:c r="N986" s="21"/>
      <x:c r="O986" s="26" t="str">
        <x:v>Unique emailed contacts classified interested or relevant question / unique contacts emailed in the same send cohort. Deduplicate across sequence steps; zero denominator is N/A. Keep this email rate separate from all-channel qualified inquiries.</x:v>
      </x:c>
      <x:c r="P986" s="26" t="str">
        <x:v>PDF §10</x:v>
      </x:c>
      <x:c r="Q986" s="2" t="n">
        <x:f>IF(ISNUMBER(H986),1,0)</x:f>
        <x:v>0</x:v>
      </x:c>
    </x:row>
    <x:row r="987" ht="46" customHeight="1">
      <x:c r="A987" s="17" t="n">
        <x:v>46374</x:v>
      </x:c>
      <x:c r="B987" s="2" t="str">
        <x:v>Replies answered within 15 minutes</x:v>
      </x:c>
      <x:c r="C987" s="40" t="n">
        <x:v>1</x:v>
      </x:c>
      <x:c r="D987" s="2" t="str">
        <x:v>Rate</x:v>
      </x:c>
      <x:c r="E987" s="20"/>
      <x:c r="F987" s="20"/>
      <x:c r="G987" s="20"/>
      <x:c r="H987" s="40" t="str">
        <x:f>IF(D987="Rate",IF(COUNT(F987:G987)&lt;2,"",IF(G987=0,"n.a.",F987/G987)),IF(COUNT(E987)=0,"",E987))</x:f>
      </x:c>
      <x:c r="I987" s="40" t="str">
        <x:f>IF(AND(ISNUMBER(H987),ISNUMBER(C987)),H987-C987,"")</x:f>
      </x:c>
      <x:c r="J987" s="2" t="str">
        <x:v>%</x:v>
      </x:c>
      <x:c r="K987" s="2" t="str">
        <x:v>Nova</x:v>
      </x:c>
      <x:c r="L987" s="28" t="str"/>
      <x:c r="M987" s="20"/>
      <x:c r="N987" s="21"/>
      <x:c r="O987" s="26" t="str">
        <x:v>Human replies requiring a response that receive a human answer within 15 staffed Pacific-business minutes / all such replies whose response deadline has passed. Exclude OOO/auto-replies, bounces and unsubscribe-only notices; record suppression separately. After-hours clocks resume at the next staffed opening. A zero denominator is N/A.</x:v>
      </x:c>
      <x:c r="P987" s="26" t="str">
        <x:v>PDF §9; clock convention clarified for tracker</x:v>
      </x:c>
      <x:c r="Q987" s="2" t="n">
        <x:f>IF(ISNUMBER(H987),1,0)</x:f>
        <x:v>0</x:v>
      </x:c>
    </x:row>
    <x:row r="988" ht="46" customHeight="1">
      <x:c r="A988" s="17" t="n">
        <x:v>46374</x:v>
      </x:c>
      <x:c r="B988" s="2" t="str">
        <x:v>Held rate</x:v>
      </x:c>
      <x:c r="C988" s="40" t="n">
        <x:v>0.75</x:v>
      </x:c>
      <x:c r="D988" s="2" t="str">
        <x:v>Rate</x:v>
      </x:c>
      <x:c r="E988" s="20"/>
      <x:c r="F988" s="20"/>
      <x:c r="G988" s="20"/>
      <x:c r="H988" s="40" t="str">
        <x:f>IF(D988="Rate",IF(COUNT(F988:G988)&lt;2,"",IF(G988=0,"n.a.",F988/G988)),IF(COUNT(E988)=0,"",E988))</x:f>
      </x:c>
      <x:c r="I988" s="40" t="str">
        <x:f>IF(AND(ISNUMBER(H988),ISNUMBER(C988)),H988-C988,"")</x:f>
      </x:c>
      <x:c r="J988" s="2" t="str">
        <x:v>%</x:v>
      </x:c>
      <x:c r="K988" s="2" t="str">
        <x:v>Nova</x:v>
      </x:c>
      <x:c r="L988" s="28" t="str"/>
      <x:c r="M988" s="20"/>
      <x:c r="N988" s="21"/>
      <x:c r="O988" s="26" t="str">
        <x:v>Qualified conversations actually held / unique booked conversations whose scheduled time has passed. Exclude upcoming appointments. Rebooking the same opportunity is not a second booking. A zero denominator is N/A.</x:v>
      </x:c>
      <x:c r="P988" s="26" t="str">
        <x:v>PDF §10; due-cohort denominator clarified</x:v>
      </x:c>
      <x:c r="Q988" s="2" t="n">
        <x:f>IF(ISNUMBER(H988),1,0)</x:f>
        <x:v>0</x:v>
      </x:c>
    </x:row>
    <x:row r="989" ht="46" customHeight="1">
      <x:c r="A989" s="17" t="n">
        <x:v>46374</x:v>
      </x:c>
      <x:c r="B989" s="2" t="str">
        <x:v>Positive-to-booked conversion</x:v>
      </x:c>
      <x:c r="C989" s="40" t="n">
        <x:v>0.5</x:v>
      </x:c>
      <x:c r="D989" s="2" t="str">
        <x:v>Rate</x:v>
      </x:c>
      <x:c r="E989" s="20"/>
      <x:c r="F989" s="20"/>
      <x:c r="G989" s="20"/>
      <x:c r="H989" s="40" t="str">
        <x:f>IF(D989="Rate",IF(COUNT(F989:G989)&lt;2,"",IF(G989=0,"n.a.",F989/G989)),IF(COUNT(E989)=0,"",E989))</x:f>
      </x:c>
      <x:c r="I989" s="40" t="str">
        <x:f>IF(AND(ISNUMBER(H989),ISNUMBER(C989)),H989-C989,"")</x:f>
      </x:c>
      <x:c r="J989" s="2" t="str">
        <x:v>%</x:v>
      </x:c>
      <x:c r="K989" s="2" t="str">
        <x:v>Nova</x:v>
      </x:c>
      <x:c r="L989" s="28" t="str"/>
      <x:c r="M989" s="20"/>
      <x:c r="N989" s="21"/>
      <x:c r="O989" s="26" t="str">
        <x:v>Unique email-positive opportunities booked / unique email-positive opportunities in the same reviewed cohort. Use a documented follow-up window. This differs from the all-channel 40-inquiry/20-booking planning assumption. A zero denominator is N/A.</x:v>
      </x:c>
      <x:c r="P989" s="26" t="str">
        <x:v>PDF §9</x:v>
      </x:c>
      <x:c r="Q989" s="2" t="n">
        <x:f>IF(ISNUMBER(H989),1,0)</x:f>
        <x:v>0</x:v>
      </x:c>
    </x:row>
    <x:row r="990" ht="46" customHeight="1">
      <x:c r="A990" s="17" t="n">
        <x:v>46374</x:v>
      </x:c>
      <x:c r="B990" s="2" t="str">
        <x:v>Existing-account referral asks</x:v>
      </x:c>
      <x:c r="C990" s="2" t="n">
        <x:v>41</x:v>
      </x:c>
      <x:c r="D990" s="2" t="str">
        <x:v>Cumulative total</x:v>
      </x:c>
      <x:c r="E990" s="20"/>
      <x:c r="F990" s="20"/>
      <x:c r="G990" s="20"/>
      <x:c r="H990" s="2" t="str">
        <x:f>IF(D990="Rate",IF(COUNT(F990:G990)&lt;2,"",IF(G990=0,"n.a.",F990/G990)),IF(COUNT(E990)=0,"",E990))</x:f>
      </x:c>
      <x:c r="I990" s="2" t="str">
        <x:f>IF(AND(ISNUMBER(H990),ISNUMBER(C990)),H990-C990,"")</x:f>
      </x:c>
      <x:c r="J990" s="2" t="str">
        <x:v>accounts asked</x:v>
      </x:c>
      <x:c r="K990" s="2" t="str">
        <x:v>Maseeha</x:v>
      </x:c>
      <x:c r="L990" s="28" t="str"/>
      <x:c r="M990" s="20"/>
      <x:c r="N990" s="21"/>
      <x:c r="O990" s="26" t="str">
        <x:v>Ask 25 unique A/B accounts (5 A and 20 B) by November 13; proposed pace 35 total by November 20; complete the remaining C accounts to reach 41 total by November 25. One introduction is the ask; asks and received intros are separate counts.</x:v>
      </x:c>
      <x:c r="P990" s="26" t="str">
        <x:v>PDF §16 supplies 25 A/B byNov 14 and 16 C byNov 25; Friday deadline and 35-byNov 20 pace are proposed scheduling allocations.</x:v>
      </x:c>
      <x:c r="Q990" s="2" t="n">
        <x:f>IF(ISNUMBER(H990),1,0)</x:f>
        <x:v>0</x:v>
      </x:c>
    </x:row>
    <x:row r="991" ht="46" customHeight="1">
      <x:c r="A991" s="17" t="n">
        <x:v>46374</x:v>
      </x:c>
      <x:c r="B991" s="2" t="str">
        <x:v>Approved SOPs</x:v>
      </x:c>
      <x:c r="C991" s="2" t="n">
        <x:v>12</x:v>
      </x:c>
      <x:c r="D991" s="2" t="str">
        <x:v>Cumulative total</x:v>
      </x:c>
      <x:c r="E991" s="20"/>
      <x:c r="F991" s="20"/>
      <x:c r="G991" s="20"/>
      <x:c r="H991" s="2" t="str">
        <x:f>IF(D991="Rate",IF(COUNT(F991:G991)&lt;2,"",IF(G991=0,"n.a.",F991/G991)),IF(COUNT(E991)=0,"",E991))</x:f>
      </x:c>
      <x:c r="I991" s="2" t="str">
        <x:f>IF(AND(ISNUMBER(H991),ISNUMBER(C991)),H991-C991,"")</x:f>
      </x:c>
      <x:c r="J991" s="2" t="str">
        <x:v>SOPs</x:v>
      </x:c>
      <x:c r="K991" s="2" t="str">
        <x:v>Wyline</x:v>
      </x:c>
      <x:c r="L991" s="28" t="str"/>
      <x:c r="M991" s="20"/>
      <x:c r="N991" s="21"/>
      <x:c r="O991" s="26" t="str">
        <x:v>10 core SOPs plus ADS-01 and SOC-01 additions; approved version and independent-run evidence required.</x:v>
      </x:c>
      <x:c r="P991" s="26" t="str">
        <x:v>PDF §8 with §§17 b–d additions</x:v>
      </x:c>
      <x:c r="Q991" s="2" t="n">
        <x:f>IF(ISNUMBER(H991),1,0)</x:f>
        <x:v>0</x:v>
      </x:c>
    </x:row>
    <x:row r="992" ht="46" customHeight="1">
      <x:c r="A992" s="17" t="n">
        <x:v>46374</x:v>
      </x:c>
      <x:c r="B992" s="2" t="str">
        <x:v>Accepted AI agents</x:v>
      </x:c>
      <x:c r="C992" s="2" t="n">
        <x:v>8</x:v>
      </x:c>
      <x:c r="D992" s="2" t="str">
        <x:v>Cumulative total</x:v>
      </x:c>
      <x:c r="E992" s="20"/>
      <x:c r="F992" s="20"/>
      <x:c r="G992" s="20"/>
      <x:c r="H992" s="2" t="str">
        <x:f>IF(D992="Rate",IF(COUNT(F992:G992)&lt;2,"",IF(G992=0,"n.a.",F992/G992)),IF(COUNT(E992)=0,"",E992))</x:f>
      </x:c>
      <x:c r="I992" s="2" t="str">
        <x:f>IF(AND(ISNUMBER(H992),ISNUMBER(C992)),H992-C992,"")</x:f>
      </x:c>
      <x:c r="J992" s="2" t="str">
        <x:v>agents</x:v>
      </x:c>
      <x:c r="K992" s="2" t="str">
        <x:v>Emman</x:v>
      </x:c>
      <x:c r="L992" s="28" t="str"/>
      <x:c r="M992" s="20"/>
      <x:c r="N992" s="21"/>
      <x:c r="O992" s="26" t="str">
        <x:v>Scout, Writer, Inbox, Phone Assist, LinkedIn Assist, Follow-up, Scoreboard and Client Reporter; acceptance evidence required.</x:v>
      </x:c>
      <x:c r="P992" s="26" t="str">
        <x:v>PDF §7</x:v>
      </x:c>
      <x:c r="Q992" s="2" t="n">
        <x:f>IF(ISNUMBER(H992),1,0)</x:f>
        <x:v>0</x:v>
      </x:c>
    </x:row>
  </x:sheetData>
  <x:conditionalFormatting sqref="I7:I992">
    <x:cfRule type="expression" dxfId="11" priority="1">
      <x:formula>AND(ISNUMBER($I7),$I7&lt;0)</x:formula>
    </x:cfRule>
  </x:conditionalFormatting>
  <x:pageMargins left="0.7" right="0.7" top="0.75" bottom="0.75" header="0.3" footer="0.3"/>
  <x:tableParts count="1">
    <x:tablePart xmlns:r="http://schemas.openxmlformats.org/officeDocument/2006/relationships" r:id="R790383b4906a4562"/>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3" hidden="0" customWidth="1"/>
    <x:col min="2" max="2" width="14" hidden="0" customWidth="1"/>
    <x:col min="3" max="3" width="18" hidden="0" customWidth="1"/>
    <x:col min="4" max="4" width="45" hidden="0" customWidth="1"/>
    <x:col min="5" max="5" width="21" hidden="0" customWidth="1"/>
    <x:col min="6" max="6" width="58" hidden="0" customWidth="1"/>
    <x:col min="7" max="7" width="18" hidden="0" customWidth="1"/>
    <x:col min="8" max="8" width="15" hidden="0" customWidth="1"/>
    <x:col min="9" max="9" width="25" hidden="0" customWidth="1"/>
    <x:col min="10" max="10" width="16" hidden="0" customWidth="1"/>
    <x:col min="11" max="11" width="55" hidden="0" customWidth="1"/>
    <x:col min="12" max="12" width="88" hidden="0" customWidth="1"/>
    <x:col min="13" max="13" width="17" hidden="0" customWidth="1"/>
    <x:col min="14" max="14" width="18" hidden="0" customWidth="1"/>
    <x:col min="15" max="15" width="70" hidden="0" customWidth="1"/>
    <x:col min="16" max="16" width="18" hidden="0" customWidth="1"/>
    <x:col min="17" max="17" width="16" hidden="0" customWidth="1"/>
    <x:col min="18" max="18" width="62" hidden="0" customWidth="1"/>
    <x:col min="19" max="19" width="1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Launch and delivery gates</x:v>
      </x:c>
      <x:c r="B2" s="2"/>
      <x:c r="C2" s="2"/>
      <x:c r="D2" s="2"/>
      <x:c r="E2" s="2"/>
      <x:c r="F2" s="2"/>
      <x:c r="G2" s="2"/>
      <x:c r="H2" s="2"/>
      <x:c r="I2" s="2"/>
      <x:c r="J2" s="2"/>
      <x:c r="K2" s="2"/>
      <x:c r="L2" s="2"/>
      <x:c r="M2" s="2"/>
      <x:c r="N2" s="2"/>
      <x:c r="O2" s="2"/>
      <x:c r="P2" s="2"/>
      <x:c r="Q2" s="2"/>
      <x:c r="R2" s="2"/>
      <x:c r="S2" s="2"/>
    </x:row>
    <x:row r="3" ht="22" customHeight="1">
      <x:c r="A3" s="4" t="str">
        <x:v>A completed report is supporting work. Verify the gate separately against its actual results or approvals in blue columns N–R.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2" customHeight="1">
      <x:c r="A6" s="14" t="str">
        <x:v>Gate ID</x:v>
      </x:c>
      <x:c r="B6" s="15" t="str">
        <x:v>Original due</x:v>
      </x:c>
      <x:c r="C6" s="15" t="str">
        <x:v>Owner</x:v>
      </x:c>
      <x:c r="D6" s="15" t="str">
        <x:v>Gate</x:v>
      </x:c>
      <x:c r="E6" s="15" t="str">
        <x:v>Supporting task status</x:v>
      </x:c>
      <x:c r="F6" s="15" t="str">
        <x:v>Supporting task evidence</x:v>
      </x:c>
      <x:c r="G6" s="15" t="str">
        <x:v>Task accepted by</x:v>
      </x:c>
      <x:c r="H6" s="15" t="str">
        <x:v>Task accepted on</x:v>
      </x:c>
      <x:c r="I6" s="15" t="str">
        <x:v>Prerequisite gates</x:v>
      </x:c>
      <x:c r="J6" s="15" t="str">
        <x:v>Gate verified</x:v>
      </x:c>
      <x:c r="K6" s="15" t="str">
        <x:v>Supporting task blocker</x:v>
      </x:c>
      <x:c r="L6" s="15" t="str">
        <x:v>Gate acceptance standard</x:v>
      </x:c>
      <x:c r="M6" s="15" t="str">
        <x:v>Owning task ID</x:v>
      </x:c>
      <x:c r="N6" s="15" t="str">
        <x:v>Gate review</x:v>
      </x:c>
      <x:c r="O6" s="15" t="str">
        <x:v>Gate evidence / actual results</x:v>
      </x:c>
      <x:c r="P6" s="15" t="str">
        <x:v>Gate verifier</x:v>
      </x:c>
      <x:c r="Q6" s="15" t="str">
        <x:v>Gate verified on</x:v>
      </x:c>
      <x:c r="R6" s="15" t="str">
        <x:v>Gate recovery / decision</x:v>
      </x:c>
      <x:c r="S6" s="16" t="str">
        <x:v>Own gate proof complete</x:v>
      </x:c>
    </x:row>
    <x:row r="7" ht="76" customHeight="1">
      <x:c r="A7" s="2" t="str">
        <x:v>M01</x:v>
      </x:c>
      <x:c r="B7" s="17" t="n">
        <x:v>46317</x:v>
      </x:c>
      <x:c r="C7" s="2" t="str">
        <x:v>Wyline</x:v>
      </x:c>
      <x:c r="D7" s="26" t="str">
        <x:v>Freeze old activity and name ownership</x:v>
      </x:c>
      <x:c r="E7" s="26" t="str">
        <x:f>INDEX('Daily Tasks'!$I$7:$I$500,MATCH(M7,'Daily Tasks'!$A$7:$A$500,0))</x:f>
        <x:v>Ready</x:v>
      </x:c>
      <x:c r="F7" s="26" t="str">
        <x:f>IF(INDEX('Daily Tasks'!$K$7:$K$500,MATCH(M7,'Daily Tasks'!$A$7:$A$500,0))="","",INDEX('Daily Tasks'!$K$7:$K$500,MATCH(M7,'Daily Tasks'!$A$7:$A$500,0)))</x:f>
      </x:c>
      <x:c r="G7" s="26" t="str">
        <x:f>IF(INDEX('Daily Tasks'!$O$7:$O$500,MATCH(M7,'Daily Tasks'!$A$7:$A$500,0))="","",INDEX('Daily Tasks'!$O$7:$O$500,MATCH(M7,'Daily Tasks'!$A$7:$A$500,0)))</x:f>
      </x:c>
      <x:c r="H7" s="27" t="str">
        <x:f>IF(INDEX('Daily Tasks'!$P$7:$P$500,MATCH(M7,'Daily Tasks'!$A$7:$A$500,0))=0,"",INDEX('Daily Tasks'!$P$7:$P$500,MATCH(M7,'Daily Tasks'!$A$7:$A$500,0)))</x:f>
      </x:c>
      <x:c r="I7" s="26" t="str"/>
      <x:c r="J7" s="26" t="n">
        <x:f>IF(AND(S7=1),1,0)</x:f>
        <x:v>0</x:v>
      </x:c>
      <x:c r="K7" s="26" t="str">
        <x:f>IF(INDEX('Daily Tasks'!$L$7:$L$500,MATCH(M7,'Daily Tasks'!$A$7:$A$500,0))="","",INDEX('Daily Tasks'!$L$7:$L$500,MATCH(M7,'Daily Tasks'!$A$7:$A$500,0)))</x:f>
      </x:c>
      <x:c r="L7" s="26" t="str">
        <x:v>No new leads in legacy campaigns; ads paused; all 9 internal owners acknowledge assignments.</x:v>
      </x:c>
      <x:c r="M7" s="26" t="str">
        <x:v>T0001</x:v>
      </x:c>
      <x:c r="N7" s="28" t="str">
        <x:v>Not reviewed</x:v>
      </x:c>
      <x:c r="O7" s="28" t="str"/>
      <x:c r="P7" s="28"/>
      <x:c r="Q7" s="29"/>
      <x:c r="R7" s="28" t="str"/>
      <x:c r="S7" s="2" t="n">
        <x:f>IF(AND(COUNTIFS('Daily Tasks'!$A$7:$A$500,M7,'Daily Tasks'!$Q$7:$Q$500,1)=1,N7="Verified",O7&lt;&gt;"",P7&lt;&gt;"",ISNUMBER(Q7),Q7&gt;0,Q7&lt;='Dashboard'!$B$5),1,0)</x:f>
        <x:v>0</x:v>
      </x:c>
    </x:row>
    <x:row r="8" ht="76" customHeight="1">
      <x:c r="A8" s="2" t="str">
        <x:v>M02</x:v>
      </x:c>
      <x:c r="B8" s="17" t="n">
        <x:v>46318</x:v>
      </x:c>
      <x:c r="C8" s="2" t="str">
        <x:v>Nova</x:v>
      </x:c>
      <x:c r="D8" s="26" t="str">
        <x:v>Coverage roster and build design</x:v>
      </x:c>
      <x:c r="E8" s="26" t="str">
        <x:f>INDEX('Daily Tasks'!$I$7:$I$500,MATCH(M8,'Daily Tasks'!$A$7:$A$500,0))</x:f>
        <x:v>Ready</x:v>
      </x:c>
      <x:c r="F8" s="26" t="str">
        <x:f>IF(INDEX('Daily Tasks'!$K$7:$K$500,MATCH(M8,'Daily Tasks'!$A$7:$A$500,0))="","",INDEX('Daily Tasks'!$K$7:$K$500,MATCH(M8,'Daily Tasks'!$A$7:$A$500,0)))</x:f>
      </x:c>
      <x:c r="G8" s="26" t="str">
        <x:f>IF(INDEX('Daily Tasks'!$O$7:$O$500,MATCH(M8,'Daily Tasks'!$A$7:$A$500,0))="","",INDEX('Daily Tasks'!$O$7:$O$500,MATCH(M8,'Daily Tasks'!$A$7:$A$500,0)))</x:f>
      </x:c>
      <x:c r="H8" s="27" t="str">
        <x:f>IF(INDEX('Daily Tasks'!$P$7:$P$500,MATCH(M8,'Daily Tasks'!$A$7:$A$500,0))=0,"",INDEX('Daily Tasks'!$P$7:$P$500,MATCH(M8,'Daily Tasks'!$A$7:$A$500,0)))</x:f>
      </x:c>
      <x:c r="I8" s="26" t="str">
        <x:v>M01</x:v>
      </x:c>
      <x:c r="J8" s="26" t="n">
        <x:f>IF(AND(S8=1,COUNTIFS($A$7:$A$27,"M01",$S$7:$S$27,1)=1),1,0)</x:f>
        <x:v>0</x:v>
      </x:c>
      <x:c r="K8" s="26" t="str">
        <x:f>IF(INDEX('Daily Tasks'!$L$7:$L$500,MATCH(M8,'Daily Tasks'!$A$7:$A$500,0))="","",INDEX('Daily Tasks'!$L$7:$L$500,MATCH(M8,'Daily Tasks'!$A$7:$A$500,0)))</x:f>
      </x:c>
      <x:c r="L8" s="26" t="str">
        <x:v>Two named setters, paid hours and 8 am–5 pm PT coverage documented; Inbox architecture and CQL stages agreed.</x:v>
      </x:c>
      <x:c r="M8" s="26" t="str">
        <x:v>T0013</x:v>
      </x:c>
      <x:c r="N8" s="28" t="str">
        <x:v>Not reviewed</x:v>
      </x:c>
      <x:c r="O8" s="28" t="str"/>
      <x:c r="P8" s="28"/>
      <x:c r="Q8" s="29"/>
      <x:c r="R8" s="28" t="str"/>
      <x:c r="S8" s="2" t="n">
        <x:f>IF(AND(COUNTIFS('Daily Tasks'!$A$7:$A$500,M8,'Daily Tasks'!$Q$7:$Q$500,1)=1,N8="Verified",O8&lt;&gt;"",P8&lt;&gt;"",ISNUMBER(Q8),Q8&gt;0,Q8&lt;='Dashboard'!$B$5),1,0)</x:f>
        <x:v>0</x:v>
      </x:c>
    </x:row>
    <x:row r="9" ht="76" customHeight="1">
      <x:c r="A9" s="2" t="str">
        <x:v>M03</x:v>
      </x:c>
      <x:c r="B9" s="17" t="n">
        <x:v>46322</x:v>
      </x:c>
      <x:c r="C9" s="2" t="str">
        <x:v>Wyline</x:v>
      </x:c>
      <x:c r="D9" s="26" t="str">
        <x:v>DSI written approvals</x:v>
      </x:c>
      <x:c r="E9" s="26" t="str">
        <x:f>INDEX('Daily Tasks'!$I$7:$I$500,MATCH(M9,'Daily Tasks'!$A$7:$A$500,0))</x:f>
        <x:v>Ready</x:v>
      </x:c>
      <x:c r="F9" s="26" t="str">
        <x:f>IF(INDEX('Daily Tasks'!$K$7:$K$500,MATCH(M9,'Daily Tasks'!$A$7:$A$500,0))="","",INDEX('Daily Tasks'!$K$7:$K$500,MATCH(M9,'Daily Tasks'!$A$7:$A$500,0)))</x:f>
      </x:c>
      <x:c r="G9" s="26" t="str">
        <x:f>IF(INDEX('Daily Tasks'!$O$7:$O$500,MATCH(M9,'Daily Tasks'!$A$7:$A$500,0))="","",INDEX('Daily Tasks'!$O$7:$O$500,MATCH(M9,'Daily Tasks'!$A$7:$A$500,0)))</x:f>
      </x:c>
      <x:c r="H9" s="27" t="str">
        <x:f>IF(INDEX('Daily Tasks'!$P$7:$P$500,MATCH(M9,'Daily Tasks'!$A$7:$A$500,0))=0,"",INDEX('Daily Tasks'!$P$7:$P$500,MATCH(M9,'Daily Tasks'!$A$7:$A$500,0)))</x:f>
      </x:c>
      <x:c r="I9" s="26" t="str">
        <x:v>M01</x:v>
      </x:c>
      <x:c r="J9" s="26" t="n">
        <x:f>IF(AND(S9=1,COUNTIFS($A$7:$A$27,"M01",$S$7:$S$27,1)=1),1,0)</x:f>
        <x:v>0</x:v>
      </x:c>
      <x:c r="K9" s="26" t="str">
        <x:f>IF(INDEX('Daily Tasks'!$L$7:$L$500,MATCH(M9,'Daily Tasks'!$A$7:$A$500,0))="","",INDEX('Daily Tasks'!$L$7:$L$500,MATCH(M9,'Daily Tasks'!$A$7:$A$500,0)))</x:f>
      </x:c>
      <x:c r="L9" s="26" t="str">
        <x:v>Nic/Maseeha authorizations, signed offer terms, calendar slots, trial capacity, proof deadlines, referral terms, page access and ads yes/no cap captured.</x:v>
      </x:c>
      <x:c r="M9" s="26" t="str">
        <x:v>T0028</x:v>
      </x:c>
      <x:c r="N9" s="28" t="str">
        <x:v>Not reviewed</x:v>
      </x:c>
      <x:c r="O9" s="28" t="str"/>
      <x:c r="P9" s="28"/>
      <x:c r="Q9" s="29"/>
      <x:c r="R9" s="28" t="str"/>
      <x:c r="S9" s="2" t="n">
        <x:f>IF(AND(COUNTIFS('Daily Tasks'!$A$7:$A$500,M9,'Daily Tasks'!$Q$7:$Q$500,1)=1,N9="Verified",O9&lt;&gt;"",P9&lt;&gt;"",ISNUMBER(Q9),Q9&gt;0,Q9&lt;='Dashboard'!$B$5),1,0)</x:f>
        <x:v>0</x:v>
      </x:c>
    </x:row>
    <x:row r="10" ht="76" customHeight="1">
      <x:c r="A10" s="2" t="str">
        <x:v>M21</x:v>
      </x:c>
      <x:c r="B10" s="17" t="n">
        <x:v>46322</x:v>
      </x:c>
      <x:c r="C10" s="2" t="str">
        <x:v>Wyline</x:v>
      </x:c>
      <x:c r="D10" s="26" t="str">
        <x:v>Approve practical scope and recovery capacity</x:v>
      </x:c>
      <x:c r="E10" s="26" t="str">
        <x:f>INDEX('Daily Tasks'!$I$7:$I$500,MATCH(M10,'Daily Tasks'!$A$7:$A$500,0))</x:f>
        <x:v>Ready</x:v>
      </x:c>
      <x:c r="F10" s="26" t="str">
        <x:f>IF(INDEX('Daily Tasks'!$K$7:$K$500,MATCH(M10,'Daily Tasks'!$A$7:$A$500,0))="","",INDEX('Daily Tasks'!$K$7:$K$500,MATCH(M10,'Daily Tasks'!$A$7:$A$500,0)))</x:f>
      </x:c>
      <x:c r="G10" s="26" t="str">
        <x:f>IF(INDEX('Daily Tasks'!$O$7:$O$500,MATCH(M10,'Daily Tasks'!$A$7:$A$500,0))="","",INDEX('Daily Tasks'!$O$7:$O$500,MATCH(M10,'Daily Tasks'!$A$7:$A$500,0)))</x:f>
      </x:c>
      <x:c r="H10" s="27" t="str">
        <x:f>IF(INDEX('Daily Tasks'!$P$7:$P$500,MATCH(M10,'Daily Tasks'!$A$7:$A$500,0))=0,"",INDEX('Daily Tasks'!$P$7:$P$500,MATCH(M10,'Daily Tasks'!$A$7:$A$500,0)))</x:f>
      </x:c>
      <x:c r="I10" s="26" t="str">
        <x:v>M01</x:v>
      </x:c>
      <x:c r="J10" s="26" t="n">
        <x:f>IF(AND(S10=1,COUNTIFS($A$7:$A$27,"M01",$S$7:$S$27,1)=1),1,0)</x:f>
        <x:v>0</x:v>
      </x:c>
      <x:c r="K10" s="26" t="str">
        <x:f>IF(INDEX('Daily Tasks'!$L$7:$L$500,MATCH(M10,'Daily Tasks'!$A$7:$A$500,0))="","",INDEX('Daily Tasks'!$L$7:$L$500,MATCH(M10,'Daily Tasks'!$A$7:$A$500,0)))</x:f>
      </x:c>
      <x:c r="L10" s="26" t="str">
        <x:v>Confirm which work is internally funded recovery, named operator capacity and optional build priorities. Separately approve any new DSI spending. Do not let nonessential automation delay a tested manual reply lane.</x:v>
      </x:c>
      <x:c r="M10" s="26" t="str">
        <x:v>T0028</x:v>
      </x:c>
      <x:c r="N10" s="28" t="str">
        <x:v>Not reviewed</x:v>
      </x:c>
      <x:c r="O10" s="28" t="str"/>
      <x:c r="P10" s="28"/>
      <x:c r="Q10" s="29"/>
      <x:c r="R10" s="28" t="str"/>
      <x:c r="S10" s="2" t="n">
        <x:f>IF(AND(COUNTIFS('Daily Tasks'!$A$7:$A$500,M10,'Daily Tasks'!$Q$7:$Q$500,1)=1,N10="Verified",O10&lt;&gt;"",P10&lt;&gt;"",ISNUMBER(Q10),Q10&gt;0,Q10&lt;='Dashboard'!$B$5),1,0)</x:f>
        <x:v>0</x:v>
      </x:c>
    </x:row>
    <x:row r="11" ht="76" customHeight="1">
      <x:c r="A11" s="2" t="str">
        <x:v>M04</x:v>
      </x:c>
      <x:c r="B11" s="17" t="n">
        <x:v>46323</x:v>
      </x:c>
      <x:c r="C11" s="2" t="str">
        <x:v>Joey</x:v>
      </x:c>
      <x:c r="D11" s="26" t="str">
        <x:v>250-contact list QA</x:v>
      </x:c>
      <x:c r="E11" s="26" t="str">
        <x:f>INDEX('Daily Tasks'!$I$7:$I$500,MATCH(M11,'Daily Tasks'!$A$7:$A$500,0))</x:f>
        <x:v>Ready</x:v>
      </x:c>
      <x:c r="F11" s="26" t="str">
        <x:f>IF(INDEX('Daily Tasks'!$K$7:$K$500,MATCH(M11,'Daily Tasks'!$A$7:$A$500,0))="","",INDEX('Daily Tasks'!$K$7:$K$500,MATCH(M11,'Daily Tasks'!$A$7:$A$500,0)))</x:f>
      </x:c>
      <x:c r="G11" s="26" t="str">
        <x:f>IF(INDEX('Daily Tasks'!$O$7:$O$500,MATCH(M11,'Daily Tasks'!$A$7:$A$500,0))="","",INDEX('Daily Tasks'!$O$7:$O$500,MATCH(M11,'Daily Tasks'!$A$7:$A$500,0)))</x:f>
      </x:c>
      <x:c r="H11" s="27" t="str">
        <x:f>IF(INDEX('Daily Tasks'!$P$7:$P$500,MATCH(M11,'Daily Tasks'!$A$7:$A$500,0))=0,"",INDEX('Daily Tasks'!$P$7:$P$500,MATCH(M11,'Daily Tasks'!$A$7:$A$500,0)))</x:f>
      </x:c>
      <x:c r="I11" s="26" t="str">
        <x:v>M01</x:v>
      </x:c>
      <x:c r="J11" s="26" t="n">
        <x:f>IF(AND(S11=1,COUNTIFS($A$7:$A$27,"M01",$S$7:$S$27,1)=1),1,0)</x:f>
        <x:v>0</x:v>
      </x:c>
      <x:c r="K11" s="26" t="str">
        <x:f>IF(INDEX('Daily Tasks'!$L$7:$L$500,MATCH(M11,'Daily Tasks'!$A$7:$A$500,0))="","",INDEX('Daily Tasks'!$L$7:$L$500,MATCH(M11,'Daily Tasks'!$A$7:$A$500,0)))</x:f>
      </x:c>
      <x:c r="L11" s="26" t="str">
        <x:v>50-row sample: &gt;=95% dental and in zone; zero twice-touched; failed rows replaced and rechecked.</x:v>
      </x:c>
      <x:c r="M11" s="26" t="str">
        <x:v>T0039</x:v>
      </x:c>
      <x:c r="N11" s="28" t="str">
        <x:v>Not reviewed</x:v>
      </x:c>
      <x:c r="O11" s="28" t="str"/>
      <x:c r="P11" s="28"/>
      <x:c r="Q11" s="29"/>
      <x:c r="R11" s="28" t="str"/>
      <x:c r="S11" s="2" t="n">
        <x:f>IF(AND(COUNTIFS('Daily Tasks'!$A$7:$A$500,M11,'Daily Tasks'!$Q$7:$Q$500,1)=1,N11="Verified",O11&lt;&gt;"",P11&lt;&gt;"",ISNUMBER(Q11),Q11&gt;0,Q11&lt;='Dashboard'!$B$5),1,0)</x:f>
        <x:v>0</x:v>
      </x:c>
    </x:row>
    <x:row r="12" ht="76" customHeight="1">
      <x:c r="A12" s="2" t="str">
        <x:v>M05</x:v>
      </x:c>
      <x:c r="B12" s="17" t="n">
        <x:v>46324</x:v>
      </x:c>
      <x:c r="C12" s="2" t="str">
        <x:v>Kenneth</x:v>
      </x:c>
      <x:c r="D12" s="26" t="str">
        <x:v>Copy and operating pack approved</x:v>
      </x:c>
      <x:c r="E12" s="26" t="str">
        <x:f>INDEX('Daily Tasks'!$I$7:$I$500,MATCH(M12,'Daily Tasks'!$A$7:$A$500,0))</x:f>
        <x:v>Ready</x:v>
      </x:c>
      <x:c r="F12" s="26" t="str">
        <x:f>IF(INDEX('Daily Tasks'!$K$7:$K$500,MATCH(M12,'Daily Tasks'!$A$7:$A$500,0))="","",INDEX('Daily Tasks'!$K$7:$K$500,MATCH(M12,'Daily Tasks'!$A$7:$A$500,0)))</x:f>
      </x:c>
      <x:c r="G12" s="26" t="str">
        <x:f>IF(INDEX('Daily Tasks'!$O$7:$O$500,MATCH(M12,'Daily Tasks'!$A$7:$A$500,0))="","",INDEX('Daily Tasks'!$O$7:$O$500,MATCH(M12,'Daily Tasks'!$A$7:$A$500,0)))</x:f>
      </x:c>
      <x:c r="H12" s="27" t="str">
        <x:f>IF(INDEX('Daily Tasks'!$P$7:$P$500,MATCH(M12,'Daily Tasks'!$A$7:$A$500,0))=0,"",INDEX('Daily Tasks'!$P$7:$P$500,MATCH(M12,'Daily Tasks'!$A$7:$A$500,0)))</x:f>
      </x:c>
      <x:c r="I12" s="26" t="str">
        <x:v>M03</x:v>
      </x:c>
      <x:c r="J12" s="26" t="n">
        <x:f>IF(AND(S12=1,COUNTIFS($A$7:$A$27,"M03",$S$7:$S$27,1)=1,COUNTIFS($A$7:$A$27,"M01",$S$7:$S$27,1)=1),1,0)</x:f>
        <x:v>0</x:v>
      </x:c>
      <x:c r="K12" s="26" t="str">
        <x:f>IF(INDEX('Daily Tasks'!$L$7:$L$500,MATCH(M12,'Daily Tasks'!$A$7:$A$500,0))="","",INDEX('Daily Tasks'!$L$7:$L$500,MATCH(M12,'Daily Tasks'!$A$7:$A$500,0)))</x:f>
      </x:c>
      <x:c r="L12" s="26" t="str">
        <x:v>Voice guide, 3-email sequence, full 5-touch LI script, phone opener, 10 replies, 8 objections, landing copy and first 3 posts; Writer 20-contact test.</x:v>
      </x:c>
      <x:c r="M12" s="26" t="str">
        <x:v>T0047</x:v>
      </x:c>
      <x:c r="N12" s="28" t="str">
        <x:v>Not reviewed</x:v>
      </x:c>
      <x:c r="O12" s="28" t="str"/>
      <x:c r="P12" s="28"/>
      <x:c r="Q12" s="29"/>
      <x:c r="R12" s="28" t="str"/>
      <x:c r="S12" s="2" t="n">
        <x:f>IF(AND(COUNTIFS('Daily Tasks'!$A$7:$A$500,M12,'Daily Tasks'!$Q$7:$Q$500,1)=1,N12="Verified",O12&lt;&gt;"",P12&lt;&gt;"",ISNUMBER(Q12),Q12&gt;0,Q12&lt;='Dashboard'!$B$5),1,0)</x:f>
        <x:v>0</x:v>
      </x:c>
    </x:row>
    <x:row r="13" ht="76" customHeight="1">
      <x:c r="A13" s="2" t="str">
        <x:v>M06</x:v>
      </x:c>
      <x:c r="B13" s="17" t="n">
        <x:v>46325</x:v>
      </x:c>
      <x:c r="C13" s="2" t="str">
        <x:v>Wyline</x:v>
      </x:c>
      <x:c r="D13" s="26" t="str">
        <x:v>Launch go/no-go</x:v>
      </x:c>
      <x:c r="E13" s="26" t="str">
        <x:f>INDEX('Daily Tasks'!$I$7:$I$500,MATCH(M13,'Daily Tasks'!$A$7:$A$500,0))</x:f>
        <x:v>Ready</x:v>
      </x:c>
      <x:c r="F13" s="26" t="str">
        <x:f>IF(INDEX('Daily Tasks'!$K$7:$K$500,MATCH(M13,'Daily Tasks'!$A$7:$A$500,0))="","",INDEX('Daily Tasks'!$K$7:$K$500,MATCH(M13,'Daily Tasks'!$A$7:$A$500,0)))</x:f>
      </x:c>
      <x:c r="G13" s="26" t="str">
        <x:f>IF(INDEX('Daily Tasks'!$O$7:$O$500,MATCH(M13,'Daily Tasks'!$A$7:$A$500,0))="","",INDEX('Daily Tasks'!$O$7:$O$500,MATCH(M13,'Daily Tasks'!$A$7:$A$500,0)))</x:f>
      </x:c>
      <x:c r="H13" s="27" t="str">
        <x:f>IF(INDEX('Daily Tasks'!$P$7:$P$500,MATCH(M13,'Daily Tasks'!$A$7:$A$500,0))=0,"",INDEX('Daily Tasks'!$P$7:$P$500,MATCH(M13,'Daily Tasks'!$A$7:$A$500,0)))</x:f>
      </x:c>
      <x:c r="I13" s="26" t="str">
        <x:v>M02; M03; M04; M05</x:v>
      </x:c>
      <x:c r="J13" s="26" t="n">
        <x:f>IF(AND(S13=1,COUNTIFS($A$7:$A$27,"M02",$S$7:$S$27,1)=1,COUNTIFS($A$7:$A$27,"M01",$S$7:$S$27,1)=1,COUNTIFS($A$7:$A$27,"M03",$S$7:$S$27,1)=1,COUNTIFS($A$7:$A$27,"M04",$S$7:$S$27,1)=1,COUNTIFS($A$7:$A$27,"M05",$S$7:$S$27,1)=1),1,0)</x:f>
        <x:v>0</x:v>
      </x:c>
      <x:c r="K13" s="26" t="str">
        <x:f>IF(INDEX('Daily Tasks'!$L$7:$L$500,MATCH(M13,'Daily Tasks'!$A$7:$A$500,0))="","",INDEX('Daily Tasks'!$L$7:$L$500,MATCH(M13,'Daily Tasks'!$A$7:$A$500,0)))</x:f>
      </x:c>
      <x:c r="L13" s="26" t="str">
        <x:v>All hard approvals +250 QA-passed records +approved copy +staffed manual reply lane +signed CQL test. Automation may use verified manual fallback; terms/consent never bypassed.</x:v>
      </x:c>
      <x:c r="M13" s="26" t="str">
        <x:v>T0055</x:v>
      </x:c>
      <x:c r="N13" s="28" t="str">
        <x:v>Not reviewed</x:v>
      </x:c>
      <x:c r="O13" s="28" t="str"/>
      <x:c r="P13" s="28"/>
      <x:c r="Q13" s="29"/>
      <x:c r="R13" s="28" t="str"/>
      <x:c r="S13" s="2" t="n">
        <x:f>IF(AND(COUNTIFS('Daily Tasks'!$A$7:$A$500,M13,'Daily Tasks'!$Q$7:$Q$500,1)=1,N13="Verified",O13&lt;&gt;"",P13&lt;&gt;"",ISNUMBER(Q13),Q13&gt;0,Q13&lt;='Dashboard'!$B$5),1,0)</x:f>
        <x:v>0</x:v>
      </x:c>
    </x:row>
    <x:row r="14" ht="76" customHeight="1">
      <x:c r="A14" s="2" t="str">
        <x:v>M07</x:v>
      </x:c>
      <x:c r="B14" s="17" t="n">
        <x:v>46328</x:v>
      </x:c>
      <x:c r="C14" s="2" t="str">
        <x:v>Nova</x:v>
      </x:c>
      <x:c r="D14" s="26" t="str">
        <x:v>Timed full dry run</x:v>
      </x:c>
      <x:c r="E14" s="26" t="str">
        <x:f>INDEX('Daily Tasks'!$I$7:$I$500,MATCH(M14,'Daily Tasks'!$A$7:$A$500,0))</x:f>
        <x:v>Ready</x:v>
      </x:c>
      <x:c r="F14" s="26" t="str">
        <x:f>IF(INDEX('Daily Tasks'!$K$7:$K$500,MATCH(M14,'Daily Tasks'!$A$7:$A$500,0))="","",INDEX('Daily Tasks'!$K$7:$K$500,MATCH(M14,'Daily Tasks'!$A$7:$A$500,0)))</x:f>
      </x:c>
      <x:c r="G14" s="26" t="str">
        <x:f>IF(INDEX('Daily Tasks'!$O$7:$O$500,MATCH(M14,'Daily Tasks'!$A$7:$A$500,0))="","",INDEX('Daily Tasks'!$O$7:$O$500,MATCH(M14,'Daily Tasks'!$A$7:$A$500,0)))</x:f>
      </x:c>
      <x:c r="H14" s="27" t="str">
        <x:f>IF(INDEX('Daily Tasks'!$P$7:$P$500,MATCH(M14,'Daily Tasks'!$A$7:$A$500,0))=0,"",INDEX('Daily Tasks'!$P$7:$P$500,MATCH(M14,'Daily Tasks'!$A$7:$A$500,0)))</x:f>
      </x:c>
      <x:c r="I14" s="26" t="str">
        <x:v>M06</x:v>
      </x:c>
      <x:c r="J14" s="26" t="n">
        <x:f>IF(AND(S14=1,COUNTIFS($A$7:$A$27,"M06",$S$7:$S$27,1)=1,COUNTIFS($A$7:$A$27,"M02",$S$7:$S$27,1)=1,COUNTIFS($A$7:$A$27,"M01",$S$7:$S$27,1)=1,COUNTIFS($A$7:$A$27,"M03",$S$7:$S$27,1)=1,COUNTIFS($A$7:$A$27,"M04",$S$7:$S$27,1)=1,COUNTIFS($A$7:$A$27,"M05",$S$7:$S$27,1)=1),1,0)</x:f>
        <x:v>0</x:v>
      </x:c>
      <x:c r="K14" s="26" t="str">
        <x:f>IF(INDEX('Daily Tasks'!$L$7:$L$500,MATCH(M14,'Daily Tasks'!$A$7:$A$500,0))="","",INDEX('Daily Tasks'!$L$7:$L$500,MATCH(M14,'Daily Tasks'!$A$7:$A$500,0)))</x:f>
      </x:c>
      <x:c r="L14" s="26" t="str">
        <x:v>5 test replies all answered within 15 min; positive call task, booking/reminders and trial handoff verified; final suppression and sender health checked.</x:v>
      </x:c>
      <x:c r="M14" s="26" t="str">
        <x:v>T0067</x:v>
      </x:c>
      <x:c r="N14" s="28" t="str">
        <x:v>Not reviewed</x:v>
      </x:c>
      <x:c r="O14" s="28" t="str"/>
      <x:c r="P14" s="28"/>
      <x:c r="Q14" s="29"/>
      <x:c r="R14" s="28" t="str"/>
      <x:c r="S14" s="2" t="n">
        <x:f>IF(AND(COUNTIFS('Daily Tasks'!$A$7:$A$500,M14,'Daily Tasks'!$Q$7:$Q$500,1)=1,N14="Verified",O14&lt;&gt;"",P14&lt;&gt;"",ISNUMBER(Q14),Q14&gt;0,Q14&lt;='Dashboard'!$B$5),1,0)</x:f>
        <x:v>0</x:v>
      </x:c>
    </x:row>
    <x:row r="15" ht="76" customHeight="1">
      <x:c r="A15" s="2" t="str">
        <x:v>M08</x:v>
      </x:c>
      <x:c r="B15" s="17" t="n">
        <x:v>46329</x:v>
      </x:c>
      <x:c r="C15" s="2" t="str">
        <x:v>Nova</x:v>
      </x:c>
      <x:c r="D15" s="26" t="str">
        <x:v>Wave 1 live</x:v>
      </x:c>
      <x:c r="E15" s="26" t="str">
        <x:f>INDEX('Daily Tasks'!$I$7:$I$500,MATCH(M15,'Daily Tasks'!$A$7:$A$500,0))</x:f>
        <x:v>Ready</x:v>
      </x:c>
      <x:c r="F15" s="26" t="str">
        <x:f>IF(INDEX('Daily Tasks'!$K$7:$K$500,MATCH(M15,'Daily Tasks'!$A$7:$A$500,0))="","",INDEX('Daily Tasks'!$K$7:$K$500,MATCH(M15,'Daily Tasks'!$A$7:$A$500,0)))</x:f>
      </x:c>
      <x:c r="G15" s="26" t="str">
        <x:f>IF(INDEX('Daily Tasks'!$O$7:$O$500,MATCH(M15,'Daily Tasks'!$A$7:$A$500,0))="","",INDEX('Daily Tasks'!$O$7:$O$500,MATCH(M15,'Daily Tasks'!$A$7:$A$500,0)))</x:f>
      </x:c>
      <x:c r="H15" s="27" t="str">
        <x:f>IF(INDEX('Daily Tasks'!$P$7:$P$500,MATCH(M15,'Daily Tasks'!$A$7:$A$500,0))=0,"",INDEX('Daily Tasks'!$P$7:$P$500,MATCH(M15,'Daily Tasks'!$A$7:$A$500,0)))</x:f>
      </x:c>
      <x:c r="I15" s="26" t="str">
        <x:v>M07</x:v>
      </x:c>
      <x:c r="J15" s="26" t="n">
        <x:f>IF(AND(S15=1,COUNTIFS($A$7:$A$27,"M07",$S$7:$S$27,1)=1,COUNTIFS($A$7:$A$27,"M06",$S$7:$S$27,1)=1,COUNTIFS($A$7:$A$27,"M02",$S$7:$S$27,1)=1,COUNTIFS($A$7:$A$27,"M01",$S$7:$S$27,1)=1,COUNTIFS($A$7:$A$27,"M03",$S$7:$S$27,1)=1,COUNTIFS($A$7:$A$27,"M04",$S$7:$S$27,1)=1,COUNTIFS($A$7:$A$27,"M05",$S$7:$S$27,1)=1),1,0)</x:f>
        <x:v>0</x:v>
      </x:c>
      <x:c r="K15" s="26" t="str">
        <x:f>IF(INDEX('Daily Tasks'!$L$7:$L$500,MATCH(M15,'Daily Tasks'!$A$7:$A$500,0))="","",INDEX('Daily Tasks'!$L$7:$L$500,MATCH(M15,'Daily Tasks'!$A$7:$A$500,0)))</x:f>
      </x:c>
      <x:c r="L15" s="26" t="str">
        <x:v>Release only approved contacts; total first emails+follow-ups &lt;=150/day and &lt;=15/mailbox/day; human response coverage active.</x:v>
      </x:c>
      <x:c r="M15" s="26" t="str">
        <x:v>T0078</x:v>
      </x:c>
      <x:c r="N15" s="28" t="str">
        <x:v>Not reviewed</x:v>
      </x:c>
      <x:c r="O15" s="28" t="str"/>
      <x:c r="P15" s="28"/>
      <x:c r="Q15" s="29"/>
      <x:c r="R15" s="28" t="str"/>
      <x:c r="S15" s="2" t="n">
        <x:f>IF(AND(COUNTIFS('Daily Tasks'!$A$7:$A$500,M15,'Daily Tasks'!$Q$7:$Q$500,1)=1,N15="Verified",O15&lt;&gt;"",P15&lt;&gt;"",ISNUMBER(Q15),Q15&gt;0,Q15&lt;='Dashboard'!$B$5),1,0)</x:f>
        <x:v>0</x:v>
      </x:c>
    </x:row>
    <x:row r="16" ht="76" customHeight="1">
      <x:c r="A16" s="2" t="str">
        <x:v>M09</x:v>
      </x:c>
      <x:c r="B16" s="17" t="n">
        <x:v>46332</x:v>
      </x:c>
      <x:c r="C16" s="2" t="str">
        <x:v>Joey</x:v>
      </x:c>
      <x:c r="D16" s="26" t="str">
        <x:v>500 verified and assists accepted</x:v>
      </x:c>
      <x:c r="E16" s="26" t="str">
        <x:f>INDEX('Daily Tasks'!$I$7:$I$500,MATCH(M16,'Daily Tasks'!$A$7:$A$500,0))</x:f>
        <x:v>Ready</x:v>
      </x:c>
      <x:c r="F16" s="26" t="str">
        <x:f>IF(INDEX('Daily Tasks'!$K$7:$K$500,MATCH(M16,'Daily Tasks'!$A$7:$A$500,0))="","",INDEX('Daily Tasks'!$K$7:$K$500,MATCH(M16,'Daily Tasks'!$A$7:$A$500,0)))</x:f>
      </x:c>
      <x:c r="G16" s="26" t="str">
        <x:f>IF(INDEX('Daily Tasks'!$O$7:$O$500,MATCH(M16,'Daily Tasks'!$A$7:$A$500,0))="","",INDEX('Daily Tasks'!$O$7:$O$500,MATCH(M16,'Daily Tasks'!$A$7:$A$500,0)))</x:f>
      </x:c>
      <x:c r="H16" s="27" t="str">
        <x:f>IF(INDEX('Daily Tasks'!$P$7:$P$500,MATCH(M16,'Daily Tasks'!$A$7:$A$500,0))=0,"",INDEX('Daily Tasks'!$P$7:$P$500,MATCH(M16,'Daily Tasks'!$A$7:$A$500,0)))</x:f>
      </x:c>
      <x:c r="I16" s="26" t="str">
        <x:v>M08</x:v>
      </x:c>
      <x:c r="J16" s="26" t="n">
        <x:f>IF(AND(S16=1,COUNTIFS($A$7:$A$27,"M08",$S$7:$S$27,1)=1,COUNTIFS($A$7:$A$27,"M07",$S$7:$S$27,1)=1,COUNTIFS($A$7:$A$27,"M06",$S$7:$S$27,1)=1,COUNTIFS($A$7:$A$27,"M02",$S$7:$S$27,1)=1,COUNTIFS($A$7:$A$27,"M01",$S$7:$S$27,1)=1,COUNTIFS($A$7:$A$27,"M03",$S$7:$S$27,1)=1,COUNTIFS($A$7:$A$27,"M04",$S$7:$S$27,1)=1,COUNTIFS($A$7:$A$27,"M05",$S$7:$S$27,1)=1),1,0)</x:f>
        <x:v>0</x:v>
      </x:c>
      <x:c r="K16" s="26" t="str">
        <x:f>IF(INDEX('Daily Tasks'!$L$7:$L$500,MATCH(M16,'Daily Tasks'!$A$7:$A$500,0))="","",INDEX('Daily Tasks'!$L$7:$L$500,MATCH(M16,'Daily Tasks'!$A$7:$A$500,0)))</x:f>
      </x:c>
      <x:c r="L16" s="26" t="str">
        <x:v>500 cumulative verified pool; Phone/LinkedIn Assist accepted or documented manual SOP owner; first bookings checked.</x:v>
      </x:c>
      <x:c r="M16" s="26" t="str">
        <x:v>T0110</x:v>
      </x:c>
      <x:c r="N16" s="28" t="str">
        <x:v>Not reviewed</x:v>
      </x:c>
      <x:c r="O16" s="28" t="str"/>
      <x:c r="P16" s="28"/>
      <x:c r="Q16" s="29"/>
      <x:c r="R16" s="28" t="str"/>
      <x:c r="S16" s="2" t="n">
        <x:f>IF(AND(COUNTIFS('Daily Tasks'!$A$7:$A$500,M16,'Daily Tasks'!$Q$7:$Q$500,1)=1,N16="Verified",O16&lt;&gt;"",P16&lt;&gt;"",ISNUMBER(Q16),Q16&gt;0,Q16&lt;='Dashboard'!$B$5),1,0)</x:f>
        <x:v>0</x:v>
      </x:c>
    </x:row>
    <x:row r="17" ht="76" customHeight="1">
      <x:c r="A17" s="2" t="str">
        <x:v>M20</x:v>
      </x:c>
      <x:c r="B17" s="17" t="n">
        <x:v>46332</x:v>
      </x:c>
      <x:c r="C17" s="2" t="str">
        <x:v>Nova</x:v>
      </x:c>
      <x:c r="D17" s="26" t="str">
        <x:v>First qualified inquiry, booking and held conversation</x:v>
      </x:c>
      <x:c r="E17" s="26" t="str">
        <x:f>INDEX('Daily Tasks'!$I$7:$I$500,MATCH(M17,'Daily Tasks'!$A$7:$A$500,0))</x:f>
        <x:v>Ready</x:v>
      </x:c>
      <x:c r="F17" s="26" t="str">
        <x:f>IF(INDEX('Daily Tasks'!$K$7:$K$500,MATCH(M17,'Daily Tasks'!$A$7:$A$500,0))="","",INDEX('Daily Tasks'!$K$7:$K$500,MATCH(M17,'Daily Tasks'!$A$7:$A$500,0)))</x:f>
      </x:c>
      <x:c r="G17" s="26" t="str">
        <x:f>IF(INDEX('Daily Tasks'!$O$7:$O$500,MATCH(M17,'Daily Tasks'!$A$7:$A$500,0))="","",INDEX('Daily Tasks'!$O$7:$O$500,MATCH(M17,'Daily Tasks'!$A$7:$A$500,0)))</x:f>
      </x:c>
      <x:c r="H17" s="27" t="str">
        <x:f>IF(INDEX('Daily Tasks'!$P$7:$P$500,MATCH(M17,'Daily Tasks'!$A$7:$A$500,0))=0,"",INDEX('Daily Tasks'!$P$7:$P$500,MATCH(M17,'Daily Tasks'!$A$7:$A$500,0)))</x:f>
      </x:c>
      <x:c r="I17" s="26" t="str">
        <x:v>M08</x:v>
      </x:c>
      <x:c r="J17" s="26" t="n">
        <x:f>IF(AND(S17=1,COUNTIFS($A$7:$A$27,"M08",$S$7:$S$27,1)=1,COUNTIFS($A$7:$A$27,"M07",$S$7:$S$27,1)=1,COUNTIFS($A$7:$A$27,"M06",$S$7:$S$27,1)=1,COUNTIFS($A$7:$A$27,"M02",$S$7:$S$27,1)=1,COUNTIFS($A$7:$A$27,"M01",$S$7:$S$27,1)=1,COUNTIFS($A$7:$A$27,"M03",$S$7:$S$27,1)=1,COUNTIFS($A$7:$A$27,"M04",$S$7:$S$27,1)=1,COUNTIFS($A$7:$A$27,"M05",$S$7:$S$27,1)=1),1,0)</x:f>
        <x:v>0</x:v>
      </x:c>
      <x:c r="K17" s="26" t="str">
        <x:f>IF(INDEX('Daily Tasks'!$L$7:$L$500,MATCH(M17,'Daily Tasks'!$A$7:$A$500,0))="","",INDEX('Daily Tasks'!$L$7:$L$500,MATCH(M17,'Daily Tasks'!$A$7:$A$500,0)))</x:f>
      </x:c>
      <x:c r="L17" s="26" t="str">
        <x:v>Launch-week pace: at least 1 qualified inquiry, 1 qualified booking and 1 held conversation; weekly goal is 4 inquiries, 2 bookings and 1 held. If missing, Wyline assigns same-day conversion recovery.</x:v>
      </x:c>
      <x:c r="M17" s="26" t="str">
        <x:v>T0111</x:v>
      </x:c>
      <x:c r="N17" s="28" t="str">
        <x:v>Not reviewed</x:v>
      </x:c>
      <x:c r="O17" s="28" t="str"/>
      <x:c r="P17" s="28"/>
      <x:c r="Q17" s="29"/>
      <x:c r="R17" s="28" t="str"/>
      <x:c r="S17" s="2" t="n">
        <x:f>IF(AND(COUNTIFS('Daily Tasks'!$A$7:$A$500,M17,'Daily Tasks'!$Q$7:$Q$500,1)=1,N17="Verified",O17&lt;&gt;"",P17&lt;&gt;"",ISNUMBER(Q17),Q17&gt;0,Q17&lt;='Dashboard'!$B$5),1,0)</x:f>
        <x:v>0</x:v>
      </x:c>
    </x:row>
    <x:row r="18" ht="76" customHeight="1">
      <x:c r="A18" s="2" t="str">
        <x:v>M10</x:v>
      </x:c>
      <x:c r="B18" s="17" t="n">
        <x:v>46338</x:v>
      </x:c>
      <x:c r="C18" s="2" t="str">
        <x:v>Emman</x:v>
      </x:c>
      <x:c r="D18" s="26" t="str">
        <x:v>Scoreboard automation accepted</x:v>
      </x:c>
      <x:c r="E18" s="26" t="str">
        <x:f>INDEX('Daily Tasks'!$I$7:$I$500,MATCH(M18,'Daily Tasks'!$A$7:$A$500,0))</x:f>
        <x:v>Ready</x:v>
      </x:c>
      <x:c r="F18" s="26" t="str">
        <x:f>IF(INDEX('Daily Tasks'!$K$7:$K$500,MATCH(M18,'Daily Tasks'!$A$7:$A$500,0))="","",INDEX('Daily Tasks'!$K$7:$K$500,MATCH(M18,'Daily Tasks'!$A$7:$A$500,0)))</x:f>
      </x:c>
      <x:c r="G18" s="26" t="str">
        <x:f>IF(INDEX('Daily Tasks'!$O$7:$O$500,MATCH(M18,'Daily Tasks'!$A$7:$A$500,0))="","",INDEX('Daily Tasks'!$O$7:$O$500,MATCH(M18,'Daily Tasks'!$A$7:$A$500,0)))</x:f>
      </x:c>
      <x:c r="H18" s="27" t="str">
        <x:f>IF(INDEX('Daily Tasks'!$P$7:$P$500,MATCH(M18,'Daily Tasks'!$A$7:$A$500,0))=0,"",INDEX('Daily Tasks'!$P$7:$P$500,MATCH(M18,'Daily Tasks'!$A$7:$A$500,0)))</x:f>
      </x:c>
      <x:c r="I18" s="26" t="str">
        <x:v>M08</x:v>
      </x:c>
      <x:c r="J18" s="26" t="n">
        <x:f>IF(AND(S18=1,COUNTIFS($A$7:$A$27,"M08",$S$7:$S$27,1)=1,COUNTIFS($A$7:$A$27,"M07",$S$7:$S$27,1)=1,COUNTIFS($A$7:$A$27,"M06",$S$7:$S$27,1)=1,COUNTIFS($A$7:$A$27,"M02",$S$7:$S$27,1)=1,COUNTIFS($A$7:$A$27,"M01",$S$7:$S$27,1)=1,COUNTIFS($A$7:$A$27,"M03",$S$7:$S$27,1)=1,COUNTIFS($A$7:$A$27,"M04",$S$7:$S$27,1)=1,COUNTIFS($A$7:$A$27,"M05",$S$7:$S$27,1)=1),1,0)</x:f>
        <x:v>0</x:v>
      </x:c>
      <x:c r="K18" s="26" t="str">
        <x:f>IF(INDEX('Daily Tasks'!$L$7:$L$500,MATCH(M18,'Daily Tasks'!$A$7:$A$500,0))="","",INDEX('Daily Tasks'!$L$7:$L$500,MATCH(M18,'Daily Tasks'!$A$7:$A$500,0)))</x:f>
      </x:c>
      <x:c r="L18" s="26" t="str">
        <x:v>Three consecutive reconciled daily counts; missing data stays blank; Wyline signs acceptance.</x:v>
      </x:c>
      <x:c r="M18" s="26" t="str">
        <x:v>T0156</x:v>
      </x:c>
      <x:c r="N18" s="28" t="str">
        <x:v>Not reviewed</x:v>
      </x:c>
      <x:c r="O18" s="28" t="str"/>
      <x:c r="P18" s="28"/>
      <x:c r="Q18" s="29"/>
      <x:c r="R18" s="28" t="str"/>
      <x:c r="S18" s="2" t="n">
        <x:f>IF(AND(COUNTIFS('Daily Tasks'!$A$7:$A$500,M18,'Daily Tasks'!$Q$7:$Q$500,1)=1,N18="Verified",O18&lt;&gt;"",P18&lt;&gt;"",ISNUMBER(Q18),Q18&gt;0,Q18&lt;='Dashboard'!$B$5),1,0)</x:f>
        <x:v>0</x:v>
      </x:c>
    </x:row>
    <x:row r="19" ht="76" customHeight="1">
      <x:c r="A19" s="2" t="str">
        <x:v>M11</x:v>
      </x:c>
      <x:c r="B19" s="17" t="n">
        <x:v>46339</x:v>
      </x:c>
      <x:c r="C19" s="2" t="str">
        <x:v>Maseeha</x:v>
      </x:c>
      <x:c r="D19" s="26" t="str">
        <x:v>A/B referral asks complete</x:v>
      </x:c>
      <x:c r="E19" s="26" t="str">
        <x:f>INDEX('Daily Tasks'!$I$7:$I$500,MATCH(M19,'Daily Tasks'!$A$7:$A$500,0))</x:f>
        <x:v>Ready</x:v>
      </x:c>
      <x:c r="F19" s="26" t="str">
        <x:f>IF(INDEX('Daily Tasks'!$K$7:$K$500,MATCH(M19,'Daily Tasks'!$A$7:$A$500,0))="","",INDEX('Daily Tasks'!$K$7:$K$500,MATCH(M19,'Daily Tasks'!$A$7:$A$500,0)))</x:f>
      </x:c>
      <x:c r="G19" s="26" t="str">
        <x:f>IF(INDEX('Daily Tasks'!$O$7:$O$500,MATCH(M19,'Daily Tasks'!$A$7:$A$500,0))="","",INDEX('Daily Tasks'!$O$7:$O$500,MATCH(M19,'Daily Tasks'!$A$7:$A$500,0)))</x:f>
      </x:c>
      <x:c r="H19" s="27" t="str">
        <x:f>IF(INDEX('Daily Tasks'!$P$7:$P$500,MATCH(M19,'Daily Tasks'!$A$7:$A$500,0))=0,"",INDEX('Daily Tasks'!$P$7:$P$500,MATCH(M19,'Daily Tasks'!$A$7:$A$500,0)))</x:f>
      </x:c>
      <x:c r="I19" s="26" t="str">
        <x:v>M03</x:v>
      </x:c>
      <x:c r="J19" s="26" t="n">
        <x:f>IF(AND(S19=1,COUNTIFS($A$7:$A$27,"M03",$S$7:$S$27,1)=1,COUNTIFS($A$7:$A$27,"M01",$S$7:$S$27,1)=1),1,0)</x:f>
        <x:v>0</x:v>
      </x:c>
      <x:c r="K19" s="26" t="str">
        <x:f>IF(INDEX('Daily Tasks'!$L$7:$L$500,MATCH(M19,'Daily Tasks'!$A$7:$A$500,0))="","",INDEX('Daily Tasks'!$L$7:$L$500,MATCH(M19,'Daily Tasks'!$A$7:$A$500,0)))</x:f>
      </x:c>
      <x:c r="L19" s="26" t="str">
        <x:v>25 unique asks: 5 A +20 B; Nic called all 5 A accounts; outcome and next step logged.</x:v>
      </x:c>
      <x:c r="M19" s="26" t="str">
        <x:v>T0432</x:v>
      </x:c>
      <x:c r="N19" s="28" t="str">
        <x:v>Not reviewed</x:v>
      </x:c>
      <x:c r="O19" s="28" t="str"/>
      <x:c r="P19" s="28"/>
      <x:c r="Q19" s="29"/>
      <x:c r="R19" s="28" t="str"/>
      <x:c r="S19" s="2" t="n">
        <x:f>IF(AND(COUNTIFS('Daily Tasks'!$A$7:$A$500,M19,'Daily Tasks'!$Q$7:$Q$500,1)=1,N19="Verified",O19&lt;&gt;"",P19&lt;&gt;"",ISNUMBER(Q19),Q19&gt;0,Q19&lt;='Dashboard'!$B$5),1,0)</x:f>
        <x:v>0</x:v>
      </x:c>
    </x:row>
    <x:row r="20" ht="76" customHeight="1">
      <x:c r="A20" s="2" t="str">
        <x:v>M12</x:v>
      </x:c>
      <x:c r="B20" s="17" t="n">
        <x:v>46345</x:v>
      </x:c>
      <x:c r="C20" s="2" t="str">
        <x:v>Emman</x:v>
      </x:c>
      <x:c r="D20" s="26" t="str">
        <x:v>Client Reporter accepted</x:v>
      </x:c>
      <x:c r="E20" s="26" t="str">
        <x:f>INDEX('Daily Tasks'!$I$7:$I$500,MATCH(M20,'Daily Tasks'!$A$7:$A$500,0))</x:f>
        <x:v>Ready</x:v>
      </x:c>
      <x:c r="F20" s="26" t="str">
        <x:f>IF(INDEX('Daily Tasks'!$K$7:$K$500,MATCH(M20,'Daily Tasks'!$A$7:$A$500,0))="","",INDEX('Daily Tasks'!$K$7:$K$500,MATCH(M20,'Daily Tasks'!$A$7:$A$500,0)))</x:f>
      </x:c>
      <x:c r="G20" s="26" t="str">
        <x:f>IF(INDEX('Daily Tasks'!$O$7:$O$500,MATCH(M20,'Daily Tasks'!$A$7:$A$500,0))="","",INDEX('Daily Tasks'!$O$7:$O$500,MATCH(M20,'Daily Tasks'!$A$7:$A$500,0)))</x:f>
      </x:c>
      <x:c r="H20" s="27" t="str">
        <x:f>IF(INDEX('Daily Tasks'!$P$7:$P$500,MATCH(M20,'Daily Tasks'!$A$7:$A$500,0))=0,"",INDEX('Daily Tasks'!$P$7:$P$500,MATCH(M20,'Daily Tasks'!$A$7:$A$500,0)))</x:f>
      </x:c>
      <x:c r="I20" s="26" t="str">
        <x:v>M10</x:v>
      </x:c>
      <x:c r="J20" s="26" t="n">
        <x:f>IF(AND(S20=1,COUNTIFS($A$7:$A$27,"M10",$S$7:$S$27,1)=1,COUNTIFS($A$7:$A$27,"M08",$S$7:$S$27,1)=1,COUNTIFS($A$7:$A$27,"M07",$S$7:$S$27,1)=1,COUNTIFS($A$7:$A$27,"M06",$S$7:$S$27,1)=1,COUNTIFS($A$7:$A$27,"M02",$S$7:$S$27,1)=1,COUNTIFS($A$7:$A$27,"M01",$S$7:$S$27,1)=1,COUNTIFS($A$7:$A$27,"M03",$S$7:$S$27,1)=1,COUNTIFS($A$7:$A$27,"M04",$S$7:$S$27,1)=1,COUNTIFS($A$7:$A$27,"M05",$S$7:$S$27,1)=1),1,0)</x:f>
        <x:v>0</x:v>
      </x:c>
      <x:c r="K20" s="26" t="str">
        <x:f>IF(INDEX('Daily Tasks'!$L$7:$L$500,MATCH(M20,'Daily Tasks'!$A$7:$A$500,0))="","",INDEX('Daily Tasks'!$L$7:$L$500,MATCH(M20,'Daily Tasks'!$A$7:$A$500,0)))</x:f>
      </x:c>
      <x:c r="L20" s="26" t="str">
        <x:v>Evidence-backed report edited &lt;10 min by Wyline with zero QA defects.</x:v>
      </x:c>
      <x:c r="M20" s="26" t="str">
        <x:v>T0211</x:v>
      </x:c>
      <x:c r="N20" s="28" t="str">
        <x:v>Not reviewed</x:v>
      </x:c>
      <x:c r="O20" s="28" t="str"/>
      <x:c r="P20" s="28"/>
      <x:c r="Q20" s="29"/>
      <x:c r="R20" s="28" t="str"/>
      <x:c r="S20" s="2" t="n">
        <x:f>IF(AND(COUNTIFS('Daily Tasks'!$A$7:$A$500,M20,'Daily Tasks'!$Q$7:$Q$500,1)=1,N20="Verified",O20&lt;&gt;"",P20&lt;&gt;"",ISNUMBER(Q20),Q20&gt;0,Q20&lt;='Dashboard'!$B$5),1,0)</x:f>
        <x:v>0</x:v>
      </x:c>
    </x:row>
    <x:row r="21" ht="76" customHeight="1">
      <x:c r="A21" s="2" t="str">
        <x:v>M13</x:v>
      </x:c>
      <x:c r="B21" s="17" t="n">
        <x:v>46346</x:v>
      </x:c>
      <x:c r="C21" s="2" t="str">
        <x:v>Wyline</x:v>
      </x:c>
      <x:c r="D21" s="26" t="str">
        <x:v>Midpoint funnel decision</x:v>
      </x:c>
      <x:c r="E21" s="26" t="str">
        <x:f>INDEX('Daily Tasks'!$I$7:$I$500,MATCH(M21,'Daily Tasks'!$A$7:$A$500,0))</x:f>
        <x:v>Ready</x:v>
      </x:c>
      <x:c r="F21" s="26" t="str">
        <x:f>IF(INDEX('Daily Tasks'!$K$7:$K$500,MATCH(M21,'Daily Tasks'!$A$7:$A$500,0))="","",INDEX('Daily Tasks'!$K$7:$K$500,MATCH(M21,'Daily Tasks'!$A$7:$A$500,0)))</x:f>
      </x:c>
      <x:c r="G21" s="26" t="str">
        <x:f>IF(INDEX('Daily Tasks'!$O$7:$O$500,MATCH(M21,'Daily Tasks'!$A$7:$A$500,0))="","",INDEX('Daily Tasks'!$O$7:$O$500,MATCH(M21,'Daily Tasks'!$A$7:$A$500,0)))</x:f>
      </x:c>
      <x:c r="H21" s="27" t="str">
        <x:f>IF(INDEX('Daily Tasks'!$P$7:$P$500,MATCH(M21,'Daily Tasks'!$A$7:$A$500,0))=0,"",INDEX('Daily Tasks'!$P$7:$P$500,MATCH(M21,'Daily Tasks'!$A$7:$A$500,0)))</x:f>
      </x:c>
      <x:c r="I21" s="26" t="str">
        <x:v>M08</x:v>
      </x:c>
      <x:c r="J21" s="26" t="n">
        <x:f>IF(AND(S21=1,COUNTIFS($A$7:$A$27,"M08",$S$7:$S$27,1)=1,COUNTIFS($A$7:$A$27,"M07",$S$7:$S$27,1)=1,COUNTIFS($A$7:$A$27,"M06",$S$7:$S$27,1)=1,COUNTIFS($A$7:$A$27,"M02",$S$7:$S$27,1)=1,COUNTIFS($A$7:$A$27,"M01",$S$7:$S$27,1)=1,COUNTIFS($A$7:$A$27,"M03",$S$7:$S$27,1)=1,COUNTIFS($A$7:$A$27,"M04",$S$7:$S$27,1)=1,COUNTIFS($A$7:$A$27,"M05",$S$7:$S$27,1)=1),1,0)</x:f>
        <x:v>0</x:v>
      </x:c>
      <x:c r="K21" s="26" t="str">
        <x:f>IF(INDEX('Daily Tasks'!$L$7:$L$500,MATCH(M21,'Daily Tasks'!$A$7:$A$500,0))="","",INDEX('Daily Tasks'!$L$7:$L$500,MATCH(M21,'Daily Tasks'!$A$7:$A$500,0)))</x:f>
      </x:c>
      <x:c r="L21" s="26" t="str">
        <x:v>500 verified contacts, 16 qualified inquiries, 8 booked, 6 held planning target and 2 received trials; 8 referral intros, 4 referral bookings and 3 LinkedIn bookings. Source-attributed bookings are subsets of the total. Decide the next recovery action from actual data.</x:v>
      </x:c>
      <x:c r="M21" s="26" t="str">
        <x:v>T0218</x:v>
      </x:c>
      <x:c r="N21" s="28" t="str">
        <x:v>Not reviewed</x:v>
      </x:c>
      <x:c r="O21" s="28" t="str"/>
      <x:c r="P21" s="28"/>
      <x:c r="Q21" s="29"/>
      <x:c r="R21" s="28" t="str"/>
      <x:c r="S21" s="2" t="n">
        <x:f>IF(AND(COUNTIFS('Daily Tasks'!$A$7:$A$500,M21,'Daily Tasks'!$Q$7:$Q$500,1)=1,N21="Verified",O21&lt;&gt;"",P21&lt;&gt;"",ISNUMBER(Q21),Q21&gt;0,Q21&lt;='Dashboard'!$B$5),1,0)</x:f>
        <x:v>0</x:v>
      </x:c>
    </x:row>
    <x:row r="22" ht="76" customHeight="1">
      <x:c r="A22" s="2" t="str">
        <x:v>M14</x:v>
      </x:c>
      <x:c r="B22" s="17" t="n">
        <x:v>46351</x:v>
      </x:c>
      <x:c r="C22" s="2" t="str">
        <x:v>Maseeha</x:v>
      </x:c>
      <x:c r="D22" s="26" t="str">
        <x:v>All 41 existing-account asks complete</x:v>
      </x:c>
      <x:c r="E22" s="26" t="str">
        <x:f>INDEX('Daily Tasks'!$I$7:$I$500,MATCH(M22,'Daily Tasks'!$A$7:$A$500,0))</x:f>
        <x:v>Ready</x:v>
      </x:c>
      <x:c r="F22" s="26" t="str">
        <x:f>IF(INDEX('Daily Tasks'!$K$7:$K$500,MATCH(M22,'Daily Tasks'!$A$7:$A$500,0))="","",INDEX('Daily Tasks'!$K$7:$K$500,MATCH(M22,'Daily Tasks'!$A$7:$A$500,0)))</x:f>
      </x:c>
      <x:c r="G22" s="26" t="str">
        <x:f>IF(INDEX('Daily Tasks'!$O$7:$O$500,MATCH(M22,'Daily Tasks'!$A$7:$A$500,0))="","",INDEX('Daily Tasks'!$O$7:$O$500,MATCH(M22,'Daily Tasks'!$A$7:$A$500,0)))</x:f>
      </x:c>
      <x:c r="H22" s="27" t="str">
        <x:f>IF(INDEX('Daily Tasks'!$P$7:$P$500,MATCH(M22,'Daily Tasks'!$A$7:$A$500,0))=0,"",INDEX('Daily Tasks'!$P$7:$P$500,MATCH(M22,'Daily Tasks'!$A$7:$A$500,0)))</x:f>
      </x:c>
      <x:c r="I22" s="26" t="str">
        <x:v>M11</x:v>
      </x:c>
      <x:c r="J22" s="26" t="n">
        <x:f>IF(AND(S22=1,COUNTIFS($A$7:$A$27,"M11",$S$7:$S$27,1)=1,COUNTIFS($A$7:$A$27,"M03",$S$7:$S$27,1)=1,COUNTIFS($A$7:$A$27,"M01",$S$7:$S$27,1)=1),1,0)</x:f>
        <x:v>0</x:v>
      </x:c>
      <x:c r="K22" s="26" t="str">
        <x:f>IF(INDEX('Daily Tasks'!$L$7:$L$500,MATCH(M22,'Daily Tasks'!$A$7:$A$500,0))="","",INDEX('Daily Tasks'!$L$7:$L$500,MATCH(M22,'Daily Tasks'!$A$7:$A$500,0)))</x:f>
      </x:c>
      <x:c r="L22" s="26" t="str">
        <x:v>16 C asks added to 25 A/B; permission/Source/Referrer and credit criteria verified.</x:v>
      </x:c>
      <x:c r="M22" s="26" t="str">
        <x:v>T0433</x:v>
      </x:c>
      <x:c r="N22" s="28" t="str">
        <x:v>Not reviewed</x:v>
      </x:c>
      <x:c r="O22" s="28" t="str"/>
      <x:c r="P22" s="28"/>
      <x:c r="Q22" s="29"/>
      <x:c r="R22" s="28" t="str"/>
      <x:c r="S22" s="2" t="n">
        <x:f>IF(AND(COUNTIFS('Daily Tasks'!$A$7:$A$500,M22,'Daily Tasks'!$Q$7:$Q$500,1)=1,N22="Verified",O22&lt;&gt;"",P22&lt;&gt;"",ISNUMBER(Q22),Q22&gt;0,Q22&lt;='Dashboard'!$B$5),1,0)</x:f>
        <x:v>0</x:v>
      </x:c>
    </x:row>
    <x:row r="23" ht="76" customHeight="1">
      <x:c r="A23" s="2" t="str">
        <x:v>M15</x:v>
      </x:c>
      <x:c r="B23" s="17" t="n">
        <x:v>46351</x:v>
      </x:c>
      <x:c r="C23" s="2" t="str">
        <x:v>Wyline</x:v>
      </x:c>
      <x:c r="D23" s="26" t="str">
        <x:v>SOP and agent recovery ready</x:v>
      </x:c>
      <x:c r="E23" s="26" t="str">
        <x:f>INDEX('Daily Tasks'!$I$7:$I$500,MATCH(M23,'Daily Tasks'!$A$7:$A$500,0))</x:f>
        <x:v>Ready</x:v>
      </x:c>
      <x:c r="F23" s="26" t="str">
        <x:f>IF(INDEX('Daily Tasks'!$K$7:$K$500,MATCH(M23,'Daily Tasks'!$A$7:$A$500,0))="","",INDEX('Daily Tasks'!$K$7:$K$500,MATCH(M23,'Daily Tasks'!$A$7:$A$500,0)))</x:f>
      </x:c>
      <x:c r="G23" s="26" t="str">
        <x:f>IF(INDEX('Daily Tasks'!$O$7:$O$500,MATCH(M23,'Daily Tasks'!$A$7:$A$500,0))="","",INDEX('Daily Tasks'!$O$7:$O$500,MATCH(M23,'Daily Tasks'!$A$7:$A$500,0)))</x:f>
      </x:c>
      <x:c r="H23" s="27" t="str">
        <x:f>IF(INDEX('Daily Tasks'!$P$7:$P$500,MATCH(M23,'Daily Tasks'!$A$7:$A$500,0))=0,"",INDEX('Daily Tasks'!$P$7:$P$500,MATCH(M23,'Daily Tasks'!$A$7:$A$500,0)))</x:f>
      </x:c>
      <x:c r="I23" s="26" t="str">
        <x:v>M12; M13</x:v>
      </x:c>
      <x:c r="J23" s="26" t="n">
        <x:f>IF(AND(S23=1,COUNTIFS($A$7:$A$27,"M12",$S$7:$S$27,1)=1,COUNTIFS($A$7:$A$27,"M10",$S$7:$S$27,1)=1,COUNTIFS($A$7:$A$27,"M08",$S$7:$S$27,1)=1,COUNTIFS($A$7:$A$27,"M07",$S$7:$S$27,1)=1,COUNTIFS($A$7:$A$27,"M06",$S$7:$S$27,1)=1,COUNTIFS($A$7:$A$27,"M02",$S$7:$S$27,1)=1,COUNTIFS($A$7:$A$27,"M01",$S$7:$S$27,1)=1,COUNTIFS($A$7:$A$27,"M03",$S$7:$S$27,1)=1,COUNTIFS($A$7:$A$27,"M04",$S$7:$S$27,1)=1,COUNTIFS($A$7:$A$27,"M05",$S$7:$S$27,1)=1,COUNTIFS($A$7:$A$27,"M13",$S$7:$S$27,1)=1),1,0)</x:f>
        <x:v>0</x:v>
      </x:c>
      <x:c r="K23" s="26" t="str">
        <x:f>IF(INDEX('Daily Tasks'!$L$7:$L$500,MATCH(M23,'Daily Tasks'!$A$7:$A$500,0))="","",INDEX('Daily Tasks'!$L$7:$L$500,MATCH(M23,'Daily Tasks'!$A$7:$A$500,0)))</x:f>
      </x:c>
      <x:c r="L23" s="26" t="str">
        <x:v>12 SOPs approved with independent-run evidence; 8 agent acceptance records or assigned manual fallback; no mandatory holiday work.</x:v>
      </x:c>
      <x:c r="M23" s="26" t="str">
        <x:v>T0251</x:v>
      </x:c>
      <x:c r="N23" s="28" t="str">
        <x:v>Not reviewed</x:v>
      </x:c>
      <x:c r="O23" s="28" t="str"/>
      <x:c r="P23" s="28"/>
      <x:c r="Q23" s="29"/>
      <x:c r="R23" s="28" t="str"/>
      <x:c r="S23" s="2" t="n">
        <x:f>IF(AND(COUNTIFS('Daily Tasks'!$A$7:$A$500,M23,'Daily Tasks'!$Q$7:$Q$500,1)=1,N23="Verified",O23&lt;&gt;"",P23&lt;&gt;"",ISNUMBER(Q23),Q23&gt;0,Q23&lt;='Dashboard'!$B$5),1,0)</x:f>
        <x:v>0</x:v>
      </x:c>
    </x:row>
    <x:row r="24" ht="76" customHeight="1">
      <x:c r="A24" s="2" t="str">
        <x:v>M16</x:v>
      </x:c>
      <x:c r="B24" s="17" t="n">
        <x:v>46360</x:v>
      </x:c>
      <x:c r="C24" s="2" t="str">
        <x:v>Nova</x:v>
      </x:c>
      <x:c r="D24" s="26" t="str">
        <x:v>December recovery checkpoint</x:v>
      </x:c>
      <x:c r="E24" s="26" t="str">
        <x:f>INDEX('Daily Tasks'!$I$7:$I$500,MATCH(M24,'Daily Tasks'!$A$7:$A$500,0))</x:f>
        <x:v>Ready</x:v>
      </x:c>
      <x:c r="F24" s="26" t="str">
        <x:f>IF(INDEX('Daily Tasks'!$K$7:$K$500,MATCH(M24,'Daily Tasks'!$A$7:$A$500,0))="","",INDEX('Daily Tasks'!$K$7:$K$500,MATCH(M24,'Daily Tasks'!$A$7:$A$500,0)))</x:f>
      </x:c>
      <x:c r="G24" s="26" t="str">
        <x:f>IF(INDEX('Daily Tasks'!$O$7:$O$500,MATCH(M24,'Daily Tasks'!$A$7:$A$500,0))="","",INDEX('Daily Tasks'!$O$7:$O$500,MATCH(M24,'Daily Tasks'!$A$7:$A$500,0)))</x:f>
      </x:c>
      <x:c r="H24" s="27" t="str">
        <x:f>IF(INDEX('Daily Tasks'!$P$7:$P$500,MATCH(M24,'Daily Tasks'!$A$7:$A$500,0))=0,"",INDEX('Daily Tasks'!$P$7:$P$500,MATCH(M24,'Daily Tasks'!$A$7:$A$500,0)))</x:f>
      </x:c>
      <x:c r="I24" s="26" t="str">
        <x:v>M13</x:v>
      </x:c>
      <x:c r="J24" s="26" t="n">
        <x:f>IF(AND(S24=1,COUNTIFS($A$7:$A$27,"M13",$S$7:$S$27,1)=1,COUNTIFS($A$7:$A$27,"M08",$S$7:$S$27,1)=1,COUNTIFS($A$7:$A$27,"M07",$S$7:$S$27,1)=1,COUNTIFS($A$7:$A$27,"M06",$S$7:$S$27,1)=1,COUNTIFS($A$7:$A$27,"M02",$S$7:$S$27,1)=1,COUNTIFS($A$7:$A$27,"M01",$S$7:$S$27,1)=1,COUNTIFS($A$7:$A$27,"M03",$S$7:$S$27,1)=1,COUNTIFS($A$7:$A$27,"M04",$S$7:$S$27,1)=1,COUNTIFS($A$7:$A$27,"M05",$S$7:$S$27,1)=1),1,0)</x:f>
        <x:v>0</x:v>
      </x:c>
      <x:c r="K24" s="26" t="str">
        <x:f>IF(INDEX('Daily Tasks'!$L$7:$L$500,MATCH(M24,'Daily Tasks'!$A$7:$A$500,0))="","",INDEX('Daily Tasks'!$L$7:$L$500,MATCH(M24,'Daily Tasks'!$A$7:$A$500,0)))</x:f>
      </x:c>
      <x:c r="L24" s="26" t="str">
        <x:v>Planning pace: 28 qualified inquiries, 14 booked, 10 held and 4 received trials. Follow up every unbooked qualified practice; identify mature Day-30 cohorts.</x:v>
      </x:c>
      <x:c r="M24" s="26" t="str">
        <x:v>T0309</x:v>
      </x:c>
      <x:c r="N24" s="28" t="str">
        <x:v>Not reviewed</x:v>
      </x:c>
      <x:c r="O24" s="28" t="str"/>
      <x:c r="P24" s="28"/>
      <x:c r="Q24" s="29"/>
      <x:c r="R24" s="28" t="str"/>
      <x:c r="S24" s="2" t="n">
        <x:f>IF(AND(COUNTIFS('Daily Tasks'!$A$7:$A$500,M24,'Daily Tasks'!$Q$7:$Q$500,1)=1,N24="Verified",O24&lt;&gt;"",P24&lt;&gt;"",ISNUMBER(Q24),Q24&gt;0,Q24&lt;='Dashboard'!$B$5),1,0)</x:f>
        <x:v>0</x:v>
      </x:c>
    </x:row>
    <x:row r="25" ht="76" customHeight="1">
      <x:c r="A25" s="2" t="str">
        <x:v>M17</x:v>
      </x:c>
      <x:c r="B25" s="17" t="n">
        <x:v>46367</x:v>
      </x:c>
      <x:c r="C25" s="2" t="str">
        <x:v>Wyline</x:v>
      </x:c>
      <x:c r="D25" s="26" t="str">
        <x:v>Full target checkpoint</x:v>
      </x:c>
      <x:c r="E25" s="26" t="str">
        <x:f>INDEX('Daily Tasks'!$I$7:$I$500,MATCH(M25,'Daily Tasks'!$A$7:$A$500,0))</x:f>
        <x:v>Ready</x:v>
      </x:c>
      <x:c r="F25" s="26" t="str">
        <x:f>IF(INDEX('Daily Tasks'!$K$7:$K$500,MATCH(M25,'Daily Tasks'!$A$7:$A$500,0))="","",INDEX('Daily Tasks'!$K$7:$K$500,MATCH(M25,'Daily Tasks'!$A$7:$A$500,0)))</x:f>
      </x:c>
      <x:c r="G25" s="26" t="str">
        <x:f>IF(INDEX('Daily Tasks'!$O$7:$O$500,MATCH(M25,'Daily Tasks'!$A$7:$A$500,0))="","",INDEX('Daily Tasks'!$O$7:$O$500,MATCH(M25,'Daily Tasks'!$A$7:$A$500,0)))</x:f>
      </x:c>
      <x:c r="H25" s="27" t="str">
        <x:f>IF(INDEX('Daily Tasks'!$P$7:$P$500,MATCH(M25,'Daily Tasks'!$A$7:$A$500,0))=0,"",INDEX('Daily Tasks'!$P$7:$P$500,MATCH(M25,'Daily Tasks'!$A$7:$A$500,0)))</x:f>
      </x:c>
      <x:c r="I25" s="26" t="str">
        <x:v>M16</x:v>
      </x:c>
      <x:c r="J25" s="26" t="n">
        <x:f>IF(AND(S25=1,COUNTIFS($A$7:$A$27,"M16",$S$7:$S$27,1)=1,COUNTIFS($A$7:$A$27,"M13",$S$7:$S$27,1)=1,COUNTIFS($A$7:$A$27,"M08",$S$7:$S$27,1)=1,COUNTIFS($A$7:$A$27,"M07",$S$7:$S$27,1)=1,COUNTIFS($A$7:$A$27,"M06",$S$7:$S$27,1)=1,COUNTIFS($A$7:$A$27,"M02",$S$7:$S$27,1)=1,COUNTIFS($A$7:$A$27,"M01",$S$7:$S$27,1)=1,COUNTIFS($A$7:$A$27,"M03",$S$7:$S$27,1)=1,COUNTIFS($A$7:$A$27,"M04",$S$7:$S$27,1)=1,COUNTIFS($A$7:$A$27,"M05",$S$7:$S$27,1)=1),1,0)</x:f>
        <x:v>0</x:v>
      </x:c>
      <x:c r="K25" s="26" t="str">
        <x:f>IF(INDEX('Daily Tasks'!$L$7:$L$500,MATCH(M25,'Daily Tasks'!$A$7:$A$500,0))="","",INDEX('Daily Tasks'!$L$7:$L$500,MATCH(M25,'Daily Tasks'!$A$7:$A$500,0)))</x:f>
      </x:c>
      <x:c r="L25" s="26" t="str">
        <x:v>Planning pace: 750 verified contacts, 40 qualified inquiries, 20 booked, 15 held and 6 received trials; 15 referral introductions; 8 referral and 8 LinkedIn bookings within the total of 20.</x:v>
      </x:c>
      <x:c r="M25" s="26" t="str">
        <x:v>T0361</x:v>
      </x:c>
      <x:c r="N25" s="28" t="str">
        <x:v>Not reviewed</x:v>
      </x:c>
      <x:c r="O25" s="28" t="str"/>
      <x:c r="P25" s="28"/>
      <x:c r="Q25" s="29"/>
      <x:c r="R25" s="28" t="str"/>
      <x:c r="S25" s="2" t="n">
        <x:f>IF(AND(COUNTIFS('Daily Tasks'!$A$7:$A$500,M25,'Daily Tasks'!$Q$7:$Q$500,1)=1,N25="Verified",O25&lt;&gt;"",P25&lt;&gt;"",ISNUMBER(Q25),Q25&gt;0,Q25&lt;='Dashboard'!$B$5),1,0)</x:f>
        <x:v>0</x:v>
      </x:c>
    </x:row>
    <x:row r="26" ht="76" customHeight="1">
      <x:c r="A26" s="2" t="str">
        <x:v>M18</x:v>
      </x:c>
      <x:c r="B26" s="17" t="n">
        <x:v>46372</x:v>
      </x:c>
      <x:c r="C26" s="2" t="str">
        <x:v>Wyline</x:v>
      </x:c>
      <x:c r="D26" s="26" t="str">
        <x:v>Final execution deadline</x:v>
      </x:c>
      <x:c r="E26" s="26" t="str">
        <x:f>INDEX('Daily Tasks'!$I$7:$I$500,MATCH(M26,'Daily Tasks'!$A$7:$A$500,0))</x:f>
        <x:v>Ready</x:v>
      </x:c>
      <x:c r="F26" s="26" t="str">
        <x:f>IF(INDEX('Daily Tasks'!$K$7:$K$500,MATCH(M26,'Daily Tasks'!$A$7:$A$500,0))="","",INDEX('Daily Tasks'!$K$7:$K$500,MATCH(M26,'Daily Tasks'!$A$7:$A$500,0)))</x:f>
      </x:c>
      <x:c r="G26" s="26" t="str">
        <x:f>IF(INDEX('Daily Tasks'!$O$7:$O$500,MATCH(M26,'Daily Tasks'!$A$7:$A$500,0))="","",INDEX('Daily Tasks'!$O$7:$O$500,MATCH(M26,'Daily Tasks'!$A$7:$A$500,0)))</x:f>
      </x:c>
      <x:c r="H26" s="27" t="str">
        <x:f>IF(INDEX('Daily Tasks'!$P$7:$P$500,MATCH(M26,'Daily Tasks'!$A$7:$A$500,0))=0,"",INDEX('Daily Tasks'!$P$7:$P$500,MATCH(M26,'Daily Tasks'!$A$7:$A$500,0)))</x:f>
      </x:c>
      <x:c r="I26" s="26" t="str">
        <x:v>M17</x:v>
      </x:c>
      <x:c r="J26" s="26" t="n">
        <x:f>IF(AND(S26=1,COUNTIFS($A$7:$A$27,"M17",$S$7:$S$27,1)=1,COUNTIFS($A$7:$A$27,"M16",$S$7:$S$27,1)=1,COUNTIFS($A$7:$A$27,"M13",$S$7:$S$27,1)=1,COUNTIFS($A$7:$A$27,"M08",$S$7:$S$27,1)=1,COUNTIFS($A$7:$A$27,"M07",$S$7:$S$27,1)=1,COUNTIFS($A$7:$A$27,"M06",$S$7:$S$27,1)=1,COUNTIFS($A$7:$A$27,"M02",$S$7:$S$27,1)=1,COUNTIFS($A$7:$A$27,"M01",$S$7:$S$27,1)=1,COUNTIFS($A$7:$A$27,"M03",$S$7:$S$27,1)=1,COUNTIFS($A$7:$A$27,"M04",$S$7:$S$27,1)=1,COUNTIFS($A$7:$A$27,"M05",$S$7:$S$27,1)=1),1,0)</x:f>
        <x:v>0</x:v>
      </x:c>
      <x:c r="K26" s="26" t="str">
        <x:f>IF(INDEX('Daily Tasks'!$L$7:$L$500,MATCH(M26,'Daily Tasks'!$A$7:$A$500,0))="","",INDEX('Daily Tasks'!$L$7:$L$500,MATCH(M26,'Daily Tasks'!$A$7:$A$500,0)))</x:f>
      </x:c>
      <x:c r="L26" s="26" t="str">
        <x:v>Final execution target: 40 qualified inquiries, 20 booked, 15 held and 6 received trials. Reconcile evidence and record unmet goals. Count 1–3 recurring only if eligible Day-30 reviews and signed plans exist. Last cold sends December 16; renewal recommendation and future follow-through assigned.</x:v>
      </x:c>
      <x:c r="M26" s="26" t="str">
        <x:v>T0394</x:v>
      </x:c>
      <x:c r="N26" s="28" t="str">
        <x:v>Not reviewed</x:v>
      </x:c>
      <x:c r="O26" s="28" t="str"/>
      <x:c r="P26" s="28"/>
      <x:c r="Q26" s="29"/>
      <x:c r="R26" s="28" t="str"/>
      <x:c r="S26" s="2" t="n">
        <x:f>IF(AND(COUNTIFS('Daily Tasks'!$A$7:$A$500,M26,'Daily Tasks'!$Q$7:$Q$500,1)=1,N26="Verified",O26&lt;&gt;"",P26&lt;&gt;"",ISNUMBER(Q26),Q26&gt;0,Q26&lt;='Dashboard'!$B$5),1,0)</x:f>
        <x:v>0</x:v>
      </x:c>
    </x:row>
    <x:row r="27" ht="76" customHeight="1">
      <x:c r="A27" s="2" t="str">
        <x:v>M19</x:v>
      </x:c>
      <x:c r="B27" s="17" t="n">
        <x:v>46374</x:v>
      </x:c>
      <x:c r="C27" s="2" t="str">
        <x:v>Wyline</x:v>
      </x:c>
      <x:c r="D27" s="26" t="str">
        <x:v>Review and recovery closeout</x:v>
      </x:c>
      <x:c r="E27" s="26" t="str">
        <x:f>INDEX('Daily Tasks'!$I$7:$I$500,MATCH(M27,'Daily Tasks'!$A$7:$A$500,0))</x:f>
        <x:v>Ready</x:v>
      </x:c>
      <x:c r="F27" s="26" t="str">
        <x:f>IF(INDEX('Daily Tasks'!$K$7:$K$500,MATCH(M27,'Daily Tasks'!$A$7:$A$500,0))="","",INDEX('Daily Tasks'!$K$7:$K$500,MATCH(M27,'Daily Tasks'!$A$7:$A$500,0)))</x:f>
      </x:c>
      <x:c r="G27" s="26" t="str">
        <x:f>IF(INDEX('Daily Tasks'!$O$7:$O$500,MATCH(M27,'Daily Tasks'!$A$7:$A$500,0))="","",INDEX('Daily Tasks'!$O$7:$O$500,MATCH(M27,'Daily Tasks'!$A$7:$A$500,0)))</x:f>
      </x:c>
      <x:c r="H27" s="27" t="str">
        <x:f>IF(INDEX('Daily Tasks'!$P$7:$P$500,MATCH(M27,'Daily Tasks'!$A$7:$A$500,0))=0,"",INDEX('Daily Tasks'!$P$7:$P$500,MATCH(M27,'Daily Tasks'!$A$7:$A$500,0)))</x:f>
      </x:c>
      <x:c r="I27" s="26" t="str">
        <x:v>M18</x:v>
      </x:c>
      <x:c r="J27" s="26" t="n">
        <x:f>IF(AND(S27=1,COUNTIFS($A$7:$A$27,"M18",$S$7:$S$27,1)=1,COUNTIFS($A$7:$A$27,"M17",$S$7:$S$27,1)=1,COUNTIFS($A$7:$A$27,"M16",$S$7:$S$27,1)=1,COUNTIFS($A$7:$A$27,"M13",$S$7:$S$27,1)=1,COUNTIFS($A$7:$A$27,"M08",$S$7:$S$27,1)=1,COUNTIFS($A$7:$A$27,"M07",$S$7:$S$27,1)=1,COUNTIFS($A$7:$A$27,"M06",$S$7:$S$27,1)=1,COUNTIFS($A$7:$A$27,"M02",$S$7:$S$27,1)=1,COUNTIFS($A$7:$A$27,"M01",$S$7:$S$27,1)=1,COUNTIFS($A$7:$A$27,"M03",$S$7:$S$27,1)=1,COUNTIFS($A$7:$A$27,"M04",$S$7:$S$27,1)=1,COUNTIFS($A$7:$A$27,"M05",$S$7:$S$27,1)=1),1,0)</x:f>
        <x:v>0</x:v>
      </x:c>
      <x:c r="K27" s="26" t="str">
        <x:f>IF(INDEX('Daily Tasks'!$L$7:$L$500,MATCH(M27,'Daily Tasks'!$A$7:$A$500,0))="","",INDEX('Daily Tasks'!$L$7:$L$500,MATCH(M27,'Daily Tasks'!$A$7:$A$500,0)))</x:f>
      </x:c>
      <x:c r="L27" s="26" t="str">
        <x:v>QA completion report, outstanding recovery owners/dates, January queue, source evidence and cost-per-booking; no silent deadline reset.</x:v>
      </x:c>
      <x:c r="M27" s="26" t="str">
        <x:v>T0416</x:v>
      </x:c>
      <x:c r="N27" s="28" t="str">
        <x:v>Not reviewed</x:v>
      </x:c>
      <x:c r="O27" s="28" t="str"/>
      <x:c r="P27" s="28"/>
      <x:c r="Q27" s="29"/>
      <x:c r="R27" s="28" t="str"/>
      <x:c r="S27" s="2" t="n">
        <x:f>IF(AND(COUNTIFS('Daily Tasks'!$A$7:$A$500,M27,'Daily Tasks'!$Q$7:$Q$500,1)=1,N27="Verified",O27&lt;&gt;"",P27&lt;&gt;"",ISNUMBER(Q27),Q27&gt;0,Q27&lt;='Dashboard'!$B$5),1,0)</x:f>
        <x:v>0</x:v>
      </x:c>
    </x:row>
  </x:sheetData>
  <x:conditionalFormatting sqref="J7:J27">
    <x:cfRule type="expression" dxfId="0" priority="1">
      <x:formula>$J7=1</x:formula>
    </x:cfRule>
  </x:conditionalFormatting>
  <x:conditionalFormatting sqref="N7:N27">
    <x:cfRule type="expression" dxfId="1" priority="2">
      <x:formula>AND($N7="Verified",$J7=0)</x:formula>
    </x:cfRule>
    <x:cfRule type="expression" dxfId="2" priority="3">
      <x:formula>OR($N7="Missed",$N7="Blocked")</x:formula>
    </x:cfRule>
    <x:cfRule type="expression" dxfId="3" priority="4">
      <x:formula>$J7=1</x:formula>
    </x:cfRule>
  </x:conditionalFormatting>
  <x:dataValidations count="2">
    <x:dataValidation type="list" sqref="N7:N27">
      <x:formula1>"Not reviewed,In review,Verified,Missed,Blocked"</x:formula1>
    </x:dataValidation>
    <x:dataValidation type="list" sqref="P7:P27">
      <x:formula1>"Wyline,Kenneth,Joey,Nova,Emman,Ludwig,Alvin,Brian,Dexter,Setter 1,Setter 2,Nic,Maseeha"</x:formula1>
    </x:dataValidation>
  </x:dataValidations>
  <x:pageMargins left="0.7" right="0.7" top="0.75" bottom="0.75" header="0.3" footer="0.3"/>
  <x:tableParts count="1">
    <x:tablePart xmlns:r="http://schemas.openxmlformats.org/officeDocument/2006/relationships" r:id="Rce1caeefcae34ae1"/>
  </x:tableParts>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6" hidden="0" customWidth="1"/>
    <x:col min="2" max="2" width="27" hidden="0" customWidth="1"/>
    <x:col min="3" max="3" width="18" hidden="0" customWidth="1"/>
    <x:col min="4" max="4" width="14" hidden="0" customWidth="1"/>
    <x:col min="5" max="5" width="26" hidden="0" customWidth="1"/>
    <x:col min="6" max="6" width="66" hidden="0" customWidth="1"/>
    <x:col min="7" max="7" width="42" hidden="0" customWidth="1"/>
    <x:col min="8" max="8" width="60" hidden="0" customWidth="1"/>
    <x:col min="9" max="9" width="55" hidden="0" customWidth="1"/>
    <x:col min="10" max="10" width="46" hidden="0" customWidth="1"/>
  </x:cols>
  <x:sheetData>
    <x:row r="1" ht="22" customHeight="1">
      <x:c r="A1" s="2"/>
      <x:c r="B1" s="2"/>
      <x:c r="C1" s="2"/>
      <x:c r="D1" s="2"/>
      <x:c r="E1" s="2"/>
      <x:c r="F1" s="2"/>
      <x:c r="G1" s="2"/>
      <x:c r="H1" s="2"/>
      <x:c r="I1" s="2"/>
      <x:c r="J1" s="2"/>
    </x:row>
    <x:row r="2" ht="22" customHeight="1">
      <x:c r="A2" s="3" t="str">
        <x:v>Responsibilities and handoffs</x:v>
      </x:c>
      <x:c r="B2" s="2"/>
      <x:c r="C2" s="2"/>
      <x:c r="D2" s="2"/>
      <x:c r="E2" s="2"/>
      <x:c r="F2" s="2"/>
      <x:c r="G2" s="2"/>
      <x:c r="H2" s="2"/>
      <x:c r="I2" s="2"/>
      <x:c r="J2" s="2"/>
    </x:row>
    <x:row r="3" ht="22" customHeight="1">
      <x:c r="A3" s="4" t="str">
        <x:v>All eight named internal specialists report to Wyline. The two setters report to Nova. Nic and Maseeha are DSI client handoffs.</x:v>
      </x:c>
      <x:c r="B3" s="2"/>
      <x:c r="C3" s="2"/>
      <x:c r="D3" s="2"/>
      <x:c r="E3" s="2"/>
      <x:c r="F3" s="2"/>
      <x:c r="G3" s="2"/>
      <x:c r="H3" s="2"/>
      <x:c r="I3" s="2"/>
      <x:c r="J3" s="2"/>
    </x:row>
    <x:row r="4" ht="22" customHeight="1">
      <x:c r="A4" s="5"/>
      <x:c r="B4" s="5"/>
      <x:c r="C4" s="5"/>
      <x:c r="D4" s="5"/>
      <x:c r="E4" s="5"/>
      <x:c r="F4" s="5"/>
      <x:c r="G4" s="5"/>
      <x:c r="H4" s="5"/>
      <x:c r="I4" s="5"/>
      <x:c r="J4" s="5"/>
    </x:row>
    <x:row r="5" ht="22" customHeight="1">
      <x:c r="A5" s="2"/>
      <x:c r="B5" s="2"/>
      <x:c r="C5" s="2"/>
      <x:c r="D5" s="2"/>
      <x:c r="E5" s="2"/>
      <x:c r="F5" s="2"/>
      <x:c r="G5" s="2"/>
      <x:c r="H5" s="2"/>
      <x:c r="I5" s="2"/>
      <x:c r="J5" s="2"/>
    </x:row>
    <x:row r="6" ht="32" customHeight="1">
      <x:c r="A6" s="14" t="str">
        <x:v>Person</x:v>
      </x:c>
      <x:c r="B6" s="15" t="str">
        <x:v>Role</x:v>
      </x:c>
      <x:c r="C6" s="15" t="str">
        <x:v>Reports to</x:v>
      </x:c>
      <x:c r="D6" s="15" t="str">
        <x:v>Weekly cap h</x:v>
      </x:c>
      <x:c r="E6" s="15" t="str">
        <x:v>Backup / rescue</x:v>
      </x:c>
      <x:c r="F6" s="15" t="str">
        <x:v>Daily accountability</x:v>
      </x:c>
      <x:c r="G6" s="15" t="str">
        <x:v>AI support</x:v>
      </x:c>
      <x:c r="H6" s="15" t="str">
        <x:v>Decision authority</x:v>
      </x:c>
      <x:c r="I6" s="15" t="str">
        <x:v>Primary handoff</x:v>
      </x:c>
      <x:c r="J6" s="16" t="str">
        <x:v>Capacity note</x:v>
      </x:c>
    </x:row>
    <x:row r="7" ht="64" customHeight="1">
      <x:c r="A7" s="26" t="str">
        <x:v>Wyline</x:v>
      </x:c>
      <x:c r="B7" s="26" t="str">
        <x:v>Program Director</x:v>
      </x:c>
      <x:c r="C7" s="26" t="str">
        <x:v>CEO</x:v>
      </x:c>
      <x:c r="D7" s="66" t="n">
        <x:v>15</x:v>
      </x:c>
      <x:c r="E7" s="26" t="str">
        <x:v>Nova</x:v>
      </x:c>
      <x:c r="F7" s="26" t="str">
        <x:v>Accepted-output register; actual-vs-target dashboard; blocker/rescue assignments</x:v>
      </x:c>
      <x:c r="G7" s="26" t="str">
        <x:v>Scoreboard; Client Reporter</x:v>
      </x:c>
      <x:c r="H7" s="26" t="str">
        <x:v>Daily targets, launch go/no-go, QA, recovery assignment, client decisions. Final acceptance owner.</x:v>
      </x:c>
      <x:c r="I7" s="26" t="str">
        <x:v>Accepted daily work and Friday scoreboard to CEO</x:v>
      </x:c>
      <x:c r="J7" s="26" t="str">
        <x:v>Source cap</x:v>
      </x:c>
    </x:row>
    <x:row r="8" ht="64" customHeight="1">
      <x:c r="A8" s="26" t="str">
        <x:v>Kenneth</x:v>
      </x:c>
      <x:c r="B8" s="26" t="str">
        <x:v>Message Orchestrator</x:v>
      </x:c>
      <x:c r="C8" s="26" t="str">
        <x:v>Wyline</x:v>
      </x:c>
      <x:c r="D8" s="66" t="n">
        <x:v>12</x:v>
      </x:c>
      <x:c r="E8" s="26" t="str">
        <x:v>Wyline</x:v>
      </x:c>
      <x:c r="F8" s="26" t="str">
        <x:v>Human-reply insights; 5 Inbox draft checks; approved first lines; claim exceptions</x:v>
      </x:c>
      <x:c r="G8" s="26" t="str">
        <x:v>Writer</x:v>
      </x:c>
      <x:c r="H8" s="26" t="str">
        <x:v>Owns every prospect-facing word; approves AI wording; 2 hours/week of this cap reserved for social.</x:v>
      </x:c>
      <x:c r="I8" s="26" t="str">
        <x:v>Approved exact copy to Dexter, Alvin, Brian and Nova</x:v>
      </x:c>
      <x:c r="J8" s="26" t="str">
        <x:v>Source cap</x:v>
      </x:c>
    </x:row>
    <x:row r="9" ht="64" customHeight="1">
      <x:c r="A9" s="26" t="str">
        <x:v>Joey</x:v>
      </x:c>
      <x:c r="B9" s="26" t="str">
        <x:v>Data Orchestrator</x:v>
      </x:c>
      <x:c r="C9" s="26" t="str">
        <x:v>Wyline</x:v>
      </x:c>
      <x:c r="D9" s="66" t="n">
        <x:v>15</x:v>
      </x:c>
      <x:c r="E9" s="26" t="str">
        <x:v>Ludwig</x:v>
      </x:c>
      <x:c r="F9" s="26" t="str">
        <x:v>Wave 2 release plan plus follow-up queue</x:v>
      </x:c>
      <x:c r="G9" s="26" t="str">
        <x:v>Scout</x:v>
      </x:c>
      <x:c r="H9" s="26" t="str">
        <x:v>Verified local dentist list, suppression, real-sender setup, mailbox health and CQL data quality.</x:v>
      </x:c>
      <x:c r="I9" s="26" t="str">
        <x:v>QA-passed records and suppression to Dexter and setters</x:v>
      </x:c>
      <x:c r="J9" s="26" t="str">
        <x:v>Source cap</x:v>
      </x:c>
    </x:row>
    <x:row r="10" ht="64" customHeight="1">
      <x:c r="A10" s="26" t="str">
        <x:v>Nova</x:v>
      </x:c>
      <x:c r="B10" s="26" t="str">
        <x:v>Conversion Orchestrator</x:v>
      </x:c>
      <x:c r="C10" s="26" t="str">
        <x:v>Wyline</x:v>
      </x:c>
      <x:c r="D10" s="66" t="n">
        <x:v>20</x:v>
      </x:c>
      <x:c r="E10" s="26" t="str">
        <x:v>Wyline</x:v>
      </x:c>
      <x:c r="F10" s="26" t="str">
        <x:v>Coverage/SLA evidence; 2 call reviews; booked/held updates; next-step and trial handoffs. Log each unique qualified inquiry with practice type, decision-maker access, case volume, service need and readiness timing.</x:v>
      </x:c>
      <x:c r="G10" s="26" t="str">
        <x:v>Inbox; Phone Assist; Follow-up</x:v>
      </x:c>
      <x:c r="H10" s="26" t="str">
        <x:v>8 am–5 pm PT reply coverage, setters, calls, bookings, held rate and next-step hygiene.</x:v>
      </x:c>
      <x:c r="I10" s="26" t="str">
        <x:v>Booked calls with prep notes to Nic; trial logistics to Maseeha</x:v>
      </x:c>
      <x:c r="J10" s="26" t="str">
        <x:v>Source cap</x:v>
      </x:c>
    </x:row>
    <x:row r="11" ht="64" customHeight="1">
      <x:c r="A11" s="26" t="str">
        <x:v>Emman</x:v>
      </x:c>
      <x:c r="B11" s="26" t="str">
        <x:v>AI Build Orchestrator</x:v>
      </x:c>
      <x:c r="C11" s="26" t="str">
        <x:v>Wyline</x:v>
      </x:c>
      <x:c r="D11" s="66" t="n">
        <x:v>20</x:v>
      </x:c>
      <x:c r="E11" s="26" t="str">
        <x:v>Ludwig</x:v>
      </x:c>
      <x:c r="F11" s="26" t="str">
        <x:v>Health/retry log; one acceptance-backed build increment; updated change log</x:v>
      </x:c>
      <x:c r="G11" s="26" t="str">
        <x:v>Inbox; Phone Assist; LinkedIn Assist; Scoreboard; Client Reporter</x:v>
      </x:c>
      <x:c r="H11" s="26" t="str">
        <x:v>Build, test, hand off and maintain agents in funnel order; change log and rollback.</x:v>
      </x:c>
      <x:c r="I11" s="26" t="str">
        <x:v>Tested agents, SOP and fallback to each human operator</x:v>
      </x:c>
      <x:c r="J11" s="26" t="str">
        <x:v>Source cap</x:v>
      </x:c>
    </x:row>
    <x:row r="12" ht="64" customHeight="1">
      <x:c r="A12" s="26" t="str">
        <x:v>Ludwig</x:v>
      </x:c>
      <x:c r="B12" s="26" t="str">
        <x:v>Integration Engineer</x:v>
      </x:c>
      <x:c r="C12" s="26" t="str">
        <x:v>Wyline</x:v>
      </x:c>
      <x:c r="D12" s="66" t="n">
        <x:v>8</x:v>
      </x:c>
      <x:c r="E12" s="26" t="str">
        <x:v>Emman</x:v>
      </x:c>
      <x:c r="F12" s="26" t="str">
        <x:v>Webhook/error/dead-letter check; top assigned integration ticket or verified no-ticket note</x:v>
      </x:c>
      <x:c r="G12" s="26" t="str"/>
      <x:c r="H12" s="26" t="str">
        <x:v>Webhook, classifier endpoint, retries and dead-letter recovery. Work from Emman’s queue only.</x:v>
      </x:c>
      <x:c r="I12" s="26" t="str">
        <x:v>Reliable webhook/API changes to Emman</x:v>
      </x:c>
      <x:c r="J12" s="26" t="str">
        <x:v>Source cap</x:v>
      </x:c>
    </x:row>
    <x:row r="13" ht="64" customHeight="1">
      <x:c r="A13" s="26" t="str">
        <x:v>Alvin</x:v>
      </x:c>
      <x:c r="B13" s="26" t="str">
        <x:v>CQL/GHL Implementation</x:v>
      </x:c>
      <x:c r="C13" s="26" t="str">
        <x:v>Wyline</x:v>
      </x:c>
      <x:c r="D13" s="66" t="n">
        <x:v>10</x:v>
      </x:c>
      <x:c r="E13" s="26" t="str">
        <x:v>Emman</x:v>
      </x:c>
      <x:c r="F13" s="26" t="str">
        <x:v>Stage/calendar/reminder QA; due workflow fixes</x:v>
      </x:c>
      <x:c r="G13" s="26" t="str">
        <x:v>Follow-up</x:v>
      </x:c>
      <x:c r="H13" s="26" t="str">
        <x:v>Pipeline, calendar, reminders, referral source/credit fields, approved post mirroring; requirements from Nova/Wyline.</x:v>
      </x:c>
      <x:c r="I13" s="26" t="str">
        <x:v>Correct stages, calendar, reminders and source attribution to Nova</x:v>
      </x:c>
      <x:c r="J13" s="26" t="str">
        <x:v>Source cap</x:v>
      </x:c>
    </x:row>
    <x:row r="14" ht="64" customHeight="1">
      <x:c r="A14" s="26" t="str">
        <x:v>Brian</x:v>
      </x:c>
      <x:c r="B14" s="26" t="str">
        <x:v>Web and Tracking</x:v>
      </x:c>
      <x:c r="C14" s="26" t="str">
        <x:v>Wyline</x:v>
      </x:c>
      <x:c r="D14" s="66" t="n">
        <x:v>10</x:v>
      </x:c>
      <x:c r="E14" s="26" t="str">
        <x:v>Alvin</x:v>
      </x:c>
      <x:c r="F14" s="26" t="str">
        <x:v>One health-check result; at most one weekly change ticket or no-ticket note</x:v>
      </x:c>
      <x:c r="G14" s="26" t="str"/>
      <x:c r="H14" s="26" t="str">
        <x:v>Week-one page/form/tracking; then at most one approved change request/week. Proposed ongoing reserve: 2 hours/week.</x:v>
      </x:c>
      <x:c r="I14" s="26" t="str">
        <x:v>Verified page/form/booking flow to Wyline and Alvin</x:v>
      </x:c>
      <x:c r="J14" s="26" t="str">
        <x:v>Source: 10 hours build week; proposed 2 hours/week after launch</x:v>
      </x:c>
    </x:row>
    <x:row r="15" ht="64" customHeight="1">
      <x:c r="A15" s="26" t="str">
        <x:v>Dexter</x:v>
      </x:c>
      <x:c r="B15" s="26" t="str">
        <x:v>LinkedIn Execution</x:v>
      </x:c>
      <x:c r="C15" s="26" t="str">
        <x:v>Wyline</x:v>
      </x:c>
      <x:c r="D15" s="66" t="n">
        <x:v>15</x:v>
      </x:c>
      <x:c r="E15" s="26" t="str">
        <x:v>Nova</x:v>
      </x:c>
      <x:c r="F15" s="26" t="str">
        <x:v>CQL logged DMs/accepts; eligible requests; referred interested replies; approved post evidence</x:v>
      </x:c>
      <x:c r="G15" s="26" t="str">
        <x:v>LinkedIn Assist</x:v>
      </x:c>
      <x:c r="H15" s="26" t="str">
        <x:v>Manual requests/DMs from Nic’s profile, CQL logging, approved Nic posts. Copy from Kenneth; list from Joey.</x:v>
      </x:c>
      <x:c r="I15" s="26" t="str">
        <x:v>Interested replies to Nova; logged actions in CQL</x:v>
      </x:c>
      <x:c r="J15" s="26" t="str">
        <x:v>Source cap</x:v>
      </x:c>
    </x:row>
    <x:row r="16" ht="64" customHeight="1">
      <x:c r="A16" s="26" t="str">
        <x:v>Setter 1</x:v>
      </x:c>
      <x:c r="B16" s="26" t="str">
        <x:v>Reply and Phone Setter</x:v>
      </x:c>
      <x:c r="C16" s="26" t="str">
        <x:v>Nova</x:v>
      </x:c>
      <x:c r="D16" s="66" t="n">
        <x:v>40</x:v>
      </x:c>
      <x:c r="E16" s="26" t="str">
        <x:v>Nova</x:v>
      </x:c>
      <x:c r="F16" s="26" t="str">
        <x:v>SLA/call outcome log; bookings and next steps; handoff to Nova</x:v>
      </x:c>
      <x:c r="G16" s="26" t="str">
        <x:v>Inbox; Phone Assist</x:v>
      </x:c>
      <x:c r="H16" s="26" t="str">
        <x:v>Roster name pending. Cover assigned PT shift; human sends, calls, books, logs. Confirm paid hours and breaks with Nova.</x:v>
      </x:c>
      <x:c r="I16" s="26" t="str">
        <x:v>Interested conversations and booked slots to Nova</x:v>
      </x:c>
      <x:c r="J16" s="26" t="str">
        <x:v>Planning allowance only; roster/hours must be confirmed</x:v>
      </x:c>
    </x:row>
    <x:row r="17" ht="64" customHeight="1">
      <x:c r="A17" s="26" t="str">
        <x:v>Setter 2</x:v>
      </x:c>
      <x:c r="B17" s="26" t="str">
        <x:v>Reply and Phone Setter</x:v>
      </x:c>
      <x:c r="C17" s="26" t="str">
        <x:v>Nova</x:v>
      </x:c>
      <x:c r="D17" s="66" t="n">
        <x:v>40</x:v>
      </x:c>
      <x:c r="E17" s="26" t="str">
        <x:v>Nova</x:v>
      </x:c>
      <x:c r="F17" s="26" t="str">
        <x:v>SLA/call outcome log; bookings and next steps; handoff to Nova</x:v>
      </x:c>
      <x:c r="G17" s="26" t="str">
        <x:v>Inbox; Phone Assist</x:v>
      </x:c>
      <x:c r="H17" s="26" t="str">
        <x:v>Roster name pending. Cover assigned PT shift; human sends, calls, books, logs. Confirm paid hours and breaks with Nova.</x:v>
      </x:c>
      <x:c r="I17" s="26" t="str">
        <x:v>Interested conversations and booked slots to Nova</x:v>
      </x:c>
      <x:c r="J17" s="26" t="str">
        <x:v>Planning allowance only; roster/hours must be confirmed</x:v>
      </x:c>
    </x:row>
    <x:row r="18" ht="64" customHeight="1">
      <x:c r="A18" s="26" t="str">
        <x:v>Nic</x:v>
      </x:c>
      <x:c r="B18" s="26" t="str">
        <x:v>DSI Owner and Closer</x:v>
      </x:c>
      <x:c r="C18" s="26" t="str">
        <x:v>DSI</x:v>
      </x:c>
      <x:c r="D18" s="66"/>
      <x:c r="E18" s="26" t="str">
        <x:v>Maseeha</x:v>
      </x:c>
      <x:c r="F18" s="26" t="str">
        <x:v>Call outcome/next step for every appointment due; first-case decisions</x:v>
      </x:c>
      <x:c r="G18" s="26" t="str"/>
      <x:c r="H18" s="26" t="str">
        <x:v>Approves sender, offer, budget and calendar; owns every booked call, commercial/clinical answers and first-case review.</x:v>
      </x:c>
      <x:c r="I18" s="26" t="str">
        <x:v>Held outcome and trial decision to Nova and Maseeha</x:v>
      </x:c>
      <x:c r="J18" s="26" t="str">
        <x:v>Client availability to confirm; no source weekly cap supplied</x:v>
      </x:c>
    </x:row>
    <x:row r="19" ht="64" customHeight="1">
      <x:c r="A19" s="26" t="str">
        <x:v>Maseeha</x:v>
      </x:c>
      <x:c r="B19" s="26" t="str">
        <x:v>DSI Accounts and Trial Coordination</x:v>
      </x:c>
      <x:c r="C19" s="26" t="str">
        <x:v>DSI</x:v>
      </x:c>
      <x:c r="D19" s="66"/>
      <x:c r="E19" s="26" t="str">
        <x:v>Nic</x:v>
      </x:c>
      <x:c r="F19" s="26" t="str">
        <x:v>Due intro verification; kit/case handoff; delivery/Day-30 dates; credit trigger log. Planned asks today: 2 unique existing accounts; cumulative 17.</x:v>
      </x:c>
      <x:c r="G19" s="26" t="str"/>
      <x:c r="H19" s="26" t="str">
        <x:v>Second named sender; existing-account referral asks; kits/trials; referral verification and credits; Day-30 review scheduling.</x:v>
      </x:c>
      <x:c r="I19" s="26" t="str">
        <x:v>Trial receipt, referral verification and Day-30 dates to Nova</x:v>
      </x:c>
      <x:c r="J19" s="26" t="str">
        <x:v>Client availability to confirm; no source weekly cap supplied</x:v>
      </x:c>
    </x:row>
    <x:row r="20" ht="22" customHeight="1">
      <x:c r="A20" s="2"/>
      <x:c r="B20" s="2"/>
      <x:c r="C20" s="2"/>
      <x:c r="D20" s="2"/>
      <x:c r="E20" s="2"/>
      <x:c r="F20" s="2"/>
      <x:c r="G20" s="2"/>
      <x:c r="H20" s="2"/>
      <x:c r="I20" s="2"/>
      <x:c r="J20" s="2"/>
    </x:row>
    <x:row r="21" ht="22" customHeight="1">
      <x:c r="A21" s="2"/>
      <x:c r="B21" s="2"/>
      <x:c r="C21" s="2"/>
      <x:c r="D21" s="2"/>
      <x:c r="E21" s="2"/>
      <x:c r="F21" s="2"/>
      <x:c r="G21" s="2"/>
      <x:c r="H21" s="2"/>
      <x:c r="I21" s="2"/>
      <x:c r="J21" s="2"/>
    </x:row>
    <x:row r="22" ht="26" customHeight="1">
      <x:c r="A22" s="44" t="str">
        <x:v>RACI and acceptance decisions</x:v>
      </x:c>
      <x:c r="B22" s="44"/>
      <x:c r="C22" s="44"/>
      <x:c r="D22" s="44"/>
      <x:c r="E22" s="44"/>
      <x:c r="F22" s="44"/>
      <x:c r="G22" s="2"/>
      <x:c r="H22" s="2"/>
      <x:c r="I22" s="2"/>
      <x:c r="J22" s="2"/>
    </x:row>
    <x:row r="23" ht="32" customHeight="1">
      <x:c r="A23" s="14" t="str">
        <x:v>Deliverable / decision</x:v>
      </x:c>
      <x:c r="B23" s="15" t="str">
        <x:v>Accountable</x:v>
      </x:c>
      <x:c r="C23" s="15" t="str">
        <x:v>Responsible</x:v>
      </x:c>
      <x:c r="D23" s="15" t="str">
        <x:v>Consulted</x:v>
      </x:c>
      <x:c r="E23" s="15" t="str">
        <x:v>Informed</x:v>
      </x:c>
      <x:c r="F23" s="16" t="str">
        <x:v>Handoff / acceptance</x:v>
      </x:c>
      <x:c r="G23" s="2"/>
      <x:c r="H23" s="2"/>
      <x:c r="I23" s="2"/>
      <x:c r="J23" s="2"/>
    </x:row>
    <x:row r="24" ht="58" customHeight="1">
      <x:c r="A24" s="26" t="str">
        <x:v>Daily plan and recovery</x:v>
      </x:c>
      <x:c r="B24" s="26" t="str">
        <x:v>Wyline</x:v>
      </x:c>
      <x:c r="C24" s="26" t="str">
        <x:v>All assigned owners</x:v>
      </x:c>
      <x:c r="D24" s="26" t="str">
        <x:v>Nova and relevant backup</x:v>
      </x:c>
      <x:c r="E24" s="26" t="str">
        <x:v>CEO</x:v>
      </x:c>
      <x:c r="F24" s="26" t="str">
        <x:v>Wyline accepts evidence or assigns a recovery owner and date.</x:v>
      </x:c>
      <x:c r="G24" s="2"/>
      <x:c r="H24" s="2"/>
      <x:c r="I24" s="2"/>
      <x:c r="J24" s="2"/>
    </x:row>
    <x:row r="25" ht="58" customHeight="1">
      <x:c r="A25" s="26" t="str">
        <x:v>Offer and commercial terms</x:v>
      </x:c>
      <x:c r="B25" s="26" t="str">
        <x:v>Nic</x:v>
      </x:c>
      <x:c r="C25" s="26" t="str">
        <x:v>Wyline and Kenneth</x:v>
      </x:c>
      <x:c r="D25" s="26" t="str">
        <x:v>Maseeha</x:v>
      </x:c>
      <x:c r="E25" s="26" t="str">
        <x:v>All execution lanes</x:v>
      </x:c>
      <x:c r="F25" s="26" t="str">
        <x:v>Written DSI approval before guarantee, prices or reward terms are published.</x:v>
      </x:c>
      <x:c r="G25" s="2"/>
      <x:c r="H25" s="2"/>
      <x:c r="I25" s="2"/>
      <x:c r="J25" s="2"/>
    </x:row>
    <x:row r="26" ht="58" customHeight="1">
      <x:c r="A26" s="26" t="str">
        <x:v>Qualified list and suppression</x:v>
      </x:c>
      <x:c r="B26" s="26" t="str">
        <x:v>Wyline</x:v>
      </x:c>
      <x:c r="C26" s="26" t="str">
        <x:v>Joey</x:v>
      </x:c>
      <x:c r="D26" s="26" t="str">
        <x:v>Kenneth and Nova</x:v>
      </x:c>
      <x:c r="E26" s="26" t="str">
        <x:v>Dexter and setters</x:v>
      </x:c>
      <x:c r="F26" s="26" t="str">
        <x:v>Verified, deduplicated Core Zone records before outreach.</x:v>
      </x:c>
      <x:c r="G26" s="2"/>
      <x:c r="H26" s="2"/>
      <x:c r="I26" s="2"/>
      <x:c r="J26" s="2"/>
    </x:row>
    <x:row r="27" ht="58" customHeight="1">
      <x:c r="A27" s="26" t="str">
        <x:v>Replies, calls and booking</x:v>
      </x:c>
      <x:c r="B27" s="26" t="str">
        <x:v>Nova</x:v>
      </x:c>
      <x:c r="C27" s="26" t="str">
        <x:v>Setter 1 and Setter 2</x:v>
      </x:c>
      <x:c r="D27" s="26" t="str">
        <x:v>Kenneth and Alvin</x:v>
      </x:c>
      <x:c r="E27" s="26" t="str">
        <x:v>Wyline</x:v>
      </x:c>
      <x:c r="F27" s="26" t="str">
        <x:v>15-minute human response; interested calls within 60 minutes.</x:v>
      </x:c>
      <x:c r="G27" s="2"/>
      <x:c r="H27" s="2"/>
      <x:c r="I27" s="2"/>
      <x:c r="J27" s="2"/>
    </x:row>
    <x:row r="28" ht="58" customHeight="1">
      <x:c r="A28" s="26" t="str">
        <x:v>Approved message and social copy</x:v>
      </x:c>
      <x:c r="B28" s="26" t="str">
        <x:v>Wyline</x:v>
      </x:c>
      <x:c r="C28" s="26" t="str">
        <x:v>Kenneth</x:v>
      </x:c>
      <x:c r="D28" s="26" t="str">
        <x:v>Nic and Nova</x:v>
      </x:c>
      <x:c r="E28" s="26" t="str">
        <x:v>Dexter and Alvin</x:v>
      </x:c>
      <x:c r="F28" s="26" t="str">
        <x:v>Exact approved version and permissioned evidence before publishing.</x:v>
      </x:c>
      <x:c r="G28" s="2"/>
      <x:c r="H28" s="2"/>
      <x:c r="I28" s="2"/>
      <x:c r="J28" s="2"/>
    </x:row>
    <x:row r="29" ht="58" customHeight="1">
      <x:c r="A29" s="26" t="str">
        <x:v>AI automation release</x:v>
      </x:c>
      <x:c r="B29" s="26" t="str">
        <x:v>Wyline</x:v>
      </x:c>
      <x:c r="C29" s="26" t="str">
        <x:v>Emman and Ludwig</x:v>
      </x:c>
      <x:c r="D29" s="26" t="str">
        <x:v>Operator and Alvin</x:v>
      </x:c>
      <x:c r="E29" s="26" t="str">
        <x:v>Nova and Joey</x:v>
      </x:c>
      <x:c r="F29" s="26" t="str">
        <x:v>Acceptance tests pass; human owner and manual fallback recorded.</x:v>
      </x:c>
      <x:c r="G29" s="2"/>
      <x:c r="H29" s="2"/>
      <x:c r="I29" s="2"/>
      <x:c r="J29" s="2"/>
    </x:row>
    <x:row r="30" ht="58" customHeight="1">
      <x:c r="A30" s="26" t="str">
        <x:v>CRM, calendar and reminders</x:v>
      </x:c>
      <x:c r="B30" s="26" t="str">
        <x:v>Wyline</x:v>
      </x:c>
      <x:c r="C30" s="26" t="str">
        <x:v>Alvin</x:v>
      </x:c>
      <x:c r="D30" s="26" t="str">
        <x:v>Nova and Emman</x:v>
      </x:c>
      <x:c r="E30" s="26" t="str">
        <x:v>All operators</x:v>
      </x:c>
      <x:c r="F30" s="26" t="str">
        <x:v>CQL is the sales source of truth. Test booking, reminder and handoff.</x:v>
      </x:c>
      <x:c r="G30" s="2"/>
      <x:c r="H30" s="2"/>
      <x:c r="I30" s="2"/>
      <x:c r="J30" s="2"/>
    </x:row>
    <x:row r="31" ht="58" customHeight="1">
      <x:c r="A31" s="26" t="str">
        <x:v>Landing page and tracking</x:v>
      </x:c>
      <x:c r="B31" s="26" t="str">
        <x:v>Wyline</x:v>
      </x:c>
      <x:c r="C31" s="26" t="str">
        <x:v>Brian</x:v>
      </x:c>
      <x:c r="D31" s="26" t="str">
        <x:v>Kenneth and Alvin</x:v>
      </x:c>
      <x:c r="E31" s="26" t="str">
        <x:v>Nova</x:v>
      </x:c>
      <x:c r="F31" s="26" t="str">
        <x:v>Mobile page, form, UTM and booking event tested.</x:v>
      </x:c>
      <x:c r="G31" s="2"/>
      <x:c r="H31" s="2"/>
      <x:c r="I31" s="2"/>
      <x:c r="J31" s="2"/>
    </x:row>
    <x:row r="32" ht="58" customHeight="1">
      <x:c r="A32" s="26" t="str">
        <x:v>LinkedIn manual outreach</x:v>
      </x:c>
      <x:c r="B32" s="26" t="str">
        <x:v>Wyline</x:v>
      </x:c>
      <x:c r="C32" s="26" t="str">
        <x:v>Dexter</x:v>
      </x:c>
      <x:c r="D32" s="26" t="str">
        <x:v>Kenneth and Joey</x:v>
      </x:c>
      <x:c r="E32" s="26" t="str">
        <x:v>Nova</x:v>
      </x:c>
      <x:c r="F32" s="26" t="str">
        <x:v>Log every action; warm replies handed to Nova.</x:v>
      </x:c>
      <x:c r="G32" s="2"/>
      <x:c r="H32" s="2"/>
      <x:c r="I32" s="2"/>
      <x:c r="J32" s="2"/>
    </x:row>
    <x:row r="33" ht="58" customHeight="1">
      <x:c r="A33" s="26" t="str">
        <x:v>Trial coordination and referrals</x:v>
      </x:c>
      <x:c r="B33" s="26" t="str">
        <x:v>Nic</x:v>
      </x:c>
      <x:c r="C33" s="26" t="str">
        <x:v>Maseeha</x:v>
      </x:c>
      <x:c r="D33" s="26" t="str">
        <x:v>Nova and Alvin</x:v>
      </x:c>
      <x:c r="E33" s="26" t="str">
        <x:v>Wyline</x:v>
      </x:c>
      <x:c r="F33" s="26" t="str">
        <x:v>Referrer, Source, paid case and Day-30 date recorded.</x:v>
      </x:c>
      <x:c r="G33" s="2"/>
      <x:c r="H33" s="2"/>
      <x:c r="I33" s="2"/>
      <x:c r="J33" s="2"/>
    </x:row>
    <x:row r="34" ht="58" customHeight="1">
      <x:c r="A34" s="26" t="str">
        <x:v>Paid media launch and spend</x:v>
      </x:c>
      <x:c r="B34" s="26" t="str">
        <x:v>Nic</x:v>
      </x:c>
      <x:c r="C34" s="26" t="str">
        <x:v>Wyline</x:v>
      </x:c>
      <x:c r="D34" s="26" t="str">
        <x:v>Brian and Alvin</x:v>
      </x:c>
      <x:c r="E34" s="26" t="str">
        <x:v>CEO</x:v>
      </x:c>
      <x:c r="F34" s="26" t="str">
        <x:v>Written cap and verified conversion before spend.</x:v>
      </x:c>
      <x:c r="G34" s="2"/>
      <x:c r="H34" s="2"/>
      <x:c r="I34" s="2"/>
      <x:c r="J34" s="2"/>
    </x:row>
    <x:row r="35" ht="58" customHeight="1">
      <x:c r="A35" s="26" t="str">
        <x:v>Booked call and close</x:v>
      </x:c>
      <x:c r="B35" s="26" t="str">
        <x:v>Nic</x:v>
      </x:c>
      <x:c r="C35" s="26" t="str">
        <x:v>Nic</x:v>
      </x:c>
      <x:c r="D35" s="26" t="str">
        <x:v>Nova and Maseeha</x:v>
      </x:c>
      <x:c r="E35" s="26" t="str">
        <x:v>Wyline</x:v>
      </x:c>
      <x:c r="F35" s="26" t="str">
        <x:v>Prep note, held outcome, trial next step and owner logged.</x:v>
      </x:c>
      <x:c r="G35" s="2"/>
      <x:c r="H35" s="2"/>
      <x:c r="I35" s="2"/>
      <x:c r="J35" s="2"/>
    </x:row>
    <x:row r="36" ht="22" customHeight="1">
      <x:c r="A36" s="2"/>
      <x:c r="B36" s="2"/>
      <x:c r="C36" s="2"/>
      <x:c r="D36" s="2"/>
      <x:c r="E36" s="2"/>
      <x:c r="F36" s="2"/>
      <x:c r="G36" s="2"/>
      <x:c r="H36" s="2"/>
      <x:c r="I36" s="2"/>
      <x:c r="J36" s="2"/>
    </x:row>
    <x:row r="37" ht="22" customHeight="1">
      <x:c r="A37" s="2"/>
      <x:c r="B37" s="2"/>
      <x:c r="C37" s="2"/>
      <x:c r="D37" s="2"/>
      <x:c r="E37" s="2"/>
      <x:c r="F37" s="2"/>
      <x:c r="G37" s="2"/>
      <x:c r="H37" s="2"/>
      <x:c r="I37" s="2"/>
      <x:c r="J37" s="2"/>
    </x:row>
    <x:row r="38" ht="22" customHeight="1">
      <x:c r="A38" s="2"/>
      <x:c r="B38" s="2"/>
      <x:c r="C38" s="2"/>
      <x:c r="D38" s="2"/>
      <x:c r="E38" s="2"/>
      <x:c r="F38" s="2"/>
      <x:c r="G38" s="2"/>
      <x:c r="H38" s="2"/>
      <x:c r="I38" s="2"/>
      <x:c r="J38" s="2"/>
    </x:row>
    <x:row r="39" ht="22" customHeight="1">
      <x:c r="A39" s="2"/>
      <x:c r="B39" s="2"/>
      <x:c r="C39" s="2"/>
      <x:c r="D39" s="2"/>
      <x:c r="E39" s="2"/>
      <x:c r="F39" s="2"/>
      <x:c r="G39" s="2"/>
      <x:c r="H39" s="2"/>
      <x:c r="I39" s="2"/>
      <x:c r="J39" s="2"/>
    </x:row>
    <x:row r="40" ht="22" customHeight="1">
      <x:c r="A40" s="2"/>
      <x:c r="B40" s="2"/>
      <x:c r="C40" s="2"/>
      <x:c r="D40" s="2"/>
      <x:c r="E40" s="2"/>
      <x:c r="F40" s="2"/>
      <x:c r="G40" s="2"/>
      <x:c r="H40" s="2"/>
      <x:c r="I40" s="2"/>
      <x:c r="J40" s="2"/>
    </x:row>
    <x:row r="41" ht="22" customHeight="1">
      <x:c r="A41" s="2"/>
      <x:c r="B41" s="2"/>
      <x:c r="C41" s="2"/>
      <x:c r="D41" s="2"/>
      <x:c r="E41" s="2"/>
      <x:c r="F41" s="2"/>
      <x:c r="G41" s="2"/>
      <x:c r="H41" s="2"/>
      <x:c r="I41" s="2"/>
      <x:c r="J41" s="2"/>
    </x:row>
    <x:row r="42" ht="22" customHeight="1">
      <x:c r="A42" s="2"/>
      <x:c r="B42" s="2"/>
      <x:c r="C42" s="2"/>
      <x:c r="D42" s="2"/>
      <x:c r="E42" s="2"/>
      <x:c r="F42" s="2"/>
      <x:c r="G42" s="2"/>
      <x:c r="H42" s="2"/>
      <x:c r="I42" s="2"/>
      <x:c r="J42" s="2"/>
    </x:row>
    <x:row r="43" ht="22" customHeight="1">
      <x:c r="A43" s="2"/>
      <x:c r="B43" s="2"/>
      <x:c r="C43" s="2"/>
      <x:c r="D43" s="2"/>
      <x:c r="E43" s="2"/>
      <x:c r="F43" s="2"/>
      <x:c r="G43" s="2"/>
      <x:c r="H43" s="2"/>
      <x:c r="I43" s="2"/>
      <x:c r="J43" s="2"/>
    </x:row>
    <x:row r="44" ht="22" customHeight="1">
      <x:c r="A44" s="2"/>
      <x:c r="B44" s="2"/>
      <x:c r="C44" s="2"/>
      <x:c r="D44" s="2"/>
      <x:c r="E44" s="2"/>
      <x:c r="F44" s="2"/>
      <x:c r="G44" s="2"/>
      <x:c r="H44" s="2"/>
      <x:c r="I44" s="2"/>
      <x:c r="J44" s="2"/>
    </x:row>
    <x:row r="45" ht="22" customHeight="1">
      <x:c r="A45" s="2"/>
      <x:c r="B45" s="2"/>
      <x:c r="C45" s="2"/>
      <x:c r="D45" s="2"/>
      <x:c r="E45" s="2"/>
      <x:c r="F45" s="2"/>
      <x:c r="G45" s="2"/>
      <x:c r="H45" s="2"/>
      <x:c r="I45" s="2"/>
      <x:c r="J45" s="2"/>
    </x:row>
    <x:row r="46" ht="22" customHeight="1">
      <x:c r="A46" s="2"/>
      <x:c r="B46" s="2"/>
      <x:c r="C46" s="2"/>
      <x:c r="D46" s="2"/>
      <x:c r="E46" s="2"/>
      <x:c r="F46" s="2"/>
      <x:c r="G46" s="2"/>
      <x:c r="H46" s="2"/>
      <x:c r="I46" s="2"/>
      <x:c r="J46" s="2"/>
    </x:row>
    <x:row r="47" ht="22" customHeight="1">
      <x:c r="A47" s="2"/>
      <x:c r="B47" s="2"/>
      <x:c r="C47" s="2"/>
      <x:c r="D47" s="2"/>
      <x:c r="E47" s="2"/>
      <x:c r="F47" s="2"/>
      <x:c r="G47" s="2"/>
      <x:c r="H47" s="2"/>
      <x:c r="I47" s="2"/>
      <x:c r="J47" s="2"/>
    </x:row>
    <x:row r="48" ht="22" customHeight="1">
      <x:c r="A48" s="2"/>
      <x:c r="B48" s="2"/>
      <x:c r="C48" s="2"/>
      <x:c r="D48" s="2"/>
      <x:c r="E48" s="2"/>
      <x:c r="F48" s="2"/>
      <x:c r="G48" s="2"/>
      <x:c r="H48" s="2"/>
      <x:c r="I48" s="2"/>
      <x:c r="J48" s="2"/>
    </x:row>
    <x:row r="49" ht="22" customHeight="1">
      <x:c r="A49" s="2"/>
      <x:c r="B49" s="2"/>
      <x:c r="C49" s="2"/>
      <x:c r="D49" s="2"/>
      <x:c r="E49" s="2"/>
      <x:c r="F49" s="2"/>
      <x:c r="G49" s="2"/>
      <x:c r="H49" s="2"/>
      <x:c r="I49" s="2"/>
      <x:c r="J49" s="2"/>
    </x:row>
    <x:row r="50" ht="22" customHeight="1">
      <x:c r="A50" s="2"/>
      <x:c r="B50" s="2"/>
      <x:c r="C50" s="2"/>
      <x:c r="D50" s="2"/>
      <x:c r="E50" s="2"/>
      <x:c r="F50" s="2"/>
      <x:c r="G50" s="2"/>
      <x:c r="H50" s="2"/>
      <x:c r="I50" s="2"/>
      <x:c r="J50" s="2"/>
    </x:row>
    <x:row r="51" ht="22" customHeight="1">
      <x:c r="A51" s="2"/>
      <x:c r="B51" s="2"/>
      <x:c r="C51" s="2"/>
      <x:c r="D51" s="2"/>
      <x:c r="E51" s="2"/>
      <x:c r="F51" s="2"/>
      <x:c r="G51" s="2"/>
      <x:c r="H51" s="2"/>
      <x:c r="I51" s="2"/>
      <x:c r="J51" s="2"/>
    </x:row>
    <x:row r="52" ht="22" customHeight="1">
      <x:c r="A52" s="2"/>
      <x:c r="B52" s="2"/>
      <x:c r="C52" s="2"/>
      <x:c r="D52" s="2"/>
      <x:c r="E52" s="2"/>
      <x:c r="F52" s="2"/>
      <x:c r="G52" s="2"/>
      <x:c r="H52" s="2"/>
      <x:c r="I52" s="2"/>
      <x:c r="J52" s="2"/>
    </x:row>
    <x:row r="53" ht="22" customHeight="1">
      <x:c r="A53" s="2"/>
      <x:c r="B53" s="2"/>
      <x:c r="C53" s="2"/>
      <x:c r="D53" s="2"/>
      <x:c r="E53" s="2"/>
      <x:c r="F53" s="2"/>
      <x:c r="G53" s="2"/>
      <x:c r="H53" s="2"/>
      <x:c r="I53" s="2"/>
      <x:c r="J53" s="2"/>
    </x:row>
    <x:row r="54" ht="22" customHeight="1">
      <x:c r="A54" s="2"/>
      <x:c r="B54" s="2"/>
      <x:c r="C54" s="2"/>
      <x:c r="D54" s="2"/>
      <x:c r="E54" s="2"/>
      <x:c r="F54" s="2"/>
      <x:c r="G54" s="2"/>
      <x:c r="H54" s="2"/>
      <x:c r="I54" s="2"/>
      <x:c r="J54" s="2"/>
    </x:row>
    <x:row r="55" ht="22" customHeight="1">
      <x:c r="A55" s="2"/>
      <x:c r="B55" s="2"/>
      <x:c r="C55" s="2"/>
      <x:c r="D55" s="2"/>
      <x:c r="E55" s="2"/>
      <x:c r="F55" s="2"/>
      <x:c r="G55" s="2"/>
      <x:c r="H55" s="2"/>
      <x:c r="I55" s="2"/>
      <x:c r="J55" s="2"/>
    </x:row>
    <x:row r="56" ht="22" customHeight="1">
      <x:c r="A56" s="2"/>
      <x:c r="B56" s="2"/>
      <x:c r="C56" s="2"/>
      <x:c r="D56" s="2"/>
      <x:c r="E56" s="2"/>
      <x:c r="F56" s="2"/>
      <x:c r="G56" s="2"/>
      <x:c r="H56" s="2"/>
      <x:c r="I56" s="2"/>
      <x:c r="J56" s="2"/>
    </x:row>
    <x:row r="57" ht="22" customHeight="1">
      <x:c r="A57" s="2"/>
      <x:c r="B57" s="2"/>
      <x:c r="C57" s="2"/>
      <x:c r="D57" s="2"/>
      <x:c r="E57" s="2"/>
      <x:c r="F57" s="2"/>
      <x:c r="G57" s="2"/>
      <x:c r="H57" s="2"/>
      <x:c r="I57" s="2"/>
      <x:c r="J57" s="2"/>
    </x:row>
    <x:row r="58" ht="22" customHeight="1">
      <x:c r="A58" s="2"/>
      <x:c r="B58" s="2"/>
      <x:c r="C58" s="2"/>
      <x:c r="D58" s="2"/>
      <x:c r="E58" s="2"/>
      <x:c r="F58" s="2"/>
      <x:c r="G58" s="2"/>
      <x:c r="H58" s="2"/>
      <x:c r="I58" s="2"/>
      <x:c r="J58" s="2"/>
    </x:row>
    <x:row r="59" ht="22" customHeight="1">
      <x:c r="A59" s="2"/>
      <x:c r="B59" s="2"/>
      <x:c r="C59" s="2"/>
      <x:c r="D59" s="2"/>
      <x:c r="E59" s="2"/>
      <x:c r="F59" s="2"/>
      <x:c r="G59" s="2"/>
      <x:c r="H59" s="2"/>
      <x:c r="I59" s="2"/>
      <x:c r="J59" s="2"/>
    </x:row>
    <x:row r="60" ht="22" customHeight="1">
      <x:c r="A60" s="2"/>
      <x:c r="B60" s="2"/>
      <x:c r="C60" s="2"/>
      <x:c r="D60" s="2"/>
      <x:c r="E60" s="2"/>
      <x:c r="F60" s="2"/>
      <x:c r="G60" s="2"/>
      <x:c r="H60" s="2"/>
      <x:c r="I60" s="2"/>
      <x:c r="J60" s="2"/>
    </x:row>
    <x:row r="61" ht="22" customHeight="1">
      <x:c r="A61" s="2"/>
      <x:c r="B61" s="2"/>
      <x:c r="C61" s="2"/>
      <x:c r="D61" s="2"/>
      <x:c r="E61" s="2"/>
      <x:c r="F61" s="2"/>
      <x:c r="G61" s="2"/>
      <x:c r="H61" s="2"/>
      <x:c r="I61" s="2"/>
      <x:c r="J61" s="2"/>
    </x:row>
    <x:row r="62" ht="22" customHeight="1">
      <x:c r="A62" s="2"/>
      <x:c r="B62" s="2"/>
      <x:c r="C62" s="2"/>
      <x:c r="D62" s="2"/>
      <x:c r="E62" s="2"/>
      <x:c r="F62" s="2"/>
      <x:c r="G62" s="2"/>
      <x:c r="H62" s="2"/>
      <x:c r="I62" s="2"/>
      <x:c r="J62" s="2"/>
    </x:row>
    <x:row r="63" ht="22" customHeight="1">
      <x:c r="A63" s="2"/>
      <x:c r="B63" s="2"/>
      <x:c r="C63" s="2"/>
      <x:c r="D63" s="2"/>
      <x:c r="E63" s="2"/>
      <x:c r="F63" s="2"/>
      <x:c r="G63" s="2"/>
      <x:c r="H63" s="2"/>
      <x:c r="I63" s="2"/>
      <x:c r="J63" s="2"/>
    </x:row>
    <x:row r="64" ht="22" customHeight="1">
      <x:c r="A64" s="2"/>
      <x:c r="B64" s="2"/>
      <x:c r="C64" s="2"/>
      <x:c r="D64" s="2"/>
      <x:c r="E64" s="2"/>
      <x:c r="F64" s="2"/>
      <x:c r="G64" s="2"/>
      <x:c r="H64" s="2"/>
      <x:c r="I64" s="2"/>
      <x:c r="J64" s="2"/>
    </x:row>
    <x:row r="65" ht="22" customHeight="1">
      <x:c r="A65" s="2"/>
      <x:c r="B65" s="2"/>
      <x:c r="C65" s="2"/>
      <x:c r="D65" s="2"/>
      <x:c r="E65" s="2"/>
      <x:c r="F65" s="2"/>
      <x:c r="G65" s="2"/>
      <x:c r="H65" s="2"/>
      <x:c r="I65" s="2"/>
      <x:c r="J65" s="2"/>
    </x:row>
    <x:row r="66" ht="22" customHeight="1">
      <x:c r="A66" s="2"/>
      <x:c r="B66" s="2"/>
      <x:c r="C66" s="2"/>
      <x:c r="D66" s="2"/>
      <x:c r="E66" s="2"/>
      <x:c r="F66" s="2"/>
      <x:c r="G66" s="2"/>
      <x:c r="H66" s="2"/>
      <x:c r="I66" s="2"/>
      <x:c r="J66" s="2"/>
    </x:row>
    <x:row r="67" ht="22" customHeight="1">
      <x:c r="A67" s="2"/>
      <x:c r="B67" s="2"/>
      <x:c r="C67" s="2"/>
      <x:c r="D67" s="2"/>
      <x:c r="E67" s="2"/>
      <x:c r="F67" s="2"/>
      <x:c r="G67" s="2"/>
      <x:c r="H67" s="2"/>
      <x:c r="I67" s="2"/>
      <x:c r="J67" s="2"/>
    </x:row>
    <x:row r="68" ht="22" customHeight="1">
      <x:c r="A68" s="2"/>
      <x:c r="B68" s="2"/>
      <x:c r="C68" s="2"/>
      <x:c r="D68" s="2"/>
      <x:c r="E68" s="2"/>
      <x:c r="F68" s="2"/>
      <x:c r="G68" s="2"/>
      <x:c r="H68" s="2"/>
      <x:c r="I68" s="2"/>
      <x:c r="J68" s="2"/>
    </x:row>
    <x:row r="69" ht="22" customHeight="1">
      <x:c r="A69" s="2"/>
      <x:c r="B69" s="2"/>
      <x:c r="C69" s="2"/>
      <x:c r="D69" s="2"/>
      <x:c r="E69" s="2"/>
      <x:c r="F69" s="2"/>
      <x:c r="G69" s="2"/>
      <x:c r="H69" s="2"/>
      <x:c r="I69" s="2"/>
      <x:c r="J69" s="2"/>
    </x:row>
    <x:row r="70" ht="22" customHeight="1">
      <x:c r="A70" s="2"/>
      <x:c r="B70" s="2"/>
      <x:c r="C70" s="2"/>
      <x:c r="D70" s="2"/>
      <x:c r="E70" s="2"/>
      <x:c r="F70" s="2"/>
      <x:c r="G70" s="2"/>
      <x:c r="H70" s="2"/>
      <x:c r="I70" s="2"/>
      <x:c r="J70" s="2"/>
    </x:row>
    <x:row r="71" ht="22" customHeight="1">
      <x:c r="A71" s="2"/>
      <x:c r="B71" s="2"/>
      <x:c r="C71" s="2"/>
      <x:c r="D71" s="2"/>
      <x:c r="E71" s="2"/>
      <x:c r="F71" s="2"/>
      <x:c r="G71" s="2"/>
      <x:c r="H71" s="2"/>
      <x:c r="I71" s="2"/>
      <x:c r="J71" s="2"/>
    </x:row>
    <x:row r="72" ht="22" customHeight="1">
      <x:c r="A72" s="2"/>
      <x:c r="B72" s="2"/>
      <x:c r="C72" s="2"/>
      <x:c r="D72" s="2"/>
      <x:c r="E72" s="2"/>
      <x:c r="F72" s="2"/>
      <x:c r="G72" s="2"/>
      <x:c r="H72" s="2"/>
      <x:c r="I72" s="2"/>
      <x:c r="J72" s="2"/>
    </x:row>
    <x:row r="73" ht="22" customHeight="1">
      <x:c r="A73" s="2"/>
      <x:c r="B73" s="2"/>
      <x:c r="C73" s="2"/>
      <x:c r="D73" s="2"/>
      <x:c r="E73" s="2"/>
      <x:c r="F73" s="2"/>
      <x:c r="G73" s="2"/>
      <x:c r="H73" s="2"/>
      <x:c r="I73" s="2"/>
      <x:c r="J73" s="2"/>
    </x:row>
    <x:row r="74" ht="22" customHeight="1">
      <x:c r="A74" s="2"/>
      <x:c r="B74" s="2"/>
      <x:c r="C74" s="2"/>
      <x:c r="D74" s="2"/>
      <x:c r="E74" s="2"/>
      <x:c r="F74" s="2"/>
      <x:c r="G74" s="2"/>
      <x:c r="H74" s="2"/>
      <x:c r="I74" s="2"/>
      <x:c r="J74" s="2"/>
    </x:row>
    <x:row r="75" ht="22" customHeight="1">
      <x:c r="A75" s="2"/>
      <x:c r="B75" s="2"/>
      <x:c r="C75" s="2"/>
      <x:c r="D75" s="2"/>
      <x:c r="E75" s="2"/>
      <x:c r="F75" s="2"/>
      <x:c r="G75" s="2"/>
      <x:c r="H75" s="2"/>
      <x:c r="I75" s="2"/>
      <x:c r="J75" s="2"/>
    </x:row>
    <x:row r="76" ht="22" customHeight="1">
      <x:c r="A76" s="2"/>
      <x:c r="B76" s="2"/>
      <x:c r="C76" s="2"/>
      <x:c r="D76" s="2"/>
      <x:c r="E76" s="2"/>
      <x:c r="F76" s="2"/>
      <x:c r="G76" s="2"/>
      <x:c r="H76" s="2"/>
      <x:c r="I76" s="2"/>
      <x:c r="J76" s="2"/>
    </x:row>
    <x:row r="77" ht="22" customHeight="1">
      <x:c r="A77" s="2"/>
      <x:c r="B77" s="2"/>
      <x:c r="C77" s="2"/>
      <x:c r="D77" s="2"/>
      <x:c r="E77" s="2"/>
      <x:c r="F77" s="2"/>
      <x:c r="G77" s="2"/>
      <x:c r="H77" s="2"/>
      <x:c r="I77" s="2"/>
      <x:c r="J77" s="2"/>
    </x:row>
    <x:row r="78" ht="22" customHeight="1">
      <x:c r="A78" s="2"/>
      <x:c r="B78" s="2"/>
      <x:c r="C78" s="2"/>
      <x:c r="D78" s="2"/>
      <x:c r="E78" s="2"/>
      <x:c r="F78" s="2"/>
      <x:c r="G78" s="2"/>
      <x:c r="H78" s="2"/>
      <x:c r="I78" s="2"/>
      <x:c r="J78" s="2"/>
    </x:row>
    <x:row r="79" ht="22" customHeight="1">
      <x:c r="A79" s="2"/>
      <x:c r="B79" s="2"/>
      <x:c r="C79" s="2"/>
      <x:c r="D79" s="2"/>
      <x:c r="E79" s="2"/>
      <x:c r="F79" s="2"/>
      <x:c r="G79" s="2"/>
      <x:c r="H79" s="2"/>
      <x:c r="I79" s="2"/>
      <x:c r="J79" s="2"/>
    </x:row>
    <x:row r="80" ht="22" customHeight="1">
      <x:c r="A80" s="2"/>
      <x:c r="B80" s="2"/>
      <x:c r="C80" s="2"/>
      <x:c r="D80" s="2"/>
      <x:c r="E80" s="2"/>
      <x:c r="F80" s="2"/>
      <x:c r="G80" s="2"/>
      <x:c r="H80" s="2"/>
      <x:c r="I80" s="2"/>
      <x:c r="J80" s="2"/>
    </x:row>
    <x:row r="81" ht="22" customHeight="1">
      <x:c r="A81" s="2"/>
      <x:c r="B81" s="2"/>
      <x:c r="C81" s="2"/>
      <x:c r="D81" s="2"/>
      <x:c r="E81" s="2"/>
      <x:c r="F81" s="2"/>
      <x:c r="G81" s="2"/>
      <x:c r="H81" s="2"/>
      <x:c r="I81" s="2"/>
      <x:c r="J81" s="2"/>
    </x:row>
    <x:row r="82" ht="22" customHeight="1">
      <x:c r="A82" s="2"/>
      <x:c r="B82" s="2"/>
      <x:c r="C82" s="2"/>
      <x:c r="D82" s="2"/>
      <x:c r="E82" s="2"/>
      <x:c r="F82" s="2"/>
      <x:c r="G82" s="2"/>
      <x:c r="H82" s="2"/>
      <x:c r="I82" s="2"/>
      <x:c r="J82" s="2"/>
    </x:row>
    <x:row r="83" ht="22" customHeight="1">
      <x:c r="A83" s="2"/>
      <x:c r="B83" s="2"/>
      <x:c r="C83" s="2"/>
      <x:c r="D83" s="2"/>
      <x:c r="E83" s="2"/>
      <x:c r="F83" s="2"/>
      <x:c r="G83" s="2"/>
      <x:c r="H83" s="2"/>
      <x:c r="I83" s="2"/>
      <x:c r="J83" s="2"/>
    </x:row>
    <x:row r="84" ht="22" customHeight="1">
      <x:c r="A84" s="2"/>
      <x:c r="B84" s="2"/>
      <x:c r="C84" s="2"/>
      <x:c r="D84" s="2"/>
      <x:c r="E84" s="2"/>
      <x:c r="F84" s="2"/>
      <x:c r="G84" s="2"/>
      <x:c r="H84" s="2"/>
      <x:c r="I84" s="2"/>
      <x:c r="J84" s="2"/>
    </x:row>
    <x:row r="85" ht="22" customHeight="1">
      <x:c r="A85" s="2"/>
      <x:c r="B85" s="2"/>
      <x:c r="C85" s="2"/>
      <x:c r="D85" s="2"/>
      <x:c r="E85" s="2"/>
      <x:c r="F85" s="2"/>
      <x:c r="G85" s="2"/>
      <x:c r="H85" s="2"/>
      <x:c r="I85" s="2"/>
      <x:c r="J85" s="2"/>
    </x:row>
  </x:sheetData>
  <x:pageMargins left="0.7" right="0.7" top="0.75" bottom="0.75" header="0.3" footer="0.3"/>
</x:worksheet>
</file>

<file path=xl/worksheets/sheet8.xml><?xml version="1.0" encoding="utf-8"?>
<x:worksheet xmlns:x="http://schemas.openxmlformats.org/spreadsheetml/2006/main">
  <x:sheetPr>
    <x:tabColor rgb="FF107E72"/>
  </x:sheetPr>
  <x:sheetViews>
    <x:sheetView showGridLines="0" workbookViewId="0"/>
  </x:sheetViews>
  <x:sheetFormatPr defaultRowHeight="15"/>
  <x:cols>
    <x:col min="1" max="1" width="30" hidden="0" customWidth="1"/>
    <x:col min="2" max="2" width="47" hidden="0" customWidth="1"/>
    <x:col min="3" max="3" width="47" hidden="0" customWidth="1"/>
    <x:col min="4" max="4" width="72" hidden="0" customWidth="1"/>
    <x:col min="5" max="5" width="19" hidden="0" customWidth="1"/>
    <x:col min="6" max="6" width="18" hidden="0" customWidth="1"/>
    <x:col min="7" max="7" width="63" hidden="0" customWidth="1"/>
    <x:col min="8" max="8" width="55" hidden="0" customWidth="1"/>
  </x:cols>
  <x:sheetData>
    <x:row r="1" ht="22" customHeight="1">
      <x:c r="A1" s="2"/>
      <x:c r="B1" s="2"/>
      <x:c r="C1" s="2"/>
      <x:c r="D1" s="2"/>
      <x:c r="E1" s="2"/>
      <x:c r="F1" s="2"/>
      <x:c r="G1" s="2"/>
      <x:c r="H1" s="2"/>
    </x:row>
    <x:row r="2" ht="22" customHeight="1">
      <x:c r="A2" s="3" t="str">
        <x:v>Original promise and reset delivery</x:v>
      </x:c>
      <x:c r="B2" s="2"/>
      <x:c r="C2" s="2"/>
      <x:c r="D2" s="2"/>
      <x:c r="E2" s="2"/>
      <x:c r="F2" s="2"/>
      <x:c r="G2" s="2"/>
      <x:c r="H2" s="2"/>
    </x:row>
    <x:row r="3" ht="22" customHeight="1">
      <x:c r="A3" s="4" t="str">
        <x:v>Recovery priority: documented qualified inquiries, appointments and trial progress. Verified raw contacts do not count as qualified inquiries.</x:v>
      </x:c>
      <x:c r="B3" s="2"/>
      <x:c r="C3" s="2"/>
      <x:c r="D3" s="2"/>
      <x:c r="E3" s="2"/>
      <x:c r="F3" s="2"/>
      <x:c r="G3" s="2"/>
      <x:c r="H3" s="2"/>
    </x:row>
    <x:row r="4" ht="22" customHeight="1">
      <x:c r="A4" s="5"/>
      <x:c r="B4" s="5"/>
      <x:c r="C4" s="5"/>
      <x:c r="D4" s="5"/>
      <x:c r="E4" s="5"/>
      <x:c r="F4" s="5"/>
      <x:c r="G4" s="5"/>
      <x:c r="H4" s="5"/>
    </x:row>
    <x:row r="5" ht="22" customHeight="1">
      <x:c r="A5" s="2"/>
      <x:c r="B5" s="2"/>
      <x:c r="C5" s="2"/>
      <x:c r="D5" s="2"/>
      <x:c r="E5" s="2"/>
      <x:c r="F5" s="2"/>
      <x:c r="G5" s="2"/>
      <x:c r="H5" s="2"/>
    </x:row>
    <x:row r="6" ht="32" customHeight="1">
      <x:c r="A6" s="14" t="str">
        <x:v>Promise / objective</x:v>
      </x:c>
      <x:c r="B6" s="15" t="str">
        <x:v>Original commitment</x:v>
      </x:c>
      <x:c r="C6" s="15" t="str">
        <x:v>Reset through Dec 16</x:v>
      </x:c>
      <x:c r="D6" s="15" t="str">
        <x:v>Measure / evidence</x:v>
      </x:c>
      <x:c r="E6" s="15" t="str">
        <x:v>Owner</x:v>
      </x:c>
      <x:c r="F6" s="15" t="str">
        <x:v>Actual</x:v>
      </x:c>
      <x:c r="G6" s="15" t="str">
        <x:v>Gap / next action</x:v>
      </x:c>
      <x:c r="H6" s="16" t="str">
        <x:v>Basis</x:v>
      </x:c>
    </x:row>
    <x:row r="7" ht="64" customHeight="1">
      <x:c r="A7" s="26" t="str">
        <x:v>ICP-based qualified inquiries</x:v>
      </x:c>
      <x:c r="B7" s="26" t="str">
        <x:v>100+ qualified leads across 6 months</x:v>
      </x:c>
      <x:c r="C7" s="26" t="str">
        <x:v>40 qualified inquiries by Dec 16 (proposed recovery goal)</x:v>
      </x:c>
      <x:c r="D7" s="26" t="str">
        <x:v>Record actual interest/need/timing and the 5 qualification fields in CQL; separate raw list from inquiry. Evidence: Unique CQL practice IDs; qualification fields and reply/call evidence</x:v>
      </x:c>
      <x:c r="E7" s="26" t="str">
        <x:v>Nova</x:v>
      </x:c>
      <x:c r="F7" s="28"/>
      <x:c r="G7" s="26" t="str">
        <x:v>40 is an incremental recovery goal, not the original whole-term commitment.</x:v>
      </x:c>
      <x:c r="H7" s="26" t="str">
        <x:v>Proposal pages 2, 4</x:v>
      </x:c>
    </x:row>
    <x:row r="8" ht="64" customHeight="1">
      <x:c r="A8" s="26" t="str">
        <x:v>Qualified appointments</x:v>
      </x:c>
      <x:c r="B8" s="26" t="str">
        <x:v>52–84 booked over 6 months; months 1–3 total 20–34</x:v>
      </x:c>
      <x:c r="C8" s="26" t="str">
        <x:v>20 booked and 15 held by Dec 16; first booking/held by Nov 6</x:v>
      </x:c>
      <x:c r="D8" s="26" t="str">
        <x:v>Fix sender/offer/list; coordinate email/phone/LI/referrals; human reply&lt;=15 min during coverage. Evidence: Unique appointment IDs; scheduled date; held outcome and source</x:v>
      </x:c>
      <x:c r="E8" s="26" t="str">
        <x:v>Nova</x:v>
      </x:c>
      <x:c r="F8" s="28"/>
      <x:c r="G8" s="26" t="str">
        <x:v>Original planning ranges are not guarantees; report actual recovery against the existing plan.</x:v>
      </x:c>
      <x:c r="H8" s="26" t="str">
        <x:v>Proposal page 4</x:v>
      </x:c>
    </x:row>
    <x:row r="9" ht="64" customHeight="1">
      <x:c r="A9" s="26" t="str">
        <x:v>Controlled trials</x:v>
      </x:c>
      <x:c r="B9" s="26" t="str">
        <x:v>18–30 trials over 6 months; months 1–3 total 6–11</x:v>
      </x:c>
      <x:c r="C9" s="26" t="str">
        <x:v>6 cases received by DSI by Dec 16</x:v>
      </x:c>
      <x:c r="D9" s="26" t="str">
        <x:v>Written First Case Guarantee terms, capacity check, kit/logistics and trial received verification. Evidence: Case receipt date, owner, eligible terms and delivery/review date</x:v>
      </x:c>
      <x:c r="E9" s="26" t="str">
        <x:v>Maseeha</x:v>
      </x:c>
      <x:c r="F9" s="28"/>
      <x:c r="G9" s="26" t="str">
        <x:v>Scope and offer changes require Nic approval; promised/shipped cases are not starts.</x:v>
      </x:c>
      <x:c r="H9" s="26" t="str">
        <x:v>Proposal pages 2, 4</x:v>
      </x:c>
    </x:row>
    <x:row r="10" ht="64" customHeight="1">
      <x:c r="A10" s="26" t="str">
        <x:v>Convert and retain recurring accounts</x:v>
      </x:c>
      <x:c r="B10" s="26" t="str">
        <x:v>5–14 new paid accounts; 20–30% trial-to-paid; 85%+90-day retention</x:v>
      </x:c>
      <x:c r="C10" s="26" t="str">
        <x:v>1–3 recurring conditional on mature trial cohorts; all reviews scheduled</x:v>
      </x:c>
      <x:c r="D10" s="26" t="str">
        <x:v>Day-30 review for each eligible trial; offer recurring plan; carry later cohorts forward. Evidence: Signed plan, invoice/recurring status and actual review date</x:v>
      </x:c>
      <x:c r="E10" s="26" t="str">
        <x:v>Nic</x:v>
      </x:c>
      <x:c r="F10" s="28"/>
      <x:c r="G10" s="26" t="str">
        <x:v>90-day retention cannot mature inside this short reset; keep future cohort tracking.</x:v>
      </x:c>
      <x:c r="H10" s="26" t="str">
        <x:v>Proposal pages 4–5</x:v>
      </x:c>
    </x:row>
    <x:row r="11" ht="64" customHeight="1">
      <x:c r="A11" s="26" t="str">
        <x:v>Credible list and channel operation</x:v>
      </x:c>
      <x:c r="B11" s="26" t="str">
        <x:v>Approximately 7300 new target contacts over 6 months; real licensed LinkedIn identities</x:v>
      </x:c>
      <x:c r="C11" s="26" t="str">
        <x:v>250 verified before launch; 500 Nov 6; 750 Dec 11</x:v>
      </x:c>
      <x:c r="D11" s="26" t="str">
        <x:v>Rebuild verified local list; coordinate 3 touches against one record; keep licensed/manual LI and real senders. Evidence: NPI/site/email/suppression evidence; identity authorization; unique contact IDs</x:v>
      </x:c>
      <x:c r="E11" s="26" t="str">
        <x:v>Joey</x:v>
      </x:c>
      <x:c r="F11" s="28"/>
      <x:c r="G11" s="26" t="str">
        <x:v>750 raw verified contacts do not count as 100 qualified inquiries.</x:v>
      </x:c>
      <x:c r="H11" s="26" t="str">
        <x:v>Proposal pages 2–4</x:v>
      </x:c>
    </x:row>
    <x:row r="12" ht="64" customHeight="1">
      <x:c r="A12" s="26" t="str">
        <x:v>Fast owned sales response</x:v>
      </x:c>
      <x:c r="B12" s="26" t="str">
        <x:v>Sales owner qualification within 1 business day</x:v>
      </x:c>
      <x:c r="C12" s="26" t="str">
        <x:v>100% SLA;&gt;=50% positive-to-booked source goal</x:v>
      </x:c>
      <x:c r="D12" s="26" t="str">
        <x:v>Nova/setters respond&lt;=15 min in confirmed PT coverage; positives called&lt;=60 min; clinical/pricing questions to Nic. Evidence: Received/first-human-response timestamps; call task; qualification fields</x:v>
      </x:c>
      <x:c r="E12" s="26" t="str">
        <x:v>Nova</x:v>
      </x:c>
      <x:c r="F12" s="28"/>
      <x:c r="G12" s="26" t="str">
        <x:v>Coverage must be named and funded; AI failure uses manual SOP.</x:v>
      </x:c>
      <x:c r="H12" s="26" t="str">
        <x:v>Proposal pages 3, 7</x:v>
      </x:c>
    </x:row>
    <x:row r="13" ht="64" customHeight="1">
      <x:c r="A13" s="26" t="str">
        <x:v>Monthly KPI/reporting and governance</x:v>
      </x:c>
      <x:c r="B13" s="26" t="str">
        <x:v>Monthly reviews; fit/conversion/scale/renewal gates</x:v>
      </x:c>
      <x:c r="C13" s="26" t="str">
        <x:v>Daily actuals/evidence; weekly report; Dec 16 execution closeout</x:v>
      </x:c>
      <x:c r="D13" s="26" t="str">
        <x:v>Wyline daily acceptance plus Friday decisions; source-based dashboard and cost per booking. Evidence: Timestamped tracker, accepted outputs and CRM reconciliation</x:v>
      </x:c>
      <x:c r="E13" s="26" t="str">
        <x:v>Wyline</x:v>
      </x:c>
      <x:c r="F13" s="28"/>
      <x:c r="G13" s="26" t="str">
        <x:v>Activities and tools are leading inputs; qualified inquiries/appointments/trials lead client readout.</x:v>
      </x:c>
      <x:c r="H13" s="26" t="str">
        <x:v>Proposal pages 4, 7</x:v>
      </x:c>
    </x:row>
    <x:row r="14" ht="64" customHeight="1">
      <x:c r="A14" s="26" t="str">
        <x:v>Commercial scope and practical capacity</x:v>
      </x:c>
      <x:c r="B14" s="26" t="str">
        <x:v>$1,053.98/month recommended; 40 outreach hours/month; separate approval for excluded work.</x:v>
      </x:c>
      <x:c r="C14" s="26" t="str">
        <x:v>Oct 27 scope/funding decision; 0 unapproved spend</x:v>
      </x:c>
      <x:c r="D14" s="26" t="str">
        <x:v>Confirm internally funded recovery capacity, prioritize manual conversion and obtain separate approval for any new client costs. Evidence: Written internal resource allocation and any DSI budget approval; actual hours and confirmed rates.</x:v>
      </x:c>
      <x:c r="E14" s="26" t="str">
        <x:v>Wyline</x:v>
      </x:c>
      <x:c r="F14" s="28"/>
      <x:c r="G14" s="26" t="str">
        <x:v>The reset caps of 125 internal hours/week plus setters exceed the proposal’s 40 outreach hours/month. No surcharge or funding approval is assumed.</x:v>
      </x:c>
      <x:c r="H14" s="26" t="str">
        <x:v>Proposal pages 6–7</x:v>
      </x:c>
    </x:row>
    <x:row r="15" ht="64" customHeight="1">
      <x:c r="A15" s="26" t="str">
        <x:v>Strategic MRR ambition</x:v>
      </x:c>
      <x:c r="B15" s="26" t="str">
        <x:v>Approach $200,000 MRR as a strategic stretch, recalculated from actual MRR per retained client.</x:v>
      </x:c>
      <x:c r="C15" s="26" t="str">
        <x:v>No new guaranteed revenue target; record actual recurring revenue when known</x:v>
      </x:c>
      <x:c r="D15" s="26" t="str">
        <x:v>Measure paid recurring wins and actual cohort economics; do not claim that the recovery goal fulfills the MRR objective. Evidence: Actual retained-account MRR/gross margin from DSI</x:v>
      </x:c>
      <x:c r="E15" s="26" t="str">
        <x:v>Wyline</x:v>
      </x:c>
      <x:c r="F15" s="28"/>
      <x:c r="G15" s="26" t="str">
        <x:v>MRR/client and service capacity must be confirmed; first inquiry/booking/trial recovery has priority.</x:v>
      </x:c>
      <x:c r="H15" s="26" t="str">
        <x:v>Proposal pages 1, 5, 7</x:v>
      </x:c>
    </x:row>
    <x:row r="16" ht="22" customHeight="1">
      <x:c r="A16" s="2"/>
      <x:c r="B16" s="2"/>
      <x:c r="C16" s="2"/>
      <x:c r="D16" s="2"/>
      <x:c r="E16" s="2"/>
      <x:c r="F16" s="2"/>
      <x:c r="G16" s="2"/>
      <x:c r="H16" s="2"/>
    </x:row>
    <x:row r="17" ht="22" customHeight="1">
      <x:c r="A17" s="2"/>
      <x:c r="B17" s="2"/>
      <x:c r="C17" s="2"/>
      <x:c r="D17" s="2"/>
      <x:c r="E17" s="2"/>
      <x:c r="F17" s="2"/>
      <x:c r="G17" s="2"/>
      <x:c r="H17" s="2"/>
    </x:row>
    <x:row r="18" ht="26" customHeight="1">
      <x:c r="A18" s="44" t="str">
        <x:v>Counting rules</x:v>
      </x:c>
      <x:c r="B18" s="44"/>
      <x:c r="C18" s="44"/>
      <x:c r="D18" s="44"/>
      <x:c r="E18" s="44"/>
      <x:c r="F18" s="44"/>
      <x:c r="G18" s="44"/>
      <x:c r="H18" s="44"/>
    </x:row>
    <x:row r="19" ht="32" customHeight="1">
      <x:c r="A19" s="2" t="str">
        <x:v>Count an inquiry only when a verified relevant practice expresses interest and a meaningful next step is logged.</x:v>
      </x:c>
      <x:c r="B19" s="2"/>
      <x:c r="C19" s="2"/>
      <x:c r="D19" s="2"/>
      <x:c r="E19" s="2"/>
      <x:c r="F19" s="2"/>
      <x:c r="G19" s="2"/>
      <x:c r="H19" s="2"/>
    </x:row>
    <x:row r="20" ht="32" customHeight="1">
      <x:c r="A20" s="2" t="str">
        <x:v>Count a booking only once across email, LinkedIn, referrals and ads. Record one primary source and supporting touches.</x:v>
      </x:c>
      <x:c r="B20" s="2"/>
      <x:c r="C20" s="2"/>
      <x:c r="D20" s="2"/>
      <x:c r="E20" s="2"/>
      <x:c r="F20" s="2"/>
      <x:c r="G20" s="2"/>
      <x:c r="H20" s="2"/>
    </x:row>
    <x:row r="21" ht="32" customHeight="1">
      <x:c r="A21" s="2" t="str">
        <x:v>Held calls, trial starts, first paid cases and recurring accounts are separate outcomes. Record each event with CQL evidence.</x:v>
      </x:c>
      <x:c r="B21" s="2"/>
      <x:c r="C21" s="2"/>
      <x:c r="D21" s="2"/>
      <x:c r="E21" s="2"/>
      <x:c r="F21" s="2"/>
      <x:c r="G21" s="2"/>
      <x:c r="H21" s="2"/>
    </x:row>
    <x:row r="22" ht="32" customHeight="1">
      <x:c r="A22" s="2" t="str">
        <x:v>Do not report future targets as achieved. Actual fields start blank because no reset-period outcomes have been verified.</x:v>
      </x:c>
      <x:c r="B22" s="2"/>
      <x:c r="C22" s="2"/>
      <x:c r="D22" s="2"/>
      <x:c r="E22" s="2"/>
      <x:c r="F22" s="2"/>
      <x:c r="G22" s="2"/>
      <x:c r="H22" s="2"/>
    </x:row>
    <x:row r="23" ht="32" customHeight="1">
      <x:c r="A23" s="2" t="str">
        <x:v>No offer, spend or commercial scope change is authorized merely by this tracker. DSI approval is a launch gate.</x:v>
      </x:c>
      <x:c r="B23" s="2"/>
      <x:c r="C23" s="2"/>
      <x:c r="D23" s="2"/>
      <x:c r="E23" s="2"/>
      <x:c r="F23" s="2"/>
      <x:c r="G23" s="2"/>
      <x:c r="H23" s="2"/>
    </x:row>
    <x:row r="24" ht="22" customHeight="1">
      <x:c r="A24" s="2"/>
      <x:c r="B24" s="2"/>
      <x:c r="C24" s="2"/>
      <x:c r="D24" s="2"/>
      <x:c r="E24" s="2"/>
      <x:c r="F24" s="2"/>
      <x:c r="G24" s="2"/>
      <x:c r="H24" s="2"/>
    </x:row>
    <x:row r="25" ht="22" customHeight="1">
      <x:c r="A25" s="2"/>
      <x:c r="B25" s="2"/>
      <x:c r="C25" s="2"/>
      <x:c r="D25" s="2"/>
      <x:c r="E25" s="2"/>
      <x:c r="F25" s="2"/>
      <x:c r="G25" s="2"/>
      <x:c r="H25" s="2"/>
    </x:row>
    <x:row r="26" ht="22" customHeight="1">
      <x:c r="A26" s="2"/>
      <x:c r="B26" s="2"/>
      <x:c r="C26" s="2"/>
      <x:c r="D26" s="2"/>
      <x:c r="E26" s="2"/>
      <x:c r="F26" s="2"/>
      <x:c r="G26" s="2"/>
      <x:c r="H26" s="2"/>
    </x:row>
    <x:row r="27" ht="22" customHeight="1">
      <x:c r="A27" s="2"/>
      <x:c r="B27" s="2"/>
      <x:c r="C27" s="2"/>
      <x:c r="D27" s="2"/>
      <x:c r="E27" s="2"/>
      <x:c r="F27" s="2"/>
      <x:c r="G27" s="2"/>
      <x:c r="H27" s="2"/>
    </x:row>
    <x:row r="28" ht="22" customHeight="1">
      <x:c r="A28" s="2"/>
      <x:c r="B28" s="2"/>
      <x:c r="C28" s="2"/>
      <x:c r="D28" s="2"/>
      <x:c r="E28" s="2"/>
      <x:c r="F28" s="2"/>
      <x:c r="G28" s="2"/>
      <x:c r="H28" s="2"/>
    </x:row>
    <x:row r="29" ht="22" customHeight="1">
      <x:c r="A29" s="2"/>
      <x:c r="B29" s="2"/>
      <x:c r="C29" s="2"/>
      <x:c r="D29" s="2"/>
      <x:c r="E29" s="2"/>
      <x:c r="F29" s="2"/>
      <x:c r="G29" s="2"/>
      <x:c r="H29" s="2"/>
    </x:row>
    <x:row r="30" ht="22" customHeight="1">
      <x:c r="A30" s="2"/>
      <x:c r="B30" s="2"/>
      <x:c r="C30" s="2"/>
      <x:c r="D30" s="2"/>
      <x:c r="E30" s="2"/>
      <x:c r="F30" s="2"/>
      <x:c r="G30" s="2"/>
      <x:c r="H30" s="2"/>
    </x:row>
    <x:row r="31" ht="22" customHeight="1">
      <x:c r="A31" s="2"/>
      <x:c r="B31" s="2"/>
      <x:c r="C31" s="2"/>
      <x:c r="D31" s="2"/>
      <x:c r="E31" s="2"/>
      <x:c r="F31" s="2"/>
      <x:c r="G31" s="2"/>
      <x:c r="H31" s="2"/>
    </x:row>
    <x:row r="32" ht="22" customHeight="1">
      <x:c r="A32" s="2"/>
      <x:c r="B32" s="2"/>
      <x:c r="C32" s="2"/>
      <x:c r="D32" s="2"/>
      <x:c r="E32" s="2"/>
      <x:c r="F32" s="2"/>
      <x:c r="G32" s="2"/>
      <x:c r="H32" s="2"/>
    </x:row>
    <x:row r="33" ht="22" customHeight="1">
      <x:c r="A33" s="2"/>
      <x:c r="B33" s="2"/>
      <x:c r="C33" s="2"/>
      <x:c r="D33" s="2"/>
      <x:c r="E33" s="2"/>
      <x:c r="F33" s="2"/>
      <x:c r="G33" s="2"/>
      <x:c r="H33" s="2"/>
    </x:row>
    <x:row r="34" ht="22" customHeight="1">
      <x:c r="A34" s="2"/>
      <x:c r="B34" s="2"/>
      <x:c r="C34" s="2"/>
      <x:c r="D34" s="2"/>
      <x:c r="E34" s="2"/>
      <x:c r="F34" s="2"/>
      <x:c r="G34" s="2"/>
      <x:c r="H34" s="2"/>
    </x:row>
    <x:row r="35" ht="22" customHeight="1">
      <x:c r="A35" s="2"/>
      <x:c r="B35" s="2"/>
      <x:c r="C35" s="2"/>
      <x:c r="D35" s="2"/>
      <x:c r="E35" s="2"/>
      <x:c r="F35" s="2"/>
      <x:c r="G35" s="2"/>
      <x:c r="H35" s="2"/>
    </x:row>
    <x:row r="36" ht="22" customHeight="1">
      <x:c r="A36" s="2"/>
      <x:c r="B36" s="2"/>
      <x:c r="C36" s="2"/>
      <x:c r="D36" s="2"/>
      <x:c r="E36" s="2"/>
      <x:c r="F36" s="2"/>
      <x:c r="G36" s="2"/>
      <x:c r="H36" s="2"/>
    </x:row>
    <x:row r="37" ht="22" customHeight="1">
      <x:c r="A37" s="2"/>
      <x:c r="B37" s="2"/>
      <x:c r="C37" s="2"/>
      <x:c r="D37" s="2"/>
      <x:c r="E37" s="2"/>
      <x:c r="F37" s="2"/>
      <x:c r="G37" s="2"/>
      <x:c r="H37" s="2"/>
    </x:row>
    <x:row r="38" ht="22" customHeight="1">
      <x:c r="A38" s="2"/>
      <x:c r="B38" s="2"/>
      <x:c r="C38" s="2"/>
      <x:c r="D38" s="2"/>
      <x:c r="E38" s="2"/>
      <x:c r="F38" s="2"/>
      <x:c r="G38" s="2"/>
      <x:c r="H38" s="2"/>
    </x:row>
    <x:row r="39" ht="22" customHeight="1">
      <x:c r="A39" s="2"/>
      <x:c r="B39" s="2"/>
      <x:c r="C39" s="2"/>
      <x:c r="D39" s="2"/>
      <x:c r="E39" s="2"/>
      <x:c r="F39" s="2"/>
      <x:c r="G39" s="2"/>
      <x:c r="H39" s="2"/>
    </x:row>
    <x:row r="40" ht="22" customHeight="1">
      <x:c r="A40" s="2"/>
      <x:c r="B40" s="2"/>
      <x:c r="C40" s="2"/>
      <x:c r="D40" s="2"/>
      <x:c r="E40" s="2"/>
      <x:c r="F40" s="2"/>
      <x:c r="G40" s="2"/>
      <x:c r="H40" s="2"/>
    </x:row>
    <x:row r="41" ht="22" customHeight="1">
      <x:c r="A41" s="2"/>
      <x:c r="B41" s="2"/>
      <x:c r="C41" s="2"/>
      <x:c r="D41" s="2"/>
      <x:c r="E41" s="2"/>
      <x:c r="F41" s="2"/>
      <x:c r="G41" s="2"/>
      <x:c r="H41" s="2"/>
    </x:row>
    <x:row r="42" ht="22" customHeight="1">
      <x:c r="A42" s="2"/>
      <x:c r="B42" s="2"/>
      <x:c r="C42" s="2"/>
      <x:c r="D42" s="2"/>
      <x:c r="E42" s="2"/>
      <x:c r="F42" s="2"/>
      <x:c r="G42" s="2"/>
      <x:c r="H42" s="2"/>
    </x:row>
  </x:sheetData>
  <x:pageMargins left="0.7" right="0.7" top="0.75" bottom="0.75" header="0.3" footer="0.3"/>
</x:worksheet>
</file>

<file path=xl/worksheets/sheet9.xml><?xml version="1.0" encoding="utf-8"?>
<x:worksheet xmlns:x="http://schemas.openxmlformats.org/spreadsheetml/2006/main">
  <x:sheetPr>
    <x:tabColor rgb="FF667085"/>
  </x:sheetPr>
  <x:sheetViews>
    <x:sheetView showGridLines="0" workbookViewId="0"/>
  </x:sheetViews>
  <x:sheetFormatPr defaultRowHeight="15"/>
  <x:cols>
    <x:col min="1" max="1" width="24" hidden="0" customWidth="1"/>
    <x:col min="2" max="2" width="86" hidden="0" customWidth="1"/>
    <x:col min="3" max="3" width="24" hidden="0" customWidth="1"/>
    <x:col min="4" max="4" width="25" hidden="0" customWidth="1"/>
    <x:col min="5" max="5" width="25" hidden="0" customWidth="1"/>
    <x:col min="6" max="6" width="25" hidden="0" customWidth="1"/>
  </x:cols>
  <x:sheetData>
    <x:row r="1" ht="22" customHeight="1">
      <x:c r="A1" s="2"/>
      <x:c r="B1" s="2"/>
      <x:c r="C1" s="2"/>
      <x:c r="D1" s="2"/>
      <x:c r="E1" s="2"/>
      <x:c r="F1" s="2"/>
    </x:row>
    <x:row r="2" ht="22" customHeight="1">
      <x:c r="A2" s="3" t="str">
        <x:v>Run the tracker every day</x:v>
      </x:c>
      <x:c r="B2" s="2"/>
      <x:c r="C2" s="2"/>
      <x:c r="D2" s="2"/>
      <x:c r="E2" s="2"/>
      <x:c r="F2" s="2"/>
    </x:row>
    <x:row r="3" ht="22" customHeight="1">
      <x:c r="A3" s="4" t="str">
        <x:v>A single owner, an original deadline, an acceptance standard, evidence and a recovery route for every deliverable.</x:v>
      </x:c>
      <x:c r="B3" s="2"/>
      <x:c r="C3" s="2"/>
      <x:c r="D3" s="2"/>
      <x:c r="E3" s="2"/>
      <x:c r="F3" s="2"/>
    </x:row>
    <x:row r="4" ht="22" customHeight="1">
      <x:c r="A4" s="5"/>
      <x:c r="B4" s="5"/>
      <x:c r="C4" s="5"/>
      <x:c r="D4" s="5"/>
      <x:c r="E4" s="5"/>
      <x:c r="F4" s="5"/>
    </x:row>
    <x:row r="5" ht="22" customHeight="1">
      <x:c r="A5" s="2"/>
      <x:c r="B5" s="2"/>
      <x:c r="C5" s="2"/>
      <x:c r="D5" s="2"/>
      <x:c r="E5" s="2"/>
      <x:c r="F5" s="2"/>
    </x:row>
    <x:row r="6" ht="32" customHeight="1">
      <x:c r="A6" s="14" t="str">
        <x:v>Step / rule</x:v>
      </x:c>
      <x:c r="B6" s="16" t="str">
        <x:v>How it works</x:v>
      </x:c>
      <x:c r="C6" s="2"/>
      <x:c r="D6" s="2"/>
      <x:c r="E6" s="2"/>
      <x:c r="F6" s="2"/>
    </x:row>
    <x:row r="7" ht="63" customHeight="1">
      <x:c r="A7" s="26" t="str">
        <x:v>1. Choose the master</x:v>
      </x:c>
      <x:c r="B7" s="26" t="str">
        <x:v>Use the live shared tracker for team updates and audit history, or upload this workbook to one shared Excel/Sheets location. Do not maintain independent copies as parallel sources of truth.</x:v>
      </x:c>
      <x:c r="C7" s="2"/>
      <x:c r="D7" s="2"/>
      <x:c r="E7" s="2"/>
      <x:c r="F7" s="2"/>
    </x:row>
    <x:row r="8" ht="63" customHeight="1">
      <x:c r="A8" s="26" t="str">
        <x:v>2. Set the report date</x:v>
      </x:c>
      <x:c r="B8" s="26" t="str">
        <x:v>Change Dashboard B5. Filter Daily Tasks by Original due and Owner. The Day Map and management counts recalculate.</x:v>
      </x:c>
      <x:c r="C8" s="2"/>
      <x:c r="D8" s="2"/>
      <x:c r="E8" s="2"/>
      <x:c r="F8" s="2"/>
    </x:row>
    <x:row r="9" ht="63" customHeight="1">
      <x:c r="A9" s="26" t="str">
        <x:v>3. Update the task</x:v>
      </x:c>
      <x:c r="B9" s="26" t="str">
        <x:v>Use Ready, In progress, Blocked, Review, Accepted or Deferred. Actual, evidence, blocker, rescue owner, recovery date, reviewer and accepted date are blue input cells.</x:v>
      </x:c>
      <x:c r="C9" s="2"/>
      <x:c r="D9" s="2"/>
      <x:c r="E9" s="2"/>
      <x:c r="F9" s="2"/>
    </x:row>
    <x:row r="10" ht="63" customHeight="1">
      <x:c r="A10" s="26" t="str">
        <x:v>4. Submit for review</x:v>
      </x:c>
      <x:c r="B10" s="26" t="str">
        <x:v>Move to Review when the stated output exists. Paste a link or specific evidence reference and enter the actual quantity for numeric targets.</x:v>
      </x:c>
      <x:c r="C10" s="2"/>
      <x:c r="D10" s="2"/>
      <x:c r="E10" s="2"/>
      <x:c r="F10" s="2"/>
    </x:row>
    <x:row r="11" ht="63" customHeight="1">
      <x:c r="A11" s="26" t="str">
        <x:v>5. Accept</x:v>
      </x:c>
      <x:c r="B11" s="26" t="str">
        <x:v>Wyline or her named delegate enters Accepted by and Accepted on. The formula counts completion only when the required fields and mapped task prerequisites are satisfied. Review never counts as done.</x:v>
      </x:c>
      <x:c r="C11" s="2"/>
      <x:c r="D11" s="2"/>
      <x:c r="E11" s="2"/>
      <x:c r="F11" s="2"/>
    </x:row>
    <x:row r="12" ht="63" customHeight="1">
      <x:c r="A12" s="26" t="str">
        <x:v>Targets and capacity</x:v>
      </x:c>
      <x:c r="B12" s="26" t="str">
        <x:v>Goal and checklist outputs must reach their stated quantity to count. Capacity figures are ceilings, not required volume. Record actual volume and a capacity variance reason when below the ceiling. Demand-driven tasks use the stated acceptance evidence.</x:v>
      </x:c>
      <x:c r="C12" s="2"/>
      <x:c r="D12" s="2"/>
      <x:c r="E12" s="2"/>
      <x:c r="F12" s="2"/>
    </x:row>
    <x:row r="13" ht="63" customHeight="1">
      <x:c r="A13" s="26" t="str">
        <x:v>Gate reviews</x:v>
      </x:c>
      <x:c r="B13" s="26" t="str">
        <x:v>Supporting task completion never proves a gate. On Gates, review the acceptance standard and enter Gate review, evidence with actual results or approvals, verifier and verified date. Choose Verified only when the full condition is met; missed goals stay Missed with a recovery decision. All prerequisite gates must also be verified.</x:v>
      </x:c>
      <x:c r="C13" s="2"/>
      <x:c r="D13" s="2"/>
      <x:c r="E13" s="2"/>
      <x:c r="F13" s="2"/>
    </x:row>
    <x:row r="14" ht="63" customHeight="1">
      <x:c r="A14" s="26" t="str">
        <x:v>6. Recover a miss</x:v>
      </x:c>
      <x:c r="B14" s="26" t="str">
        <x:v>Keep Original due unchanged. Record why, name a rescue owner and set Recovery due. A late acceptance remains visible as Accepted late. Deferred work remains unfinished.</x:v>
      </x:c>
      <x:c r="C14" s="2"/>
      <x:c r="D14" s="2"/>
      <x:c r="E14" s="2"/>
      <x:c r="F14" s="2"/>
    </x:row>
    <x:row r="15" ht="63" customHeight="1">
      <x:c r="A15" s="26" t="str">
        <x:v>7. Log outcomes</x:v>
      </x:c>
      <x:c r="B15" s="26" t="str">
        <x:v>KPI Log stores cumulative reset-period snapshots. Filter by date. Count metrics use Count/cost actual; rates use their stated numerator and denominator. A blank means unknown, and zero must be deliberately entered.</x:v>
      </x:c>
      <x:c r="C15" s="2"/>
      <x:c r="D15" s="2"/>
      <x:c r="E15" s="2"/>
      <x:c r="F15" s="2"/>
    </x:row>
    <x:row r="16" ht="63" customHeight="1">
      <x:c r="A16" s="26" t="str">
        <x:v>8. Review Friday</x:v>
      </x:c>
      <x:c r="B16" s="26" t="str">
        <x:v>Wyline reviews qualified inquiries, booked and held calls, trials, SLA, recoveries and original-promise gaps. Only verified CQL evidence supports outcome reporting.</x:v>
      </x:c>
      <x:c r="C16" s="2"/>
      <x:c r="D16" s="2"/>
      <x:c r="E16" s="2"/>
      <x:c r="F16" s="2"/>
    </x:row>
    <x:row r="17" ht="63" customHeight="1">
      <x:c r="A17" s="26" t="str">
        <x:v>Date interpretation</x:v>
      </x:c>
      <x:c r="B17" s="26" t="str">
        <x:v>October 22–December 16 is 56 calendar days and 40 weekdays. October 22–December 18 is 58 calendar days. The final two days are a review/recovery buffer, not a silent extension.</x:v>
      </x:c>
      <x:c r="C17" s="2"/>
      <x:c r="D17" s="2"/>
      <x:c r="E17" s="2"/>
      <x:c r="F17" s="2"/>
    </x:row>
    <x:row r="18" ht="63" customHeight="1">
      <x:c r="A18" s="26" t="str">
        <x:v>Working calendar</x:v>
      </x:c>
      <x:c r="B18" s="26" t="str">
        <x:v>No mandatory weekend delivery. November 26–27 has no cold outreach. November 23–25 is reduced follow-up and housekeeping; Wyline confirms coverage and client availability.</x:v>
      </x:c>
      <x:c r="C18" s="2"/>
      <x:c r="D18" s="2"/>
      <x:c r="E18" s="2"/>
      <x:c r="F18" s="2"/>
    </x:row>
    <x:row r="19" ht="63" customHeight="1">
      <x:c r="A19" s="26" t="str">
        <x:v>Authority</x:v>
      </x:c>
      <x:c r="B19" s="26" t="str">
        <x:v>Wyline owns internal acceptance and recovery. Nic approves DSI commercial terms, spend and closing. The tracker does not itself send email, place calls or publish posts.</x:v>
      </x:c>
      <x:c r="C19" s="2"/>
      <x:c r="D19" s="2"/>
      <x:c r="E19" s="2"/>
      <x:c r="F19" s="2"/>
    </x:row>
    <x:row r="20" ht="63" customHeight="1">
      <x:c r="A20" s="26" t="str">
        <x:v>Capacity</x:v>
      </x:c>
      <x:c r="B20" s="26" t="str">
        <x:v>Weekly caps are internal resource limits from the reset plan. Daily allocation is proposed. Rebalance within caps before adding load, protect conversion coverage, and confirm actual setter names.</x:v>
      </x:c>
      <x:c r="C20" s="2"/>
      <x:c r="D20" s="2"/>
      <x:c r="E20" s="2"/>
      <x:c r="F20" s="2"/>
    </x:row>
    <x:row r="21" ht="63" customHeight="1">
      <x:c r="A21" s="26" t="str">
        <x:v>Spreadsheet limitations</x:v>
      </x:c>
      <x:c r="B21" s="26" t="str">
        <x:v>This file preserves deadlines and calculates progress but does not provide an immutable event log, verified-user permissions or automatic synchronization with CQL or the live tracker. Use the live app for shared audit history.</x:v>
      </x:c>
      <x:c r="C21" s="2"/>
      <x:c r="D21" s="2"/>
      <x:c r="E21" s="2"/>
      <x:c r="F21" s="2"/>
    </x:row>
    <x:row r="22" ht="22" customHeight="1">
      <x:c r="A22" s="2"/>
      <x:c r="B22" s="2"/>
      <x:c r="C22" s="2"/>
      <x:c r="D22" s="2"/>
      <x:c r="E22" s="2"/>
      <x:c r="F22" s="2"/>
    </x:row>
    <x:row r="23" ht="22" customHeight="1">
      <x:c r="A23" s="2"/>
      <x:c r="B23" s="2"/>
      <x:c r="C23" s="2"/>
      <x:c r="D23" s="2"/>
      <x:c r="E23" s="2"/>
      <x:c r="F23" s="2"/>
    </x:row>
    <x:row r="24" ht="26" customHeight="1">
      <x:c r="A24" s="44" t="str">
        <x:v>Source register and decisions</x:v>
      </x:c>
      <x:c r="B24" s="44"/>
      <x:c r="C24" s="44"/>
      <x:c r="D24" s="44"/>
      <x:c r="E24" s="44"/>
      <x:c r="F24" s="44"/>
    </x:row>
    <x:row r="25" ht="62" customHeight="1">
      <x:c r="A25" s="26" t="str">
        <x:v>Reset plan</x:v>
      </x:c>
      <x:c r="B25" s="26" t="str">
        <x:v>DSI_Reset_60-Day_Plan_v7_2026-10-22.pdf, sections 5–17d. Targets, roles, launch gates, SOPs, daily runbook and latest social amendment.</x:v>
      </x:c>
      <x:c r="C25" s="2"/>
      <x:c r="D25" s="2"/>
      <x:c r="E25" s="2"/>
      <x:c r="F25" s="2"/>
    </x:row>
    <x:row r="26" ht="62" customHeight="1">
      <x:c r="A26" s="26" t="str">
        <x:v>Responsibility chart</x:v>
      </x:c>
      <x:c r="B26" s="26" t="str">
        <x:v>Restyled DSI Responsibility Chart (1).png. Reporting lines, AI ownership and DSI client handoffs.</x:v>
      </x:c>
      <x:c r="C26" s="2"/>
      <x:c r="D26" s="2"/>
      <x:c r="E26" s="2"/>
      <x:c r="F26" s="2"/>
    </x:row>
    <x:row r="27" ht="62" customHeight="1">
      <x:c r="A27" s="26" t="str">
        <x:v>Original proposal</x:v>
      </x:c>
      <x:c r="B27" s="26" t="str">
        <x:v>Original DSI proposal supplied in this conversation. Original outcome and resource commitments are compared in Promise Map.</x:v>
      </x:c>
      <x:c r="C27" s="2"/>
      <x:c r="D27" s="2"/>
      <x:c r="E27" s="2"/>
      <x:c r="F27" s="2"/>
    </x:row>
    <x:row r="28" ht="62" customHeight="1">
      <x:c r="A28" s="26" t="str">
        <x:v>Social HTML</x:v>
      </x:c>
      <x:c r="B28" s="26" t="str">
        <x:v>IdeaHub_Social_Content_Playbook_8672.html contains the OneDrive viewer shell, not readable playbook content. Social rules therefore come from reset PDF sections 17c–17d.</x:v>
      </x:c>
      <x:c r="C28" s="2"/>
      <x:c r="D28" s="2"/>
      <x:c r="E28" s="2"/>
      <x:c r="F28" s="2"/>
    </x:row>
    <x:row r="29" ht="62" customHeight="1">
      <x:c r="A29" s="26" t="str">
        <x:v>Deadline adjustment</x:v>
      </x:c>
      <x:c r="B29" s="26" t="str">
        <x:v>The source terminal date is December 19. The user’s December 16 delivery date takes precedence; December 17–18 is explicit review/recovery.</x:v>
      </x:c>
      <x:c r="C29" s="2"/>
      <x:c r="D29" s="2"/>
      <x:c r="E29" s="2"/>
      <x:c r="F29" s="2"/>
    </x:row>
    <x:row r="30" ht="62" customHeight="1">
      <x:c r="A30" s="26" t="str">
        <x:v>Source conflict</x:v>
      </x:c>
      <x:c r="B30" s="26" t="str">
        <x:v>The source lists both 500 verified before any send and a 250-contact Wave 1 launch gate. The detailed runbook governs: 250 QA-passed for launch and 500 by November 6.</x:v>
      </x:c>
      <x:c r="C30" s="2"/>
      <x:c r="D30" s="2"/>
      <x:c r="E30" s="2"/>
      <x:c r="F30" s="2"/>
    </x:row>
    <x:row r="31" ht="62" customHeight="1">
      <x:c r="A31" s="26" t="str">
        <x:v>Latest social amendment</x:v>
      </x:c>
      <x:c r="B31" s="26" t="str">
        <x:v>Approved LinkedIn copy is mirrored to Facebook. Instagram mirrors only posts with permissioned images. No additional writing calendar or Meta ad budget.</x:v>
      </x:c>
      <x:c r="C31" s="2"/>
      <x:c r="D31" s="2"/>
      <x:c r="E31" s="2"/>
      <x:c r="F31" s="2"/>
    </x:row>
    <x:row r="32" ht="62" customHeight="1">
      <x:c r="A32" s="26" t="str">
        <x:v>Planning additions</x:v>
      </x:c>
      <x:c r="B32" s="26" t="str">
        <x:v>Day-by-day allocations after the source’s November 6 runbook, the recovery workflow and any clearly marked proposed inquiry/held-call goals are planning additions.</x:v>
      </x:c>
      <x:c r="C32" s="2"/>
      <x:c r="D32" s="2"/>
      <x:c r="E32" s="2"/>
      <x:c r="F32" s="2"/>
    </x:row>
    <x:row r="33" ht="22" customHeight="1">
      <x:c r="A33" s="2"/>
      <x:c r="B33" s="2"/>
      <x:c r="C33" s="2"/>
      <x:c r="D33" s="2"/>
      <x:c r="E33" s="2"/>
      <x:c r="F33" s="2"/>
    </x:row>
    <x:row r="34" ht="22" customHeight="1">
      <x:c r="A34" s="2"/>
      <x:c r="B34" s="2"/>
      <x:c r="C34" s="2"/>
      <x:c r="D34" s="2"/>
      <x:c r="E34" s="2"/>
      <x:c r="F34" s="2"/>
    </x:row>
    <x:row r="35" ht="26" customHeight="1">
      <x:c r="A35" s="44" t="str">
        <x:v>Additional assumptions from the canonical plan</x:v>
      </x:c>
      <x:c r="B35" s="44"/>
      <x:c r="C35" s="44"/>
      <x:c r="D35" s="44"/>
      <x:c r="E35" s="44"/>
      <x:c r="F35" s="44"/>
    </x:row>
    <x:row r="36" ht="62" customHeight="1">
      <x:c r="A36" s="26" t="str">
        <x:v>1</x:v>
      </x:c>
      <x:c r="B36" s="26" t="str">
        <x:v>All times use America/Los_Angeles. The November 1 clock change is handled as local Pacific time; do not use a fixed UTC offset.</x:v>
      </x:c>
      <x:c r="C36" s="2"/>
      <x:c r="D36" s="2"/>
      <x:c r="E36" s="2"/>
      <x:c r="F36" s="2"/>
    </x:row>
    <x:row r="37" ht="62" customHeight="1">
      <x:c r="A37" s="26" t="str">
        <x:v>2</x:v>
      </x:c>
      <x:c r="B37" s="26" t="str">
        <x:v>Nine named internal owners receive a daily output or health-check task. Brian and Ludwig release reserved time when no fault or approved work remains.</x:v>
      </x:c>
      <x:c r="C37" s="2"/>
      <x:c r="D37" s="2"/>
      <x:c r="E37" s="2"/>
      <x:c r="F37" s="2"/>
    </x:row>
    <x:row r="38" ht="62" customHeight="1">
      <x:c r="A38" s="26" t="str">
        <x:v>3</x:v>
      </x:c>
      <x:c r="B38" s="26" t="str">
        <x:v>Setter 1 and Setter 2 remain staffing roles until Nova records actual names, hours, breaks and backup coverage. Their proposed 40-hour weekly allowances are unapproved capacity assumptions.</x:v>
      </x:c>
      <x:c r="C38" s="2"/>
      <x:c r="D38" s="2"/>
      <x:c r="E38" s="2"/>
      <x:c r="F38" s="2"/>
    </x:row>
    <x:row r="39" ht="62" customHeight="1">
      <x:c r="A39" s="26" t="str">
        <x:v>4</x:v>
      </x:c>
      <x:c r="B39" s="26" t="str">
        <x:v>November 26–27 is a proposed holiday break. November 23–25 is reserved for agreed callbacks, training and recovery. Confirm client and staff availability at the reset call.</x:v>
      </x:c>
      <x:c r="C39" s="2"/>
      <x:c r="D39" s="2"/>
      <x:c r="E39" s="2"/>
      <x:c r="F39" s="2"/>
    </x:row>
    <x:row r="40" ht="62" customHeight="1">
      <x:c r="A40" s="26" t="str">
        <x:v>5</x:v>
      </x:c>
      <x:c r="B40" s="26" t="str">
        <x:v>Original proposal and reset targets are operating goals, not guarantees. Intermediate daily and weekly pace is a new planning allocation.</x:v>
      </x:c>
      <x:c r="C40" s="2"/>
      <x:c r="D40" s="2"/>
      <x:c r="E40" s="2"/>
      <x:c r="F40" s="2"/>
    </x:row>
    <x:row r="41" ht="62" customHeight="1">
      <x:c r="A41" s="26" t="str">
        <x:v>6</x:v>
      </x:c>
      <x:c r="B41" s="26" t="str">
        <x:v>The original proposal recommends 40 outreach hours per month. Reset source caps total 125 internal hours per build week, plus setters; this tracker reserves 117 internal hours per normal later week including 2 for Brian. Wyline must confirm internal recovery funding; these are not new DSI charges.</x:v>
      </x:c>
      <x:c r="C41" s="2"/>
      <x:c r="D41" s="2"/>
      <x:c r="E41" s="2"/>
      <x:c r="F41" s="2"/>
    </x:row>
    <x:row r="42" ht="62" customHeight="1">
      <x:c r="A42" s="26" t="str">
        <x:v>7</x:v>
      </x:c>
      <x:c r="B42" s="26" t="str">
        <x:v>Advertising, custom integration, advanced CRM work, additional operators and production or kit costs require the applicable separate funding approval. A staffed manual lane can launch without waiting for optional AI automation.</x:v>
      </x:c>
      <x:c r="C42" s="2"/>
      <x:c r="D42" s="2"/>
      <x:c r="E42" s="2"/>
      <x:c r="F42" s="2"/>
    </x:row>
    <x:row r="43" ht="62" customHeight="1">
      <x:c r="A43" s="26" t="str">
        <x:v>8</x:v>
      </x:c>
      <x:c r="B43" s="26" t="str">
        <x:v>Advertising spend defaults to zero until written approval. The reset recommendation is at most $15/day and $450 total, with a $300/zero-booking stop.</x:v>
      </x:c>
      <x:c r="C43" s="2"/>
      <x:c r="D43" s="2"/>
      <x:c r="E43" s="2"/>
      <x:c r="F43" s="2"/>
    </x:row>
    <x:row r="44" ht="62" customHeight="1">
      <x:c r="A44" s="26" t="str">
        <x:v>9</x:v>
      </x:c>
      <x:c r="B44" s="26" t="str">
        <x:v>Forty qualified inquiries is a proposed recovery target for December 16. Qualified inquiries, verified raw contacts and appointments are distinct counts.</x:v>
      </x:c>
      <x:c r="C44" s="2"/>
      <x:c r="D44" s="2"/>
      <x:c r="E44" s="2"/>
      <x:c r="F44" s="2"/>
    </x:row>
    <x:row r="45" ht="62" customHeight="1">
      <x:c r="A45" s="26" t="str">
        <x:v>10</x:v>
      </x:c>
      <x:c r="B45" s="26" t="str">
        <x:v>Recurring-account results require an eligible Day-30 review and a signed recurring plan. Later trial cohorts carry their real review dates into January.</x:v>
      </x:c>
      <x:c r="C45" s="2"/>
      <x:c r="D45" s="2"/>
      <x:c r="E45" s="2"/>
      <x:c r="F45" s="2"/>
    </x:row>
    <x:row r="46" ht="62" customHeight="1">
      <x:c r="A46" s="26" t="str">
        <x:v>11</x:v>
      </x:c>
      <x:c r="B46" s="26" t="str">
        <x:v>issue: 60-day label versus user dates; resolution: Oct 22–Dec 16 is 56 calendar days/40 weekdays. Dec 17–18 is 2-day review buffer, giving 58 calendar days; literal 60 ends Dec 20. Honor explicit dates.; basis: Calendar calculation and user instruction</x:v>
      </x:c>
      <x:c r="C46" s="2"/>
      <x:c r="D46" s="2"/>
      <x:c r="E46" s="2"/>
      <x:c r="F46" s="2"/>
    </x:row>
    <x:row r="47" ht="62" customHeight="1">
      <x:c r="A47" s="26" t="str">
        <x:v>12</x:v>
      </x:c>
      <x:c r="B47" s="26" t="str">
        <x:v>issue: Source ends Dec 19; user ends Dec 16 with earlier Dec 18 mention; resolution: Move execution cutoff to Dec 16 and use Dec 17–18 recovery/review; keep source outcome targets as planned targets, not guaranteed results.; basis: User overrides source</x:v>
      </x:c>
      <x:c r="C47" s="2"/>
      <x:c r="D47" s="2"/>
      <x:c r="E47" s="2"/>
      <x:c r="F47" s="2"/>
    </x:row>
    <x:row r="48" ht="62" customHeight="1">
      <x:c r="A48" s="26" t="str">
        <x:v>13</x:v>
      </x:c>
      <x:c r="B48" s="26" t="str">
        <x:v>issue: 500 verified before any send versus 250 launch gate; resolution: Use detailed dated launch gate: 250 QA-passed before Nov 3; 500 by Nov 6; 750 by Dec 11. Never send unverified rows.; basis: PDF §15 is executable runbook</x:v>
      </x:c>
      <x:c r="C48" s="2"/>
      <x:c r="D48" s="2"/>
      <x:c r="E48" s="2"/>
      <x:c r="F48" s="2"/>
    </x:row>
    <x:row r="49" ht="62" customHeight="1">
      <x:c r="A49" s="26" t="str">
        <x:v>14</x:v>
      </x:c>
      <x:c r="B49" s="26" t="str">
        <x:v>issue: Weekend source deadlines; resolution: Oct 31→Oct 30; Nov 7→Nov 6; Nov 14→Nov 13; Nov 21→Nov 20; Dec 12→Dec 11. No mandatory weekend work.; basis: PDF §15 and 2026 weekday calendar</x:v>
      </x:c>
      <x:c r="C49" s="2"/>
      <x:c r="D49" s="2"/>
      <x:c r="E49" s="2"/>
      <x:c r="F49" s="2"/>
    </x:row>
    <x:row r="50" ht="62" customHeight="1">
      <x:c r="A50" s="26" t="str">
        <x:v>15</x:v>
      </x:c>
      <x:c r="B50" s="26" t="str">
        <x:v>issue: Source counts 10 SOPs/9 metrics; resolution: Register has 12 SOPs after ADS/SOC additions; core scorecard includes 12 source outcome/service metrics with referral and LI rows.; basis: PDF §§8, 10, 17</x:v>
      </x:c>
      <x:c r="C50" s="2"/>
      <x:c r="D50" s="2"/>
      <x:c r="E50" s="2"/>
      <x:c r="F50" s="2"/>
    </x:row>
    <x:row r="51" ht="62" customHeight="1">
      <x:c r="A51" s="26" t="str">
        <x:v>16</x:v>
      </x:c>
      <x:c r="B51" s="26" t="str">
        <x:v>issue: Facebook/Instagram parked versus adopted latest amendment; resolution: Apply §17d: mirror approved posts to Facebook; permissioned-image posts also Instagram; no separate content production or Meta ads.; basis: Latest dated amendment</x:v>
      </x:c>
      <x:c r="C51" s="2"/>
      <x:c r="D51" s="2"/>
      <x:c r="E51" s="2"/>
      <x:c r="F51" s="2"/>
    </x:row>
    <x:row r="52" ht="62" customHeight="1">
      <x:c r="A52" s="26" t="str">
        <x:v>17</x:v>
      </x:c>
      <x:c r="B52" s="26" t="str">
        <x:v>issue: Source refers to 3 DMs, 2 DMs and 5-touch LI SOP; resolution: Prepare complete 5-touch sequence plus connection note and objections; use approved SOP when supplied; never improvise unsupported claims.; basis: Latest §17a</x:v>
      </x:c>
      <x:c r="C52" s="2"/>
      <x:c r="D52" s="2"/>
      <x:c r="E52" s="2"/>
      <x:c r="F52" s="2"/>
    </x:row>
    <x:row r="53" ht="62" customHeight="1">
      <x:c r="A53" s="26" t="str">
        <x:v>18</x:v>
      </x:c>
      <x:c r="B53" s="26" t="str">
        <x:v>issue: 10–15 min Nic calls versus 30 min LI discovery; resolution: Confirm calendar at Oct 27 reset: default 15 min intro; 30 min discovery only in dedicated Nic-approved slots.; basis: Client capacity must decide</x:v>
      </x:c>
      <x:c r="C53" s="2"/>
      <x:c r="D53" s="2"/>
      <x:c r="E53" s="2"/>
      <x:c r="F53" s="2"/>
    </x:row>
    <x:row r="54" ht="62" customHeight="1">
      <x:c r="A54" s="26" t="str">
        <x:v>19</x:v>
      </x:c>
      <x:c r="B54" s="26" t="str">
        <x:v>issue: Source guarantee fallback without approved terms; resolution: Do not publish unapproved guarantee; hold offer lane until written terms. Approved neutral relationship copy may be used separately only after Wyline/Nic approval.; basis: Approval/claim accuracy</x:v>
      </x:c>
      <x:c r="C54" s="2"/>
      <x:c r="D54" s="2"/>
      <x:c r="E54" s="2"/>
      <x:c r="F54" s="2"/>
    </x:row>
    <x:row r="55" ht="62" customHeight="1">
      <x:c r="A55" s="26" t="str">
        <x:v>20</x:v>
      </x:c>
      <x:c r="B55" s="26" t="str">
        <x:v>issue: Retarget-only early source versus local conversion campaign §17b; resolution: Use latest §17b: one local conversion campaign if written budget/tracking approved; matched audience only after platform eligibility confirmed.; basis: Latest specific section</x:v>
      </x:c>
      <x:c r="C55" s="2"/>
      <x:c r="D55" s="2"/>
      <x:c r="E55" s="2"/>
      <x:c r="F55" s="2"/>
    </x:row>
    <x:row r="56" ht="62" customHeight="1">
      <x:c r="A56" s="26" t="str">
        <x:v>21</x:v>
      </x:c>
      <x:c r="B56" s="26" t="str">
        <x:v>issue: 50–100 new contacts/day versus 150 total-send cap; resolution: Plan cohorts and prioritise due follow-ups; 150 includes all touches. Activity counters are ceilings conditional on remaining capacity.; basis: Capacity reconciliation</x:v>
      </x:c>
      <x:c r="C56" s="2"/>
      <x:c r="D56" s="2"/>
      <x:c r="E56" s="2"/>
      <x:c r="F56" s="2"/>
    </x:row>
    <x:row r="57" ht="62" customHeight="1">
      <x:c r="A57" s="26" t="str">
        <x:v>22</x:v>
      </x:c>
      <x:c r="B57" s="26" t="str">
        <x:v>issue: Global 20% cap cut every 2 weeks versus coverage duties; resolution: Record as source aspiration; implement only with validated automation, workload and service coverage, not automatic staff reduction.; basis: Operational feasibility</x:v>
      </x:c>
      <x:c r="C57" s="2"/>
      <x:c r="D57" s="2"/>
      <x:c r="E57" s="2"/>
      <x:c r="F57" s="2"/>
    </x:row>
    <x:row r="58" ht="62" customHeight="1">
      <x:c r="A58" s="26" t="str">
        <x:v>23</x:v>
      </x:c>
      <x:c r="B58" s="26" t="str">
        <x:v>issue: HTML attachment lacks actual social playbook; resolution: Microsoft OneDrive shell only; no playbook text embedded. Use PDF §§17c–d for actual social rules. Full source would be needed for extra brand standards.; basis: Local inspection</x:v>
      </x:c>
      <x:c r="C58" s="2"/>
      <x:c r="D58" s="2"/>
      <x:c r="E58" s="2"/>
      <x:c r="F58" s="2"/>
    </x:row>
    <x:row r="59" ht="62" customHeight="1">
      <x:c r="A59" s="26" t="str">
        <x:v>24</x:v>
      </x:c>
      <x:c r="B59" s="26" t="str">
        <x:v>issue: Original proposal promised qualified inquiries and appointments; resolution: Add 40 proposed qualified inquiries and first-win checkpoints. Keep contacts, inquiries, appointments and trials separate; use original six-month range as context, not as a fabricated contract guarantee.; basis: Original proposal pages 2–7 and user best-effort recovery direction</x:v>
      </x:c>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sheetData>
  <x:pageMargins left="0.7" right="0.7" top="0.75" bottom="0.75" header="0.3" footer="0.3"/>
</x:worksheet>
</file>